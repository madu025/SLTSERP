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udit Requested Report\"/>
    </mc:Choice>
  </mc:AlternateContent>
  <xr:revisionPtr revIDLastSave="0" documentId="13_ncr:1_{CE01E174-00D6-4A02-B991-20D6C651557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3" l="1"/>
  <c r="A20" i="3"/>
  <c r="K16" i="3"/>
  <c r="E14" i="3"/>
  <c r="B17" i="3" s="1"/>
  <c r="B18" i="3" s="1"/>
  <c r="B20" i="3" s="1"/>
  <c r="K13" i="3"/>
  <c r="J13" i="3"/>
  <c r="E13" i="3"/>
  <c r="D13" i="3"/>
  <c r="K12" i="3"/>
  <c r="K14" i="3" s="1"/>
  <c r="E12" i="3"/>
  <c r="Q11" i="3"/>
  <c r="Q10" i="3"/>
  <c r="S8" i="3"/>
  <c r="K5" i="3"/>
  <c r="K6" i="3" s="1"/>
  <c r="J5" i="3"/>
  <c r="E5" i="3"/>
  <c r="D5" i="3"/>
  <c r="K4" i="3"/>
  <c r="H4" i="3"/>
  <c r="E4" i="3"/>
  <c r="E6" i="3" s="1"/>
  <c r="B4" i="3"/>
  <c r="Q3" i="3"/>
  <c r="Q2" i="3"/>
  <c r="Q12" i="3" s="1"/>
  <c r="M14" i="3" l="1"/>
  <c r="M13" i="3" s="1"/>
  <c r="K17" i="3"/>
  <c r="K20" i="3"/>
  <c r="Q13" i="3" s="1"/>
</calcChain>
</file>

<file path=xl/sharedStrings.xml><?xml version="1.0" encoding="utf-8"?>
<sst xmlns="http://schemas.openxmlformats.org/spreadsheetml/2006/main" count="56" uniqueCount="45">
  <si>
    <t>Voucher No</t>
  </si>
  <si>
    <t>Date</t>
  </si>
  <si>
    <t>Reason &amp; Amount</t>
  </si>
  <si>
    <t>21/2/2024</t>
  </si>
  <si>
    <t>22/2/2024</t>
  </si>
  <si>
    <t>19/3/2024</t>
  </si>
  <si>
    <t>Attached with pre voucher mistakely.</t>
  </si>
  <si>
    <t xml:space="preserve">This payment is cancel to pay in Petty Cash. </t>
  </si>
  <si>
    <t>This voucher (22142) is cancel due to fund is not sufficent to pay on  that day,and it broadforward to pay in voucher 22154.</t>
  </si>
  <si>
    <t>Name</t>
  </si>
  <si>
    <t>Service No.</t>
  </si>
  <si>
    <t>NIC</t>
  </si>
  <si>
    <t>Immediate Supervisor</t>
  </si>
  <si>
    <t>Qualification</t>
  </si>
  <si>
    <t>955790944V</t>
  </si>
  <si>
    <t>Mr.Tiroshan-OSP &amp; Mr.Krishantha-HQ</t>
  </si>
  <si>
    <t xml:space="preserve">Anjula Gayashan </t>
  </si>
  <si>
    <t xml:space="preserve">Iresha Ravihari </t>
  </si>
  <si>
    <t>Lihini Tharushika</t>
  </si>
  <si>
    <t>Ms.Iresha &amp; Mr.Tiroshan-OSP</t>
  </si>
  <si>
    <t>Diploma In Management - In Vayaba IT/University, NVQ Level IV - QS</t>
  </si>
  <si>
    <t>Following Diploma in Business Management &amp; Following CA</t>
  </si>
  <si>
    <t>Higer National Diploma In Accountancy (Degree Equal), AAT Past Finalist, CA-Executive Level II</t>
  </si>
  <si>
    <t>980531449V</t>
  </si>
  <si>
    <t>(Attachment)</t>
  </si>
  <si>
    <t>Petty cash float</t>
  </si>
  <si>
    <t>Total IOU</t>
  </si>
  <si>
    <t>Project Advance float</t>
  </si>
  <si>
    <t>Setteled Bill</t>
  </si>
  <si>
    <t>Total amount</t>
  </si>
  <si>
    <t>Actual Project advance exp.</t>
  </si>
  <si>
    <t>Project advance exp.</t>
  </si>
  <si>
    <t>Balance amount</t>
  </si>
  <si>
    <t xml:space="preserve">Balance </t>
  </si>
  <si>
    <t>Total cash in hand</t>
  </si>
  <si>
    <t>Cash in hand</t>
  </si>
  <si>
    <t>Petty cash bill</t>
  </si>
  <si>
    <t>Petty cash IOU</t>
  </si>
  <si>
    <t xml:space="preserve">Total amount </t>
  </si>
  <si>
    <t>Total amount verified</t>
  </si>
  <si>
    <t xml:space="preserve">Balance of petty cash </t>
  </si>
  <si>
    <t>Different shortage</t>
  </si>
  <si>
    <t>Exp.for project adv</t>
  </si>
  <si>
    <t xml:space="preserve">Cash in bank (added the float) </t>
  </si>
  <si>
    <t xml:space="preserve">Total float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</si>
</sst>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5">
    <xf numFmtId="0" fontId="0" fillId="0" borderId="0" xfId="0"/>
    <xf numFmtId="0" fontId="1" fillId="0" borderId="4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43" fontId="0" fillId="0" borderId="0" xfId="1" applyFont="1"/>
    <xf numFmtId="43" fontId="0" fillId="2" borderId="0" xfId="1" applyFont="1" applyFill="1"/>
    <xf numFmtId="43" fontId="0" fillId="0" borderId="0" xfId="0" applyNumberFormat="1"/>
    <xf numFmtId="43" fontId="0" fillId="0" borderId="1" xfId="1" applyFont="1" applyBorder="1"/>
    <xf numFmtId="0" fontId="0" fillId="0" borderId="0" xfId="0" applyAlignment="1">
      <alignment horizontal="left" vertical="center" wrapText="1"/>
    </xf>
    <xf numFmtId="43" fontId="0" fillId="2" borderId="0" xfId="0" applyNumberFormat="1" applyFill="1"/>
    <xf numFmtId="43" fontId="0" fillId="0" borderId="1" xfId="0" applyNumberFormat="1" applyBorder="1"/>
    <xf numFmtId="0" fontId="0" fillId="0" borderId="5" xfId="0" applyBorder="1"/>
    <xf numFmtId="43" fontId="0" fillId="0" borderId="5" xfId="1" applyFont="1" applyBorder="1"/>
    <xf numFmtId="0" fontId="0" fillId="0" borderId="0" xfId="0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I13" sqref="I13"/>
    </sheetView>
  </sheetViews>
  <sheetFormatPr defaultRowHeight="14.4" x14ac:dyDescent="0.3"/>
  <cols>
    <col min="1" max="1" width="14.33203125" customWidth="1"/>
    <col min="2" max="2" width="15.33203125" customWidth="1"/>
    <col min="3" max="3" width="71.44140625" customWidth="1"/>
    <col min="4" max="4" width="9" customWidth="1"/>
  </cols>
  <sheetData>
    <row r="1" spans="1:3" ht="15" thickBot="1" x14ac:dyDescent="0.35">
      <c r="B1" s="2"/>
      <c r="C1" s="2"/>
    </row>
    <row r="2" spans="1:3" ht="16.2" thickBot="1" x14ac:dyDescent="0.35">
      <c r="A2" s="3" t="s">
        <v>0</v>
      </c>
      <c r="B2" s="4" t="s">
        <v>1</v>
      </c>
      <c r="C2" s="4" t="s">
        <v>2</v>
      </c>
    </row>
    <row r="3" spans="1:3" ht="46.2" customHeight="1" thickBot="1" x14ac:dyDescent="0.35">
      <c r="A3" s="5">
        <v>22142</v>
      </c>
      <c r="B3" s="6" t="s">
        <v>3</v>
      </c>
      <c r="C3" s="1" t="s">
        <v>8</v>
      </c>
    </row>
    <row r="4" spans="1:3" ht="46.2" customHeight="1" thickBot="1" x14ac:dyDescent="0.35">
      <c r="A4" s="5">
        <v>22144</v>
      </c>
      <c r="B4" s="7" t="s">
        <v>4</v>
      </c>
      <c r="C4" s="1" t="s">
        <v>7</v>
      </c>
    </row>
    <row r="5" spans="1:3" ht="46.2" customHeight="1" thickBot="1" x14ac:dyDescent="0.35">
      <c r="A5" s="5">
        <v>22177</v>
      </c>
      <c r="B5" s="8">
        <v>45385</v>
      </c>
      <c r="C5" s="1" t="s">
        <v>6</v>
      </c>
    </row>
    <row r="6" spans="1:3" ht="46.2" customHeight="1" thickBot="1" x14ac:dyDescent="0.35">
      <c r="A6" s="5">
        <v>22286</v>
      </c>
      <c r="B6" s="6" t="s">
        <v>5</v>
      </c>
      <c r="C6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4CCF-6B15-4E13-9E4A-40588643ADD9}">
  <dimension ref="A2:F15"/>
  <sheetViews>
    <sheetView workbookViewId="0">
      <selection activeCell="E14" sqref="E14"/>
    </sheetView>
  </sheetViews>
  <sheetFormatPr defaultRowHeight="14.4" x14ac:dyDescent="0.3"/>
  <cols>
    <col min="1" max="1" width="14.88671875" bestFit="1" customWidth="1"/>
    <col min="2" max="2" width="10.21875" bestFit="1" customWidth="1"/>
    <col min="3" max="3" width="15.6640625" customWidth="1"/>
    <col min="4" max="4" width="34.109375" bestFit="1" customWidth="1"/>
    <col min="5" max="5" width="78.6640625" bestFit="1" customWidth="1"/>
  </cols>
  <sheetData>
    <row r="2" spans="1:6" s="10" customFormat="1" x14ac:dyDescent="0.3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9"/>
    </row>
    <row r="3" spans="1:6" x14ac:dyDescent="0.3">
      <c r="A3" s="14" t="s">
        <v>17</v>
      </c>
      <c r="B3" s="12">
        <v>1041</v>
      </c>
      <c r="C3" s="12" t="s">
        <v>14</v>
      </c>
      <c r="D3" s="12" t="s">
        <v>15</v>
      </c>
      <c r="E3" s="12" t="s">
        <v>22</v>
      </c>
      <c r="F3" s="2"/>
    </row>
    <row r="4" spans="1:6" x14ac:dyDescent="0.3">
      <c r="A4" s="14" t="s">
        <v>16</v>
      </c>
      <c r="B4" s="12">
        <v>1130</v>
      </c>
      <c r="C4" s="12" t="s">
        <v>23</v>
      </c>
      <c r="D4" s="12" t="s">
        <v>19</v>
      </c>
      <c r="E4" s="12" t="s">
        <v>21</v>
      </c>
      <c r="F4" s="2"/>
    </row>
    <row r="5" spans="1:6" x14ac:dyDescent="0.3">
      <c r="A5" s="14" t="s">
        <v>18</v>
      </c>
      <c r="B5" s="12">
        <v>1409</v>
      </c>
      <c r="C5" s="13">
        <v>200081600410</v>
      </c>
      <c r="D5" s="12" t="s">
        <v>19</v>
      </c>
      <c r="E5" s="12" t="s">
        <v>20</v>
      </c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FDF0-7105-4F66-924E-87BD4A925A9F}">
  <dimension ref="A1:X22"/>
  <sheetViews>
    <sheetView tabSelected="1" workbookViewId="0">
      <selection activeCell="F22" sqref="F22"/>
    </sheetView>
  </sheetViews>
  <sheetFormatPr defaultRowHeight="14.4" x14ac:dyDescent="0.3"/>
  <cols>
    <col min="1" max="1" width="26" bestFit="1" customWidth="1"/>
    <col min="2" max="2" width="11.109375" bestFit="1" customWidth="1"/>
    <col min="3" max="3" width="3" customWidth="1"/>
    <col min="4" max="4" width="23.77734375" bestFit="1" customWidth="1"/>
    <col min="5" max="5" width="13.21875" customWidth="1"/>
    <col min="6" max="6" width="11.6640625" bestFit="1" customWidth="1"/>
    <col min="7" max="7" width="18.6640625" customWidth="1"/>
    <col min="8" max="8" width="11.109375" style="15" customWidth="1"/>
    <col min="10" max="10" width="21.5546875" customWidth="1"/>
    <col min="11" max="11" width="11.109375" style="15" customWidth="1"/>
    <col min="13" max="14" width="10.109375" customWidth="1"/>
    <col min="17" max="17" width="11.109375" hidden="1" customWidth="1"/>
    <col min="18" max="18" width="8.88671875" hidden="1" customWidth="1"/>
    <col min="19" max="19" width="11.109375" hidden="1" customWidth="1"/>
  </cols>
  <sheetData>
    <row r="1" spans="1:19" x14ac:dyDescent="0.3">
      <c r="F1" t="s">
        <v>24</v>
      </c>
    </row>
    <row r="2" spans="1:19" x14ac:dyDescent="0.3">
      <c r="A2" t="s">
        <v>25</v>
      </c>
      <c r="B2" s="15">
        <v>200000</v>
      </c>
      <c r="D2" t="s">
        <v>26</v>
      </c>
      <c r="E2" s="16">
        <v>434120</v>
      </c>
      <c r="G2" t="s">
        <v>25</v>
      </c>
      <c r="H2" s="15">
        <v>200000</v>
      </c>
      <c r="J2" t="s">
        <v>26</v>
      </c>
      <c r="K2" s="16">
        <v>434120</v>
      </c>
      <c r="Q2" s="17">
        <f>K2</f>
        <v>434120</v>
      </c>
    </row>
    <row r="3" spans="1:19" ht="15" thickBot="1" x14ac:dyDescent="0.35">
      <c r="A3" t="s">
        <v>27</v>
      </c>
      <c r="B3" s="15">
        <v>500000</v>
      </c>
      <c r="D3" t="s">
        <v>28</v>
      </c>
      <c r="E3" s="16">
        <v>69227.67</v>
      </c>
      <c r="G3" t="s">
        <v>27</v>
      </c>
      <c r="H3" s="15">
        <v>500000</v>
      </c>
      <c r="J3" t="s">
        <v>28</v>
      </c>
      <c r="K3" s="16">
        <v>69227.67</v>
      </c>
      <c r="Q3" s="17">
        <f>K3</f>
        <v>69227.67</v>
      </c>
    </row>
    <row r="4" spans="1:19" ht="15" thickBot="1" x14ac:dyDescent="0.35">
      <c r="A4" t="s">
        <v>29</v>
      </c>
      <c r="B4" s="18">
        <f>B2+B3</f>
        <v>700000</v>
      </c>
      <c r="D4" t="s">
        <v>30</v>
      </c>
      <c r="E4" s="15">
        <f>E2+E3</f>
        <v>503347.67</v>
      </c>
      <c r="G4" t="s">
        <v>29</v>
      </c>
      <c r="H4" s="18">
        <f>H2+H3</f>
        <v>700000</v>
      </c>
      <c r="J4" t="s">
        <v>31</v>
      </c>
      <c r="K4" s="15">
        <f>K2+K3</f>
        <v>503347.67</v>
      </c>
    </row>
    <row r="5" spans="1:19" ht="15" thickBot="1" x14ac:dyDescent="0.35">
      <c r="D5" t="str">
        <f>A3</f>
        <v>Project Advance float</v>
      </c>
      <c r="E5" s="18">
        <f>B3</f>
        <v>500000</v>
      </c>
      <c r="J5" t="str">
        <f>G3</f>
        <v>Project Advance float</v>
      </c>
      <c r="K5" s="18">
        <f>H3</f>
        <v>500000</v>
      </c>
    </row>
    <row r="6" spans="1:19" x14ac:dyDescent="0.3">
      <c r="D6" t="s">
        <v>32</v>
      </c>
      <c r="E6" s="15">
        <f>E5-E4</f>
        <v>-3347.6699999999837</v>
      </c>
      <c r="J6" t="s">
        <v>33</v>
      </c>
      <c r="K6" s="15">
        <f>K5-K4</f>
        <v>-3347.6699999999837</v>
      </c>
    </row>
    <row r="8" spans="1:19" x14ac:dyDescent="0.3">
      <c r="D8" s="19" t="s">
        <v>34</v>
      </c>
      <c r="E8" s="20">
        <v>95426.080000000016</v>
      </c>
      <c r="K8" s="20">
        <v>95426.080000000016</v>
      </c>
      <c r="S8" s="17">
        <f>K4+K8+K9+K10+K11</f>
        <v>700000</v>
      </c>
    </row>
    <row r="9" spans="1:19" x14ac:dyDescent="0.3">
      <c r="D9" s="19"/>
      <c r="E9" s="16">
        <v>690</v>
      </c>
      <c r="J9" t="s">
        <v>35</v>
      </c>
      <c r="K9" s="16">
        <v>690</v>
      </c>
      <c r="M9" s="15"/>
      <c r="N9" s="15"/>
    </row>
    <row r="10" spans="1:19" x14ac:dyDescent="0.3">
      <c r="D10" t="s">
        <v>36</v>
      </c>
      <c r="E10" s="16">
        <v>50986.25</v>
      </c>
      <c r="J10" t="s">
        <v>36</v>
      </c>
      <c r="K10" s="16">
        <v>50986.25</v>
      </c>
      <c r="Q10" s="17">
        <f>K10</f>
        <v>50986.25</v>
      </c>
    </row>
    <row r="11" spans="1:19" x14ac:dyDescent="0.3">
      <c r="D11" t="s">
        <v>37</v>
      </c>
      <c r="E11" s="16">
        <v>49550</v>
      </c>
      <c r="J11" t="s">
        <v>37</v>
      </c>
      <c r="K11" s="16">
        <v>49550</v>
      </c>
      <c r="Q11" s="17">
        <f>K11</f>
        <v>49550</v>
      </c>
    </row>
    <row r="12" spans="1:19" ht="15" thickBot="1" x14ac:dyDescent="0.35">
      <c r="D12" t="s">
        <v>38</v>
      </c>
      <c r="E12" s="17">
        <f>E8+E9+E10+E11</f>
        <v>196652.33000000002</v>
      </c>
      <c r="J12" t="s">
        <v>39</v>
      </c>
      <c r="K12" s="15">
        <f>SUM(K9:K11)</f>
        <v>101226.25</v>
      </c>
      <c r="Q12" s="17">
        <f>SUM(Q2:Q11)</f>
        <v>603883.91999999993</v>
      </c>
    </row>
    <row r="13" spans="1:19" ht="15" thickBot="1" x14ac:dyDescent="0.35">
      <c r="D13" t="str">
        <f>A2</f>
        <v>Petty cash float</v>
      </c>
      <c r="E13" s="21">
        <f>B2</f>
        <v>200000</v>
      </c>
      <c r="J13" t="str">
        <f>G2</f>
        <v>Petty cash float</v>
      </c>
      <c r="K13" s="18">
        <f>H2</f>
        <v>200000</v>
      </c>
      <c r="M13" s="17">
        <f>K14-M14</f>
        <v>3347.6699999999837</v>
      </c>
      <c r="Q13" s="17">
        <f>K20-Q12</f>
        <v>690</v>
      </c>
    </row>
    <row r="14" spans="1:19" x14ac:dyDescent="0.3">
      <c r="D14" t="s">
        <v>32</v>
      </c>
      <c r="E14" s="17">
        <f>E13-E12</f>
        <v>3347.6699999999837</v>
      </c>
      <c r="J14" t="s">
        <v>40</v>
      </c>
      <c r="K14" s="16">
        <f>K13-K12</f>
        <v>98773.75</v>
      </c>
      <c r="M14" s="17">
        <f>K14+K6</f>
        <v>95426.080000000016</v>
      </c>
    </row>
    <row r="15" spans="1:19" x14ac:dyDescent="0.3">
      <c r="K15" s="15">
        <v>96000</v>
      </c>
    </row>
    <row r="16" spans="1:19" x14ac:dyDescent="0.3">
      <c r="A16" s="22" t="s">
        <v>41</v>
      </c>
      <c r="B16" s="23">
        <v>98773.75</v>
      </c>
      <c r="C16" s="24"/>
      <c r="D16" s="24"/>
      <c r="E16" s="24"/>
      <c r="F16" s="24"/>
      <c r="K16" s="15">
        <f>K15-K9</f>
        <v>95310</v>
      </c>
    </row>
    <row r="17" spans="1:14" x14ac:dyDescent="0.3">
      <c r="A17" s="22" t="s">
        <v>42</v>
      </c>
      <c r="B17" s="23">
        <f>E14</f>
        <v>3347.6699999999837</v>
      </c>
      <c r="K17" s="15">
        <f>K14-K16</f>
        <v>3463.75</v>
      </c>
    </row>
    <row r="18" spans="1:14" x14ac:dyDescent="0.3">
      <c r="A18" s="22" t="s">
        <v>43</v>
      </c>
      <c r="B18" s="23">
        <f>B16-B17</f>
        <v>95426.080000000016</v>
      </c>
      <c r="M18" s="17"/>
    </row>
    <row r="19" spans="1:14" ht="15" thickBot="1" x14ac:dyDescent="0.35">
      <c r="A19" s="22" t="s">
        <v>35</v>
      </c>
      <c r="B19" s="23">
        <v>690</v>
      </c>
    </row>
    <row r="20" spans="1:14" ht="15" thickBot="1" x14ac:dyDescent="0.35">
      <c r="A20" s="22" t="str">
        <f>D8</f>
        <v>Total cash in hand</v>
      </c>
      <c r="B20" s="23">
        <f>B18+B19</f>
        <v>96116.080000000016</v>
      </c>
      <c r="J20" t="s">
        <v>44</v>
      </c>
      <c r="K20" s="18">
        <f>K12+K4</f>
        <v>604573.91999999993</v>
      </c>
    </row>
    <row r="21" spans="1:14" x14ac:dyDescent="0.3">
      <c r="N21" s="15">
        <v>98773.75</v>
      </c>
    </row>
    <row r="22" spans="1:14" x14ac:dyDescent="0.3">
      <c r="N22" s="17">
        <f>N21-K9</f>
        <v>98083.75</v>
      </c>
    </row>
  </sheetData>
  <mergeCells count="1">
    <mergeCell ref="D8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IRESHA RAVIHARI</dc:creator>
  <cp:lastModifiedBy>Iresha Ravihari</cp:lastModifiedBy>
  <dcterms:created xsi:type="dcterms:W3CDTF">2015-06-05T18:17:20Z</dcterms:created>
  <dcterms:modified xsi:type="dcterms:W3CDTF">2024-12-03T09:48:36Z</dcterms:modified>
</cp:coreProperties>
</file>