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Audit Requested Report\"/>
    </mc:Choice>
  </mc:AlternateContent>
  <xr:revisionPtr revIDLastSave="0" documentId="8_{3513B1D0-839B-4489-8402-0E65CF609395}" xr6:coauthVersionLast="47" xr6:coauthVersionMax="47" xr10:uidLastSave="{00000000-0000-0000-0000-000000000000}"/>
  <bookViews>
    <workbookView xWindow="-108" yWindow="-108" windowWidth="23256" windowHeight="12456" tabRatio="923" xr2:uid="{00000000-000D-0000-FFFF-FFFF00000000}"/>
  </bookViews>
  <sheets>
    <sheet name="2024.10.16" sheetId="20" r:id="rId1"/>
    <sheet name="2024.10.07" sheetId="19" r:id="rId2"/>
    <sheet name="2024.08.13" sheetId="18" r:id="rId3"/>
    <sheet name="2024.08.12" sheetId="17" r:id="rId4"/>
    <sheet name="2024.07.24" sheetId="16" r:id="rId5"/>
    <sheet name="2024.07.18" sheetId="15" r:id="rId6"/>
    <sheet name="2024.07.14" sheetId="14" r:id="rId7"/>
    <sheet name="2024.06.11" sheetId="13" r:id="rId8"/>
    <sheet name="2024.06.06" sheetId="12" r:id="rId9"/>
    <sheet name="2024.05.17" sheetId="11" r:id="rId10"/>
    <sheet name="2024.05.16" sheetId="10" r:id="rId11"/>
    <sheet name="2024.04.29" sheetId="9" r:id="rId12"/>
    <sheet name="2024.04.09" sheetId="1" r:id="rId13"/>
    <sheet name="2024.03.04" sheetId="2" r:id="rId14"/>
    <sheet name="2024.03.28" sheetId="3" r:id="rId15"/>
    <sheet name="2024.03.13-II" sheetId="4" r:id="rId16"/>
    <sheet name="2024.03.13" sheetId="5" r:id="rId17"/>
    <sheet name="2024.03.01" sheetId="6" r:id="rId18"/>
    <sheet name="2024.02.19" sheetId="7" r:id="rId19"/>
    <sheet name="2024.02.05" sheetId="8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" i="20" l="1"/>
  <c r="Q21" i="20"/>
  <c r="P21" i="20"/>
  <c r="L21" i="20"/>
  <c r="K21" i="20"/>
  <c r="J21" i="20"/>
  <c r="I21" i="20"/>
  <c r="H21" i="20"/>
  <c r="E21" i="20"/>
  <c r="D24" i="20" s="1"/>
  <c r="R20" i="20"/>
  <c r="U19" i="20"/>
  <c r="S18" i="20"/>
  <c r="S21" i="20" s="1"/>
  <c r="F17" i="20"/>
  <c r="F16" i="20"/>
  <c r="F21" i="20" s="1"/>
  <c r="O14" i="20"/>
  <c r="O21" i="20" s="1"/>
  <c r="U13" i="20"/>
  <c r="U21" i="20" s="1"/>
  <c r="R12" i="20"/>
  <c r="R21" i="20" s="1"/>
  <c r="N11" i="20"/>
  <c r="N21" i="20" s="1"/>
  <c r="M10" i="20"/>
  <c r="M21" i="20" s="1"/>
  <c r="L8" i="20"/>
  <c r="G7" i="20"/>
  <c r="G6" i="20"/>
  <c r="G21" i="20" s="1"/>
  <c r="T25" i="19"/>
  <c r="S25" i="19"/>
  <c r="Q25" i="19"/>
  <c r="P25" i="19"/>
  <c r="L25" i="19"/>
  <c r="J25" i="19"/>
  <c r="I25" i="19"/>
  <c r="H25" i="19"/>
  <c r="G25" i="19"/>
  <c r="E25" i="19"/>
  <c r="D28" i="19" s="1"/>
  <c r="O24" i="19"/>
  <c r="R23" i="19"/>
  <c r="O22" i="19"/>
  <c r="R21" i="19"/>
  <c r="M20" i="19"/>
  <c r="M19" i="19"/>
  <c r="L18" i="19"/>
  <c r="O17" i="19"/>
  <c r="N16" i="19"/>
  <c r="U15" i="19"/>
  <c r="R14" i="19"/>
  <c r="M13" i="19"/>
  <c r="M25" i="19" s="1"/>
  <c r="F12" i="19"/>
  <c r="N11" i="19"/>
  <c r="N25" i="19" s="1"/>
  <c r="O10" i="19"/>
  <c r="O25" i="19" s="1"/>
  <c r="F9" i="19"/>
  <c r="F25" i="19" s="1"/>
  <c r="R8" i="19"/>
  <c r="R25" i="19" s="1"/>
  <c r="U7" i="19"/>
  <c r="U25" i="19" s="1"/>
  <c r="K6" i="19"/>
  <c r="K25" i="19" s="1"/>
  <c r="T16" i="18"/>
  <c r="S16" i="18"/>
  <c r="Q16" i="18"/>
  <c r="P16" i="18"/>
  <c r="O16" i="18"/>
  <c r="M16" i="18"/>
  <c r="L16" i="18"/>
  <c r="K16" i="18"/>
  <c r="H16" i="18"/>
  <c r="G16" i="18"/>
  <c r="E16" i="18"/>
  <c r="D21" i="18" s="1"/>
  <c r="F15" i="18"/>
  <c r="F16" i="18" s="1"/>
  <c r="N14" i="18"/>
  <c r="N16" i="18" s="1"/>
  <c r="R13" i="18"/>
  <c r="R16" i="18" s="1"/>
  <c r="U12" i="18"/>
  <c r="U16" i="18" s="1"/>
  <c r="I11" i="18"/>
  <c r="I10" i="18"/>
  <c r="I9" i="18"/>
  <c r="I8" i="18"/>
  <c r="I16" i="18" s="1"/>
  <c r="J7" i="18"/>
  <c r="J16" i="18" s="1"/>
  <c r="U23" i="17"/>
  <c r="T23" i="17"/>
  <c r="Q23" i="17"/>
  <c r="P23" i="17"/>
  <c r="O23" i="17"/>
  <c r="L23" i="17"/>
  <c r="I23" i="17"/>
  <c r="H23" i="17"/>
  <c r="E23" i="17"/>
  <c r="D28" i="17" s="1"/>
  <c r="N22" i="17"/>
  <c r="N23" i="17" s="1"/>
  <c r="U21" i="17"/>
  <c r="F20" i="17"/>
  <c r="F19" i="17"/>
  <c r="F23" i="17" s="1"/>
  <c r="J18" i="17"/>
  <c r="R17" i="17"/>
  <c r="J16" i="17"/>
  <c r="G15" i="17"/>
  <c r="G23" i="17" s="1"/>
  <c r="M14" i="17"/>
  <c r="M23" i="17" s="1"/>
  <c r="S13" i="17"/>
  <c r="R12" i="17"/>
  <c r="S11" i="17"/>
  <c r="S23" i="17" s="1"/>
  <c r="J10" i="17"/>
  <c r="K9" i="17"/>
  <c r="K23" i="17" s="1"/>
  <c r="J8" i="17"/>
  <c r="J23" i="17" s="1"/>
  <c r="R7" i="17"/>
  <c r="R23" i="17" s="1"/>
  <c r="T14" i="16"/>
  <c r="S14" i="16"/>
  <c r="Q14" i="16"/>
  <c r="P14" i="16"/>
  <c r="O14" i="16"/>
  <c r="N14" i="16"/>
  <c r="M14" i="16"/>
  <c r="K14" i="16"/>
  <c r="H14" i="16"/>
  <c r="G14" i="16"/>
  <c r="F14" i="16"/>
  <c r="E14" i="16"/>
  <c r="D17" i="16" s="1"/>
  <c r="I13" i="16"/>
  <c r="J12" i="16"/>
  <c r="I11" i="16"/>
  <c r="I14" i="16" s="1"/>
  <c r="R10" i="16"/>
  <c r="R14" i="16" s="1"/>
  <c r="S9" i="16"/>
  <c r="L8" i="16"/>
  <c r="L14" i="16" s="1"/>
  <c r="J7" i="16"/>
  <c r="J14" i="16" s="1"/>
  <c r="T14" i="15"/>
  <c r="S14" i="15"/>
  <c r="Q14" i="15"/>
  <c r="P14" i="15"/>
  <c r="O14" i="15"/>
  <c r="N14" i="15"/>
  <c r="M14" i="15"/>
  <c r="K14" i="15"/>
  <c r="I14" i="15"/>
  <c r="H14" i="15"/>
  <c r="G14" i="15"/>
  <c r="F14" i="15"/>
  <c r="E14" i="15"/>
  <c r="D17" i="15" s="1"/>
  <c r="R12" i="15"/>
  <c r="R14" i="15" s="1"/>
  <c r="J11" i="15"/>
  <c r="L10" i="15"/>
  <c r="S9" i="15"/>
  <c r="L8" i="15"/>
  <c r="L14" i="15" s="1"/>
  <c r="J7" i="15"/>
  <c r="J14" i="15" s="1"/>
  <c r="T19" i="14"/>
  <c r="S19" i="14"/>
  <c r="Q19" i="14"/>
  <c r="P19" i="14"/>
  <c r="O19" i="14"/>
  <c r="N19" i="14"/>
  <c r="K19" i="14"/>
  <c r="I19" i="14"/>
  <c r="H19" i="14"/>
  <c r="G19" i="14"/>
  <c r="E19" i="14"/>
  <c r="D22" i="14" s="1"/>
  <c r="R18" i="14"/>
  <c r="L17" i="14"/>
  <c r="M16" i="14"/>
  <c r="M19" i="14" s="1"/>
  <c r="F15" i="14"/>
  <c r="J14" i="14"/>
  <c r="L13" i="14"/>
  <c r="R12" i="14"/>
  <c r="F11" i="14"/>
  <c r="F19" i="14" s="1"/>
  <c r="J10" i="14"/>
  <c r="L9" i="14"/>
  <c r="L19" i="14" s="1"/>
  <c r="R8" i="14"/>
  <c r="R19" i="14" s="1"/>
  <c r="J7" i="14"/>
  <c r="J19" i="14" s="1"/>
  <c r="S19" i="13"/>
  <c r="Q19" i="13"/>
  <c r="P19" i="13"/>
  <c r="O19" i="13"/>
  <c r="N19" i="13"/>
  <c r="L19" i="13"/>
  <c r="K19" i="13"/>
  <c r="I19" i="13"/>
  <c r="H19" i="13"/>
  <c r="G19" i="13"/>
  <c r="E19" i="13"/>
  <c r="D22" i="13" s="1"/>
  <c r="T18" i="13"/>
  <c r="T17" i="13"/>
  <c r="T19" i="13" s="1"/>
  <c r="R16" i="13"/>
  <c r="K15" i="13"/>
  <c r="F14" i="13"/>
  <c r="J13" i="13"/>
  <c r="F12" i="13"/>
  <c r="M11" i="13"/>
  <c r="M19" i="13" s="1"/>
  <c r="F10" i="13"/>
  <c r="J9" i="13"/>
  <c r="J19" i="13" s="1"/>
  <c r="T8" i="13"/>
  <c r="F7" i="13"/>
  <c r="F19" i="13" s="1"/>
  <c r="R6" i="13"/>
  <c r="R19" i="13" s="1"/>
  <c r="D23" i="12"/>
  <c r="T22" i="12"/>
  <c r="Q22" i="12"/>
  <c r="P22" i="12"/>
  <c r="O22" i="12"/>
  <c r="N22" i="12"/>
  <c r="M22" i="12"/>
  <c r="L22" i="12"/>
  <c r="H22" i="12"/>
  <c r="E22" i="12"/>
  <c r="E25" i="12" s="1"/>
  <c r="G20" i="12"/>
  <c r="G22" i="12" s="1"/>
  <c r="J19" i="12"/>
  <c r="K18" i="12"/>
  <c r="F17" i="12"/>
  <c r="I16" i="12"/>
  <c r="I22" i="12" s="1"/>
  <c r="R15" i="12"/>
  <c r="S14" i="12"/>
  <c r="F13" i="12"/>
  <c r="S12" i="12"/>
  <c r="K11" i="12"/>
  <c r="K22" i="12" s="1"/>
  <c r="J10" i="12"/>
  <c r="S9" i="12"/>
  <c r="S22" i="12" s="1"/>
  <c r="R8" i="12"/>
  <c r="R22" i="12" s="1"/>
  <c r="F7" i="12"/>
  <c r="F22" i="12" s="1"/>
  <c r="J6" i="12"/>
  <c r="J22" i="12" s="1"/>
  <c r="T23" i="11"/>
  <c r="S23" i="11"/>
  <c r="Q23" i="11"/>
  <c r="P23" i="11"/>
  <c r="O23" i="11"/>
  <c r="K23" i="11"/>
  <c r="I23" i="11"/>
  <c r="H23" i="11"/>
  <c r="G23" i="11"/>
  <c r="E23" i="11"/>
  <c r="E27" i="11" s="1"/>
  <c r="J22" i="11"/>
  <c r="M21" i="11"/>
  <c r="M23" i="11" s="1"/>
  <c r="F20" i="11"/>
  <c r="N19" i="11"/>
  <c r="L18" i="11"/>
  <c r="F17" i="11"/>
  <c r="S16" i="11"/>
  <c r="O15" i="11"/>
  <c r="J14" i="11"/>
  <c r="R13" i="11"/>
  <c r="R23" i="11" s="1"/>
  <c r="O12" i="11"/>
  <c r="L11" i="11"/>
  <c r="L10" i="11"/>
  <c r="L23" i="11" s="1"/>
  <c r="F9" i="11"/>
  <c r="F23" i="11" s="1"/>
  <c r="N8" i="11"/>
  <c r="N23" i="11" s="1"/>
  <c r="J7" i="11"/>
  <c r="J23" i="11" s="1"/>
  <c r="S15" i="10"/>
  <c r="R15" i="10"/>
  <c r="Q15" i="10"/>
  <c r="P15" i="10"/>
  <c r="O15" i="10"/>
  <c r="N15" i="10"/>
  <c r="K15" i="10"/>
  <c r="I15" i="10"/>
  <c r="H15" i="10"/>
  <c r="G15" i="10"/>
  <c r="F15" i="10"/>
  <c r="E15" i="10"/>
  <c r="E19" i="10" s="1"/>
  <c r="F14" i="10"/>
  <c r="R13" i="10"/>
  <c r="L12" i="10"/>
  <c r="L15" i="10" s="1"/>
  <c r="J11" i="10"/>
  <c r="M10" i="10"/>
  <c r="M9" i="10"/>
  <c r="M15" i="10" s="1"/>
  <c r="J8" i="10"/>
  <c r="J15" i="10" s="1"/>
  <c r="K7" i="10"/>
  <c r="S23" i="9"/>
  <c r="R23" i="9"/>
  <c r="Q23" i="9"/>
  <c r="P23" i="9"/>
  <c r="N23" i="9"/>
  <c r="M23" i="9"/>
  <c r="L23" i="9"/>
  <c r="K23" i="9"/>
  <c r="H23" i="9"/>
  <c r="G23" i="9"/>
  <c r="F23" i="9"/>
  <c r="E23" i="9"/>
  <c r="E27" i="9" s="1"/>
  <c r="G22" i="9"/>
  <c r="R21" i="9"/>
  <c r="O20" i="9"/>
  <c r="J19" i="9"/>
  <c r="F18" i="9"/>
  <c r="R17" i="9"/>
  <c r="O16" i="9"/>
  <c r="G15" i="9"/>
  <c r="J14" i="9"/>
  <c r="F13" i="9"/>
  <c r="J12" i="9"/>
  <c r="J11" i="9"/>
  <c r="R10" i="9"/>
  <c r="I9" i="9"/>
  <c r="I23" i="9" s="1"/>
  <c r="J8" i="9"/>
  <c r="J23" i="9" s="1"/>
  <c r="O7" i="9"/>
  <c r="O23" i="9" s="1"/>
  <c r="S22" i="1"/>
  <c r="R22" i="1"/>
  <c r="Q22" i="1"/>
  <c r="P22" i="1"/>
  <c r="N22" i="1"/>
  <c r="I22" i="1"/>
  <c r="H22" i="1"/>
  <c r="G22" i="1"/>
  <c r="F22" i="1"/>
  <c r="E22" i="1"/>
  <c r="E26" i="1" s="1"/>
  <c r="R20" i="1"/>
  <c r="F19" i="1"/>
  <c r="O18" i="1"/>
  <c r="O22" i="1" s="1"/>
  <c r="F17" i="1"/>
  <c r="G16" i="1"/>
  <c r="L15" i="1"/>
  <c r="L22" i="1" s="1"/>
  <c r="K14" i="1"/>
  <c r="K22" i="1" s="1"/>
  <c r="G13" i="1"/>
  <c r="J12" i="1"/>
  <c r="M11" i="1"/>
  <c r="M22" i="1" s="1"/>
  <c r="J10" i="1"/>
  <c r="J22" i="1" s="1"/>
  <c r="O9" i="1"/>
  <c r="F8" i="1"/>
  <c r="R16" i="2"/>
  <c r="J16" i="2"/>
  <c r="I16" i="2"/>
  <c r="E16" i="2"/>
  <c r="E19" i="2" s="1"/>
  <c r="Q14" i="2"/>
  <c r="Q16" i="2" s="1"/>
  <c r="I13" i="2"/>
  <c r="K12" i="2"/>
  <c r="K16" i="2" s="1"/>
  <c r="I11" i="2"/>
  <c r="F10" i="2"/>
  <c r="F16" i="2" s="1"/>
  <c r="H9" i="2"/>
  <c r="H16" i="2" s="1"/>
  <c r="L8" i="2"/>
  <c r="L16" i="2" s="1"/>
  <c r="T23" i="3"/>
  <c r="Q23" i="3"/>
  <c r="P23" i="3"/>
  <c r="O23" i="3"/>
  <c r="N23" i="3"/>
  <c r="L23" i="3"/>
  <c r="K23" i="3"/>
  <c r="I23" i="3"/>
  <c r="H23" i="3"/>
  <c r="E23" i="3"/>
  <c r="E26" i="3" s="1"/>
  <c r="M21" i="3"/>
  <c r="M23" i="3" s="1"/>
  <c r="I20" i="3"/>
  <c r="J19" i="3"/>
  <c r="F18" i="3"/>
  <c r="F17" i="3"/>
  <c r="F16" i="3"/>
  <c r="I15" i="3"/>
  <c r="F14" i="3"/>
  <c r="S13" i="3"/>
  <c r="S23" i="3" s="1"/>
  <c r="R12" i="3"/>
  <c r="F11" i="3"/>
  <c r="F23" i="3" s="1"/>
  <c r="J10" i="3"/>
  <c r="G9" i="3"/>
  <c r="J8" i="3"/>
  <c r="J23" i="3" s="1"/>
  <c r="R7" i="3"/>
  <c r="R23" i="3" s="1"/>
  <c r="G6" i="3"/>
  <c r="G23" i="3" s="1"/>
  <c r="T15" i="4"/>
  <c r="S15" i="4"/>
  <c r="Q15" i="4"/>
  <c r="P15" i="4"/>
  <c r="O15" i="4"/>
  <c r="N15" i="4"/>
  <c r="M15" i="4"/>
  <c r="L15" i="4"/>
  <c r="K15" i="4"/>
  <c r="H15" i="4"/>
  <c r="G15" i="4"/>
  <c r="E15" i="4"/>
  <c r="E18" i="4" s="1"/>
  <c r="G13" i="4"/>
  <c r="I12" i="4"/>
  <c r="I15" i="4" s="1"/>
  <c r="J11" i="4"/>
  <c r="J15" i="4" s="1"/>
  <c r="S10" i="4"/>
  <c r="G9" i="4"/>
  <c r="R8" i="4"/>
  <c r="R15" i="4" s="1"/>
  <c r="F7" i="4"/>
  <c r="F15" i="4" s="1"/>
  <c r="S19" i="5"/>
  <c r="R19" i="5"/>
  <c r="Q19" i="5"/>
  <c r="P19" i="5"/>
  <c r="O19" i="5"/>
  <c r="N19" i="5"/>
  <c r="L19" i="5"/>
  <c r="K19" i="5"/>
  <c r="I19" i="5"/>
  <c r="H19" i="5"/>
  <c r="F19" i="5"/>
  <c r="E19" i="5"/>
  <c r="E22" i="5" s="1"/>
  <c r="F18" i="5"/>
  <c r="J17" i="5"/>
  <c r="J16" i="5"/>
  <c r="G15" i="5"/>
  <c r="N14" i="5"/>
  <c r="R13" i="5"/>
  <c r="J12" i="5"/>
  <c r="M11" i="5"/>
  <c r="M19" i="5" s="1"/>
  <c r="J10" i="5"/>
  <c r="G9" i="5"/>
  <c r="J8" i="5"/>
  <c r="J19" i="5" s="1"/>
  <c r="G7" i="5"/>
  <c r="G19" i="5" s="1"/>
  <c r="L24" i="6"/>
  <c r="K24" i="6"/>
  <c r="E24" i="6"/>
  <c r="E27" i="6" s="1"/>
  <c r="I22" i="6"/>
  <c r="J21" i="6"/>
  <c r="Q20" i="6"/>
  <c r="M19" i="6"/>
  <c r="I18" i="6"/>
  <c r="F17" i="6"/>
  <c r="Q16" i="6"/>
  <c r="H15" i="6"/>
  <c r="I14" i="6"/>
  <c r="Q13" i="6"/>
  <c r="Q24" i="6" s="1"/>
  <c r="F12" i="6"/>
  <c r="F24" i="6" s="1"/>
  <c r="I11" i="6"/>
  <c r="I24" i="6" s="1"/>
  <c r="J10" i="6"/>
  <c r="J24" i="6" s="1"/>
  <c r="R9" i="6"/>
  <c r="R8" i="6"/>
  <c r="R24" i="6" s="1"/>
  <c r="I27" i="7"/>
  <c r="E27" i="7"/>
  <c r="E30" i="7" s="1"/>
  <c r="J25" i="7"/>
  <c r="Q24" i="7"/>
  <c r="R23" i="7"/>
  <c r="L22" i="7"/>
  <c r="L27" i="7" s="1"/>
  <c r="F21" i="7"/>
  <c r="F27" i="7" s="1"/>
  <c r="R20" i="7"/>
  <c r="I19" i="7"/>
  <c r="R18" i="7"/>
  <c r="R17" i="7"/>
  <c r="R16" i="7"/>
  <c r="R15" i="7"/>
  <c r="R14" i="7"/>
  <c r="J13" i="7"/>
  <c r="J27" i="7" s="1"/>
  <c r="Q12" i="7"/>
  <c r="Q27" i="7" s="1"/>
  <c r="K11" i="7"/>
  <c r="K27" i="7" s="1"/>
  <c r="I10" i="7"/>
  <c r="R9" i="7"/>
  <c r="R8" i="7"/>
  <c r="R27" i="7" s="1"/>
  <c r="R25" i="8"/>
  <c r="Q25" i="8"/>
  <c r="P25" i="8"/>
  <c r="N25" i="8"/>
  <c r="M25" i="8"/>
  <c r="I25" i="8"/>
  <c r="H25" i="8"/>
  <c r="F25" i="8"/>
  <c r="E25" i="8"/>
  <c r="D28" i="8" s="1"/>
  <c r="K22" i="8"/>
  <c r="G21" i="8"/>
  <c r="L20" i="8"/>
  <c r="L25" i="8" s="1"/>
  <c r="J19" i="8"/>
  <c r="G18" i="8"/>
  <c r="O16" i="8"/>
  <c r="J16" i="8"/>
  <c r="O15" i="8"/>
  <c r="O14" i="8"/>
  <c r="O13" i="8"/>
  <c r="G13" i="8"/>
  <c r="G25" i="8" s="1"/>
  <c r="O12" i="8"/>
  <c r="J12" i="8"/>
  <c r="J25" i="8" s="1"/>
  <c r="S11" i="8"/>
  <c r="S25" i="8" s="1"/>
  <c r="O10" i="8"/>
  <c r="O9" i="8"/>
  <c r="K8" i="8"/>
  <c r="K25" i="8" s="1"/>
  <c r="O7" i="8"/>
  <c r="O25" i="8" s="1"/>
  <c r="D22" i="20" l="1"/>
  <c r="D26" i="19"/>
  <c r="D17" i="18"/>
  <c r="D24" i="17"/>
  <c r="D15" i="16"/>
  <c r="D15" i="15"/>
  <c r="D20" i="14"/>
  <c r="D20" i="13"/>
  <c r="D25" i="12"/>
  <c r="D27" i="11"/>
  <c r="D19" i="10"/>
  <c r="D27" i="9"/>
  <c r="D26" i="1"/>
  <c r="D19" i="2"/>
  <c r="D24" i="3"/>
  <c r="D26" i="3"/>
  <c r="D18" i="4"/>
  <c r="D22" i="5"/>
  <c r="D27" i="6"/>
  <c r="D30" i="7"/>
  <c r="D26" i="8"/>
</calcChain>
</file>

<file path=xl/sharedStrings.xml><?xml version="1.0" encoding="utf-8"?>
<sst xmlns="http://schemas.openxmlformats.org/spreadsheetml/2006/main" count="1434" uniqueCount="263">
  <si>
    <t>Sri Lanka Telecom (Services) Limited.</t>
  </si>
  <si>
    <t>Petty Cash Exp. Analysis Report</t>
  </si>
  <si>
    <t>OSP Division - Gampaha.</t>
  </si>
  <si>
    <t>PC-OSP-GQ-094</t>
  </si>
  <si>
    <t>Date</t>
  </si>
  <si>
    <t>Description</t>
  </si>
  <si>
    <t>Voucher No</t>
  </si>
  <si>
    <t>Receives</t>
  </si>
  <si>
    <t>Total Expenses</t>
  </si>
  <si>
    <t>Subsistance</t>
  </si>
  <si>
    <t>Staff Welfare</t>
  </si>
  <si>
    <t>Utility Exp.</t>
  </si>
  <si>
    <t>Traveling &amp; Transport-Normal</t>
  </si>
  <si>
    <t>Water Expenses</t>
  </si>
  <si>
    <t>Office Exp.</t>
  </si>
  <si>
    <t>Offi.Equip.Rep &amp; Maint</t>
  </si>
  <si>
    <t>Printing &amp; Stationary Exp.</t>
  </si>
  <si>
    <t>Equipment Hiring Exp.</t>
  </si>
  <si>
    <t>other Exp.</t>
  </si>
  <si>
    <t>Fuel Exp.</t>
  </si>
  <si>
    <t>Postages Fees</t>
  </si>
  <si>
    <t>Janitorial Chgs</t>
  </si>
  <si>
    <t>16/01/2024</t>
  </si>
  <si>
    <t>Exp for labour fees for NC work GQ office 16/01</t>
  </si>
  <si>
    <t>Exp for drill bit charges</t>
  </si>
  <si>
    <t>18/01/2024</t>
  </si>
  <si>
    <t>Exp for labour fees for NC work GQ office 18/01</t>
  </si>
  <si>
    <t>19/01/2024</t>
  </si>
  <si>
    <t>Exp for labour fees for NC work GQ office 19/01</t>
  </si>
  <si>
    <t>20/01/2024</t>
  </si>
  <si>
    <t xml:space="preserve">Exp for office premises cleaning charges </t>
  </si>
  <si>
    <t>Exp for water bottes charges</t>
  </si>
  <si>
    <t>Exp for Tea charges for office staff</t>
  </si>
  <si>
    <t>22/01/2024</t>
  </si>
  <si>
    <t>Exp for labour fees for NC work GQ office 22/01</t>
  </si>
  <si>
    <t>24/01/2024</t>
  </si>
  <si>
    <t>Exp for labour fees for NC work GQ office 24/01</t>
  </si>
  <si>
    <t>25/01/2024</t>
  </si>
  <si>
    <t>26/01/2024</t>
  </si>
  <si>
    <t>27/01/2024</t>
  </si>
  <si>
    <t xml:space="preserve">Exp for GI pipe repairing charges for double sovel </t>
  </si>
  <si>
    <t>29/01/2024</t>
  </si>
  <si>
    <t>Exp for bulb charges for office</t>
  </si>
  <si>
    <t>Balance B/F</t>
  </si>
  <si>
    <t xml:space="preserve"> </t>
  </si>
  <si>
    <t>TOTAL REIMBURSEMENT AMOUNT (RS)</t>
  </si>
  <si>
    <t>…...................................</t>
  </si>
  <si>
    <t>….......................................</t>
  </si>
  <si>
    <t>…........................................</t>
  </si>
  <si>
    <t>Prepared By</t>
  </si>
  <si>
    <t>Checked by</t>
  </si>
  <si>
    <t>Recommended by</t>
  </si>
  <si>
    <t>Approved by</t>
  </si>
  <si>
    <t>Anjula Gayashan</t>
  </si>
  <si>
    <t xml:space="preserve">Janaka Lakmal </t>
  </si>
  <si>
    <t xml:space="preserve">H.H.S.  Priyantha </t>
  </si>
  <si>
    <t xml:space="preserve">Kamal Wijayalath </t>
  </si>
  <si>
    <t xml:space="preserve">Admin Assistant </t>
  </si>
  <si>
    <t>Assistant Accounts</t>
  </si>
  <si>
    <t>Project Manager - OSP</t>
  </si>
  <si>
    <t>Sectional Head-OSP</t>
  </si>
  <si>
    <t>PC-OSP-GQ-095</t>
  </si>
  <si>
    <t>PC-OSP-GQ-028</t>
  </si>
  <si>
    <t>Project Expenses</t>
  </si>
  <si>
    <t>Cleaning Chgs</t>
  </si>
  <si>
    <t>other exp</t>
  </si>
  <si>
    <t>Kaduwea</t>
  </si>
  <si>
    <t>Exp for hired direct labour charges 2024/01/26 to 2024/01/27</t>
  </si>
  <si>
    <t>Exp for hired direct labour charges 2024/01/30 to 2024/01/31</t>
  </si>
  <si>
    <t xml:space="preserve">Exp.for drinking water bottles </t>
  </si>
  <si>
    <t>Exp.for repairing crow-bar</t>
  </si>
  <si>
    <t>Exp. For office premises and surrounding clean</t>
  </si>
  <si>
    <t>Exp. For Two plants send for kaduwela new Office opening</t>
  </si>
  <si>
    <t xml:space="preserve">Exp for hired direct labour charges 2024/02/02 </t>
  </si>
  <si>
    <t>Exp for hired direct labour charges 2024/02/01 to 2024/02/02</t>
  </si>
  <si>
    <t>Exp for hired direct labour charges 2024/02/03</t>
  </si>
  <si>
    <t>Exp for hired direct labour charges 2024/02/05</t>
  </si>
  <si>
    <t>Exp.for drinking water bottles</t>
  </si>
  <si>
    <t>Exp for hired direct labour charges 2024/02/06</t>
  </si>
  <si>
    <t>Exp for tea charges for office staff</t>
  </si>
  <si>
    <t>Exp.for Stationary items office use</t>
  </si>
  <si>
    <t>Exp for hired direct labour charges 2024/02/08</t>
  </si>
  <si>
    <t>Exp for office premises and surrounding cleaning charges</t>
  </si>
  <si>
    <t>Exp for key board charges for GQ area cordinator</t>
  </si>
  <si>
    <t>Reimbursement / PC-OSP-GQ-027</t>
  </si>
  <si>
    <t>PC-OSP-GQ-096</t>
  </si>
  <si>
    <t>Telephone</t>
  </si>
  <si>
    <t>Exp for hired labour payment</t>
  </si>
  <si>
    <t>Exp for electricle kettle charges</t>
  </si>
  <si>
    <t xml:space="preserve">Exp for drinking water bolles </t>
  </si>
  <si>
    <t xml:space="preserve">Exp for essential items </t>
  </si>
  <si>
    <t xml:space="preserve">Exp for grocery bag use for storce items packing </t>
  </si>
  <si>
    <t>Exp for highway charges</t>
  </si>
  <si>
    <t>Office premises and surrounding cleaning charges</t>
  </si>
  <si>
    <t>Exp for essential items charges for office</t>
  </si>
  <si>
    <t xml:space="preserve">Exp for phone card charges </t>
  </si>
  <si>
    <t>Exp for prepair &amp; solding 2 (L) irons for NTB rtom kandy  road crossing connections because 8m poles out of stock</t>
  </si>
  <si>
    <t>Exp for water bottle charges</t>
  </si>
  <si>
    <t>PC-OSP-GQ-097</t>
  </si>
  <si>
    <t>Subsistance Exp.</t>
  </si>
  <si>
    <t>Exp.for tea essential items</t>
  </si>
  <si>
    <t>Exp.for Stationary items</t>
  </si>
  <si>
    <t>Exp.for phone card</t>
  </si>
  <si>
    <t>Exp.JAN &amp; FEB Water bill 2024</t>
  </si>
  <si>
    <t>Exp.for Treat  for SLT staff Members</t>
  </si>
  <si>
    <t>Iresha Ravihari</t>
  </si>
  <si>
    <t>Accounts Executive</t>
  </si>
  <si>
    <t>PC-OSP-GQ-098</t>
  </si>
  <si>
    <t>Janitorial Exp</t>
  </si>
  <si>
    <t>Exp.for Treat  for Mobitel Solar Traniee program</t>
  </si>
  <si>
    <t>Exp.for essential items</t>
  </si>
  <si>
    <t>Exp.for Buy spade handle</t>
  </si>
  <si>
    <t>Exp.for HighwayTransport bill for Mr.Ravindu</t>
  </si>
  <si>
    <t>PC-OSP-GQ-099</t>
  </si>
  <si>
    <t>Exp.for Dinner for Kaduwela boom driver</t>
  </si>
  <si>
    <t>Exp. For 4 battery for FTTH tool kit</t>
  </si>
  <si>
    <t xml:space="preserve">Exp.for Dinner for Mr.Ravindu </t>
  </si>
  <si>
    <t>Exp.for Dinner for PJ-1744 Van driver for-3-21-2024</t>
  </si>
  <si>
    <t>Exp.for Highway Transport bill for Mr.Ravindu</t>
  </si>
  <si>
    <t>23/03/2024</t>
  </si>
  <si>
    <t xml:space="preserve">Exp for permenat marker </t>
  </si>
  <si>
    <t>24/03/2024</t>
  </si>
  <si>
    <t>26/03/2024</t>
  </si>
  <si>
    <t xml:space="preserve">Exp for national water bills </t>
  </si>
  <si>
    <t>27/03/2024</t>
  </si>
  <si>
    <t>Exp for double sovel repairing charges</t>
  </si>
  <si>
    <t>Exp for drinking water bottles charges</t>
  </si>
  <si>
    <t>29/03/2024</t>
  </si>
  <si>
    <t>Office premises &amp; surrounding cleaning charges</t>
  </si>
  <si>
    <t>Janitoroal</t>
  </si>
  <si>
    <t>Exp.for 2 Glouse set for direct team</t>
  </si>
  <si>
    <t xml:space="preserve">Exp.for Dinner for Van driver </t>
  </si>
  <si>
    <t xml:space="preserve">Exp.for 3 Bulb and 2 Holder </t>
  </si>
  <si>
    <t>Exp.Soldering double sovel</t>
  </si>
  <si>
    <t>Exp.Treat forFaulty team Meeting</t>
  </si>
  <si>
    <t>Exp.for skim coat for return invoice rectification</t>
  </si>
  <si>
    <t>Exp.for 1 Glouse set for direct team</t>
  </si>
  <si>
    <t>Exp.for transport bus pair</t>
  </si>
  <si>
    <t>Exp.for Paper plates</t>
  </si>
  <si>
    <t>Exp.for Paper plates Gril bit</t>
  </si>
  <si>
    <t>Exp.for groccery bags</t>
  </si>
  <si>
    <t>Exp.for Mouse for Gqarea cordinator Mr.Tharindu</t>
  </si>
  <si>
    <t>Exp. For repair the crow Bar</t>
  </si>
  <si>
    <t>Hiring Equipment</t>
  </si>
  <si>
    <t>Exp.for repairig office ceiling fans</t>
  </si>
  <si>
    <t>Exp.for repairig Long handle knife</t>
  </si>
  <si>
    <t>Exp. For pay rent a ladder per one day</t>
  </si>
  <si>
    <t>Exp.for buy some tools for direct team</t>
  </si>
  <si>
    <t>Exp.for repairing and solding double sovel</t>
  </si>
  <si>
    <t>Expenses</t>
  </si>
  <si>
    <t>Water bill - April 2024</t>
  </si>
  <si>
    <t>Exp.for drill chuck for direct team</t>
  </si>
  <si>
    <t>Exp.for Vesak day decetations</t>
  </si>
  <si>
    <t>Exp. For 2 battery for FTTH tool kit</t>
  </si>
  <si>
    <t>Exp.for 6mm Concrete Gril bit</t>
  </si>
  <si>
    <t>5/272024</t>
  </si>
  <si>
    <t>Exp. For plastic bucket</t>
  </si>
  <si>
    <t>Exp.for Treat SLT staff members</t>
  </si>
  <si>
    <t>2024.05.31</t>
  </si>
  <si>
    <t>Exp for Premises &amp; Surronding cleaning</t>
  </si>
  <si>
    <t>Exp for tea essential items</t>
  </si>
  <si>
    <t>Exp for hand saw &amp; folding knife for direct team</t>
  </si>
  <si>
    <t>2024.06.01</t>
  </si>
  <si>
    <t>Exp for Drinking water bottle</t>
  </si>
  <si>
    <t>2024.06.04</t>
  </si>
  <si>
    <t>Exp for Stationary item (Glue-01,Blue pen-10)</t>
  </si>
  <si>
    <t>2024.06.05</t>
  </si>
  <si>
    <t>2024.06.06</t>
  </si>
  <si>
    <t>Exp for Groccery bags for packing stores items</t>
  </si>
  <si>
    <t>2024.06.07</t>
  </si>
  <si>
    <t xml:space="preserve">Exp for Anchor Bolt &amp; Grill Bit for CCTV project  NTB OPMC </t>
  </si>
  <si>
    <t xml:space="preserve">Exp for 6mm Grill bit for direct team </t>
  </si>
  <si>
    <t>Lihini Tharushika</t>
  </si>
  <si>
    <t>Accounts Trainee</t>
  </si>
  <si>
    <t xml:space="preserve">Exp.for solding double sovel </t>
  </si>
  <si>
    <t>Exp.Office essential items</t>
  </si>
  <si>
    <t>Exp. For Hand shower set</t>
  </si>
  <si>
    <t>Exp.for Repairing office mobile phone</t>
  </si>
  <si>
    <t>Exp.for CCTV project</t>
  </si>
  <si>
    <t>Project exp</t>
  </si>
  <si>
    <t>Battery exp.for Power meter</t>
  </si>
  <si>
    <t>Highway Charges</t>
  </si>
  <si>
    <t>Parking Expenses</t>
  </si>
  <si>
    <t>2024.07.03</t>
  </si>
  <si>
    <t>Exp. For polytheen bags use for gurbage bags</t>
  </si>
  <si>
    <t>2024.07.24</t>
  </si>
  <si>
    <t>Exp. For Drinking water bottle</t>
  </si>
  <si>
    <t>Exp. For mouse for GQ area cordinating officer</t>
  </si>
  <si>
    <t>2024.07.27</t>
  </si>
  <si>
    <t>Exp. For parking ticket for MR. Ravindu at Access tower</t>
  </si>
  <si>
    <t xml:space="preserve">Exp. For office premisess and surondng cleaning </t>
  </si>
  <si>
    <t>2024.07.29</t>
  </si>
  <si>
    <t>Exp. For parking ticket Ftth work</t>
  </si>
  <si>
    <t>2024.07.31</t>
  </si>
  <si>
    <t>Exp. for sanitory items ( 10 Blue pens )</t>
  </si>
  <si>
    <t>Exp. For teate for SLT staff with quality DGM for GQ/ NTM both Rtom areas quality inspection day</t>
  </si>
  <si>
    <t>2024.08.06</t>
  </si>
  <si>
    <t>Exp. For Tea Essential  items for office</t>
  </si>
  <si>
    <t>Meal Exp. For SLT material unloading day</t>
  </si>
  <si>
    <t>Exp.for 5 battries for 3rd direct team Ftth power meter &amp; Touch</t>
  </si>
  <si>
    <t>Exp. For pay mobile phone card for Mr. Imran for pole irrection work</t>
  </si>
  <si>
    <t>2024.08.07</t>
  </si>
  <si>
    <t>Exp. For one day hired three wheeler chrges</t>
  </si>
  <si>
    <t>2024.08.08</t>
  </si>
  <si>
    <t>Exp. for one day hired three wheeler chrges</t>
  </si>
  <si>
    <t>Exp. for tools for direct team ( Haxo blade,10mm hilty bit )</t>
  </si>
  <si>
    <t>2024.08.09</t>
  </si>
  <si>
    <t>Exp. For Office premisess and suronding cleaning</t>
  </si>
  <si>
    <t>2024.08.11</t>
  </si>
  <si>
    <t>Exp. For Back cover for office phone</t>
  </si>
  <si>
    <t>Meal Exp. For Sunday work team staff</t>
  </si>
  <si>
    <t>2024.08.28</t>
  </si>
  <si>
    <t>Exp. For bulbs for office</t>
  </si>
  <si>
    <t>2024.08.30</t>
  </si>
  <si>
    <t>Exp. for fixing iron haddle for  hammer</t>
  </si>
  <si>
    <t>Exp. For office premisess and surronding cleaning</t>
  </si>
  <si>
    <t>2024.09.01</t>
  </si>
  <si>
    <t>Exp. For tea essential items for office</t>
  </si>
  <si>
    <t>2024.09.02</t>
  </si>
  <si>
    <t>Exp. For  pay grill machine rental charges</t>
  </si>
  <si>
    <t>2024.09.03</t>
  </si>
  <si>
    <t>Exp. For mobile phone package charges for direct team members</t>
  </si>
  <si>
    <t>2024.09.05</t>
  </si>
  <si>
    <t xml:space="preserve">Exp. For office essential items </t>
  </si>
  <si>
    <t>Exp. For stationary items (for Sellotape-4 , Note book-2)</t>
  </si>
  <si>
    <t>Exp. For solding  shovel</t>
  </si>
  <si>
    <t>2024.09.09</t>
  </si>
  <si>
    <t>Exp. For water pipe line repair charges</t>
  </si>
  <si>
    <t>2024.09.11</t>
  </si>
  <si>
    <t>Exp. For stationary items (CR book)</t>
  </si>
  <si>
    <t xml:space="preserve">Exp. For duplo inspection sheet </t>
  </si>
  <si>
    <t>2024.09.13</t>
  </si>
  <si>
    <t>2024.09.18</t>
  </si>
  <si>
    <t>2024.09.20</t>
  </si>
  <si>
    <t>2024.09.23</t>
  </si>
  <si>
    <t>……………………………………….</t>
  </si>
  <si>
    <t>.....................................</t>
  </si>
  <si>
    <t>Certified by</t>
  </si>
  <si>
    <t>K.A.T.C.Kumarapeli</t>
  </si>
  <si>
    <t>Kamal Wijayalath</t>
  </si>
  <si>
    <t>Deputy Manager - OSP Operation</t>
  </si>
  <si>
    <t>HS-OSP</t>
  </si>
  <si>
    <t>HS-Operations</t>
  </si>
  <si>
    <t>2024.09.21</t>
  </si>
  <si>
    <t>Meal Exp. For election day working team for lunch</t>
  </si>
  <si>
    <t>2024.09.26</t>
  </si>
  <si>
    <t>Exp. For repaire the pureit water filter</t>
  </si>
  <si>
    <t xml:space="preserve">Exp. For office essential items &amp; tea essential items </t>
  </si>
  <si>
    <t>Exp. For stationary items (for Blue pen,CR book)</t>
  </si>
  <si>
    <t>Exp. For Mobile phone cards for direct team members</t>
  </si>
  <si>
    <t>Exp. For office premisess &amp; surondding cleaning (Sep. month)</t>
  </si>
  <si>
    <t>2024.09.27</t>
  </si>
  <si>
    <t xml:space="preserve">Exp. For conduit clips </t>
  </si>
  <si>
    <t>2024.09.30</t>
  </si>
  <si>
    <t xml:space="preserve">Exp. For hired grill machine charges </t>
  </si>
  <si>
    <t>2024.10.02</t>
  </si>
  <si>
    <t>2024.10.03</t>
  </si>
  <si>
    <t>Refreshment charges for stock counting working team</t>
  </si>
  <si>
    <t xml:space="preserve">Exp. For tea essential items </t>
  </si>
  <si>
    <t xml:space="preserve">Exp. For parking charges for MD Rtom working area </t>
  </si>
  <si>
    <t>Exp. For 3 grill bits for direct team</t>
  </si>
  <si>
    <t>2024.10.04</t>
  </si>
  <si>
    <t>Exp. For office premisess &amp; surondding cleaning (Oct.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</si>
</sst>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ahoma"/>
      <family val="2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sz val="10"/>
      <color theme="1"/>
      <name val="Tahoma"/>
      <family val="2"/>
    </font>
    <font>
      <b/>
      <i/>
      <sz val="16"/>
      <color theme="1"/>
      <name val="Tahoma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Times New Roman"/>
      <family val="1"/>
    </font>
    <font>
      <b/>
      <i/>
      <sz val="12"/>
      <color theme="1"/>
      <name val="Calibri Light"/>
      <family val="1"/>
      <scheme val="major"/>
    </font>
    <font>
      <sz val="12"/>
      <color theme="1"/>
      <name val="Times New Roman"/>
      <family val="1"/>
    </font>
    <font>
      <b/>
      <i/>
      <sz val="11"/>
      <color theme="1"/>
      <name val="Calibri Light"/>
      <family val="1"/>
      <scheme val="major"/>
    </font>
    <font>
      <b/>
      <sz val="22"/>
      <color theme="1"/>
      <name val="Tahoma"/>
      <family val="2"/>
    </font>
    <font>
      <b/>
      <sz val="20"/>
      <color theme="1"/>
      <name val="Tahoma"/>
      <family val="2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Calibri"/>
      <family val="2"/>
    </font>
    <font>
      <b/>
      <i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4">
    <xf numFmtId="0" fontId="0" fillId="0" borderId="0" xfId="0"/>
    <xf numFmtId="0" fontId="3" fillId="0" borderId="0" xfId="0" applyFont="1"/>
    <xf numFmtId="0" fontId="4" fillId="0" borderId="0" xfId="0" applyFont="1"/>
    <xf numFmtId="43" fontId="4" fillId="0" borderId="0" xfId="1" applyFont="1"/>
    <xf numFmtId="43" fontId="5" fillId="0" borderId="0" xfId="1" applyFont="1" applyAlignment="1"/>
    <xf numFmtId="43" fontId="0" fillId="0" borderId="0" xfId="1" applyFont="1"/>
    <xf numFmtId="0" fontId="6" fillId="0" borderId="0" xfId="0" applyFont="1"/>
    <xf numFmtId="43" fontId="6" fillId="0" borderId="0" xfId="1" applyFont="1"/>
    <xf numFmtId="43" fontId="7" fillId="0" borderId="0" xfId="1" applyFont="1" applyBorder="1" applyAlignment="1">
      <alignment vertical="center"/>
    </xf>
    <xf numFmtId="43" fontId="8" fillId="2" borderId="6" xfId="1" applyFont="1" applyFill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4" fontId="0" fillId="0" borderId="6" xfId="0" applyNumberFormat="1" applyBorder="1"/>
    <xf numFmtId="4" fontId="0" fillId="0" borderId="6" xfId="1" applyNumberFormat="1" applyFont="1" applyBorder="1"/>
    <xf numFmtId="43" fontId="9" fillId="3" borderId="5" xfId="1" applyFont="1" applyFill="1" applyBorder="1" applyAlignment="1">
      <alignment horizontal="center" vertical="center" wrapText="1"/>
    </xf>
    <xf numFmtId="43" fontId="1" fillId="0" borderId="5" xfId="1" applyFont="1" applyBorder="1" applyAlignment="1">
      <alignment horizontal="center" vertical="center" wrapText="1"/>
    </xf>
    <xf numFmtId="43" fontId="1" fillId="0" borderId="5" xfId="1" applyFont="1" applyBorder="1" applyAlignment="1">
      <alignment horizontal="center" vertical="center"/>
    </xf>
    <xf numFmtId="43" fontId="1" fillId="0" borderId="6" xfId="1" applyFont="1" applyBorder="1"/>
    <xf numFmtId="43" fontId="1" fillId="0" borderId="5" xfId="1" applyFont="1" applyBorder="1"/>
    <xf numFmtId="4" fontId="0" fillId="0" borderId="5" xfId="1" applyNumberFormat="1" applyFont="1" applyBorder="1"/>
    <xf numFmtId="14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4" fontId="9" fillId="0" borderId="6" xfId="0" applyNumberFormat="1" applyFont="1" applyBorder="1"/>
    <xf numFmtId="4" fontId="9" fillId="0" borderId="5" xfId="1" applyNumberFormat="1" applyFont="1" applyBorder="1"/>
    <xf numFmtId="43" fontId="9" fillId="0" borderId="5" xfId="1" applyFont="1" applyBorder="1" applyAlignment="1">
      <alignment horizontal="center" vertical="center" wrapText="1"/>
    </xf>
    <xf numFmtId="43" fontId="9" fillId="0" borderId="6" xfId="1" applyFont="1" applyBorder="1"/>
    <xf numFmtId="43" fontId="9" fillId="0" borderId="5" xfId="1" applyFont="1" applyBorder="1" applyAlignment="1">
      <alignment horizontal="center" vertical="center"/>
    </xf>
    <xf numFmtId="43" fontId="0" fillId="0" borderId="6" xfId="1" applyFont="1" applyBorder="1"/>
    <xf numFmtId="43" fontId="0" fillId="0" borderId="5" xfId="1" applyFont="1" applyBorder="1"/>
    <xf numFmtId="43" fontId="9" fillId="0" borderId="5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4" fontId="2" fillId="0" borderId="7" xfId="1" applyNumberFormat="1" applyFont="1" applyBorder="1" applyAlignment="1">
      <alignment vertical="center"/>
    </xf>
    <xf numFmtId="43" fontId="2" fillId="0" borderId="7" xfId="1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43" fontId="2" fillId="0" borderId="0" xfId="1" applyFont="1" applyBorder="1" applyAlignment="1">
      <alignment vertical="center"/>
    </xf>
    <xf numFmtId="0" fontId="10" fillId="0" borderId="0" xfId="0" applyFont="1"/>
    <xf numFmtId="43" fontId="10" fillId="0" borderId="0" xfId="1" applyFont="1"/>
    <xf numFmtId="43" fontId="10" fillId="0" borderId="0" xfId="1" applyFont="1" applyAlignment="1">
      <alignment horizontal="center" vertical="center"/>
    </xf>
    <xf numFmtId="0" fontId="11" fillId="3" borderId="0" xfId="0" applyFont="1" applyFill="1"/>
    <xf numFmtId="0" fontId="12" fillId="3" borderId="0" xfId="0" applyFont="1" applyFill="1"/>
    <xf numFmtId="43" fontId="13" fillId="3" borderId="0" xfId="1" applyFont="1" applyFill="1" applyBorder="1" applyAlignment="1">
      <alignment horizontal="center"/>
    </xf>
    <xf numFmtId="43" fontId="10" fillId="0" borderId="0" xfId="1" applyFont="1" applyAlignment="1"/>
    <xf numFmtId="0" fontId="14" fillId="0" borderId="0" xfId="0" applyFont="1" applyAlignment="1">
      <alignment vertical="top"/>
    </xf>
    <xf numFmtId="0" fontId="14" fillId="0" borderId="0" xfId="0" applyFont="1"/>
    <xf numFmtId="43" fontId="14" fillId="0" borderId="0" xfId="1" applyFont="1" applyAlignment="1"/>
    <xf numFmtId="43" fontId="14" fillId="0" borderId="0" xfId="1" applyFont="1"/>
    <xf numFmtId="0" fontId="9" fillId="3" borderId="0" xfId="0" applyFont="1" applyFill="1"/>
    <xf numFmtId="0" fontId="15" fillId="3" borderId="0" xfId="0" applyFont="1" applyFill="1" applyAlignment="1">
      <alignment horizontal="left"/>
    </xf>
    <xf numFmtId="43" fontId="15" fillId="3" borderId="0" xfId="1" applyFont="1" applyFill="1" applyAlignment="1">
      <alignment horizontal="center"/>
    </xf>
    <xf numFmtId="43" fontId="15" fillId="3" borderId="0" xfId="1" applyFont="1" applyFill="1"/>
    <xf numFmtId="43" fontId="16" fillId="3" borderId="0" xfId="1" applyFont="1" applyFill="1" applyAlignment="1">
      <alignment horizontal="center"/>
    </xf>
    <xf numFmtId="43" fontId="9" fillId="3" borderId="0" xfId="1" applyFont="1" applyFill="1"/>
    <xf numFmtId="0" fontId="10" fillId="3" borderId="0" xfId="0" applyFont="1" applyFill="1"/>
    <xf numFmtId="4" fontId="9" fillId="0" borderId="6" xfId="1" applyNumberFormat="1" applyFont="1" applyBorder="1"/>
    <xf numFmtId="43" fontId="9" fillId="3" borderId="6" xfId="1" applyFont="1" applyFill="1" applyBorder="1" applyAlignment="1">
      <alignment horizontal="center" vertical="center" wrapText="1"/>
    </xf>
    <xf numFmtId="43" fontId="9" fillId="0" borderId="6" xfId="1" applyFont="1" applyBorder="1" applyAlignment="1">
      <alignment horizontal="center" vertical="center" wrapText="1"/>
    </xf>
    <xf numFmtId="43" fontId="9" fillId="0" borderId="6" xfId="1" applyFont="1" applyBorder="1" applyAlignment="1">
      <alignment horizontal="center" vertical="center"/>
    </xf>
    <xf numFmtId="43" fontId="9" fillId="0" borderId="0" xfId="1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4" fontId="2" fillId="0" borderId="6" xfId="1" applyNumberFormat="1" applyFont="1" applyBorder="1" applyAlignment="1">
      <alignment vertical="center"/>
    </xf>
    <xf numFmtId="43" fontId="2" fillId="0" borderId="6" xfId="1" applyFont="1" applyBorder="1" applyAlignment="1">
      <alignment vertical="center"/>
    </xf>
    <xf numFmtId="43" fontId="7" fillId="0" borderId="10" xfId="1" applyFont="1" applyBorder="1" applyAlignment="1">
      <alignment vertical="center"/>
    </xf>
    <xf numFmtId="4" fontId="2" fillId="0" borderId="0" xfId="1" applyNumberFormat="1" applyFont="1" applyBorder="1" applyAlignment="1">
      <alignment vertical="center"/>
    </xf>
    <xf numFmtId="43" fontId="2" fillId="0" borderId="11" xfId="1" applyFont="1" applyBorder="1" applyAlignment="1">
      <alignment vertical="center"/>
    </xf>
    <xf numFmtId="0" fontId="16" fillId="3" borderId="0" xfId="0" applyFont="1" applyFill="1" applyAlignment="1">
      <alignment horizontal="center"/>
    </xf>
    <xf numFmtId="0" fontId="17" fillId="0" borderId="6" xfId="0" applyFont="1" applyBorder="1" applyAlignment="1">
      <alignment horizontal="left" vertical="center"/>
    </xf>
    <xf numFmtId="4" fontId="9" fillId="0" borderId="6" xfId="1" applyNumberFormat="1" applyFont="1" applyFill="1" applyBorder="1" applyAlignment="1">
      <alignment horizontal="center" vertical="center"/>
    </xf>
    <xf numFmtId="4" fontId="9" fillId="3" borderId="5" xfId="1" applyNumberFormat="1" applyFont="1" applyFill="1" applyBorder="1" applyAlignment="1">
      <alignment horizontal="center" vertical="center"/>
    </xf>
    <xf numFmtId="4" fontId="0" fillId="0" borderId="5" xfId="1" applyNumberFormat="1" applyFont="1" applyBorder="1" applyAlignment="1"/>
    <xf numFmtId="43" fontId="9" fillId="3" borderId="5" xfId="1" applyFont="1" applyFill="1" applyBorder="1" applyAlignment="1">
      <alignment horizontal="center" vertical="center"/>
    </xf>
    <xf numFmtId="43" fontId="1" fillId="0" borderId="6" xfId="1" applyFont="1" applyBorder="1" applyAlignment="1"/>
    <xf numFmtId="43" fontId="1" fillId="0" borderId="5" xfId="1" applyFont="1" applyBorder="1" applyAlignment="1"/>
    <xf numFmtId="4" fontId="9" fillId="0" borderId="6" xfId="1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4" fontId="9" fillId="0" borderId="5" xfId="0" applyNumberFormat="1" applyFont="1" applyBorder="1"/>
    <xf numFmtId="4" fontId="9" fillId="0" borderId="5" xfId="1" applyNumberFormat="1" applyFont="1" applyBorder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4" fontId="9" fillId="0" borderId="6" xfId="1" applyNumberFormat="1" applyFont="1" applyFill="1" applyBorder="1" applyAlignment="1">
      <alignment horizontal="center" vertical="center" wrapText="1"/>
    </xf>
    <xf numFmtId="4" fontId="9" fillId="3" borderId="5" xfId="1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 wrapText="1"/>
    </xf>
    <xf numFmtId="4" fontId="0" fillId="0" borderId="6" xfId="1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4" fontId="0" fillId="0" borderId="5" xfId="0" applyNumberFormat="1" applyBorder="1"/>
    <xf numFmtId="4" fontId="0" fillId="0" borderId="5" xfId="1" applyNumberFormat="1" applyFont="1" applyBorder="1" applyAlignment="1">
      <alignment horizontal="center"/>
    </xf>
    <xf numFmtId="4" fontId="2" fillId="0" borderId="12" xfId="1" applyNumberFormat="1" applyFont="1" applyBorder="1" applyAlignment="1">
      <alignment vertical="center"/>
    </xf>
    <xf numFmtId="43" fontId="2" fillId="0" borderId="13" xfId="1" applyFont="1" applyBorder="1" applyAlignment="1">
      <alignment vertical="center"/>
    </xf>
    <xf numFmtId="43" fontId="9" fillId="0" borderId="6" xfId="1" applyFont="1" applyBorder="1" applyAlignment="1">
      <alignment horizontal="center"/>
    </xf>
    <xf numFmtId="16" fontId="17" fillId="0" borderId="6" xfId="0" applyNumberFormat="1" applyFont="1" applyBorder="1" applyAlignment="1">
      <alignment horizontal="left" vertical="center"/>
    </xf>
    <xf numFmtId="43" fontId="9" fillId="3" borderId="14" xfId="1" applyFont="1" applyFill="1" applyBorder="1" applyAlignment="1">
      <alignment horizontal="center" vertical="center" wrapText="1"/>
    </xf>
    <xf numFmtId="43" fontId="1" fillId="0" borderId="14" xfId="1" applyFont="1" applyBorder="1" applyAlignment="1">
      <alignment horizontal="center" vertical="center" wrapText="1"/>
    </xf>
    <xf numFmtId="43" fontId="1" fillId="0" borderId="14" xfId="1" applyFont="1" applyBorder="1" applyAlignment="1">
      <alignment horizontal="center" vertical="center"/>
    </xf>
    <xf numFmtId="43" fontId="1" fillId="0" borderId="15" xfId="1" applyFont="1" applyBorder="1"/>
    <xf numFmtId="43" fontId="1" fillId="0" borderId="14" xfId="1" applyFont="1" applyBorder="1"/>
    <xf numFmtId="0" fontId="15" fillId="3" borderId="0" xfId="0" applyFont="1" applyFill="1" applyAlignment="1">
      <alignment horizontal="center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43" fontId="1" fillId="0" borderId="6" xfId="1" applyFont="1" applyBorder="1" applyAlignment="1">
      <alignment horizontal="center" vertical="center" wrapText="1"/>
    </xf>
    <xf numFmtId="16" fontId="17" fillId="0" borderId="6" xfId="0" applyNumberFormat="1" applyFont="1" applyBorder="1" applyAlignment="1">
      <alignment horizontal="left" vertical="center" wrapText="1"/>
    </xf>
    <xf numFmtId="43" fontId="0" fillId="0" borderId="6" xfId="1" applyFont="1" applyBorder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" fontId="17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4" fontId="0" fillId="0" borderId="1" xfId="0" applyNumberFormat="1" applyBorder="1"/>
    <xf numFmtId="43" fontId="2" fillId="0" borderId="13" xfId="1" applyFont="1" applyBorder="1"/>
    <xf numFmtId="0" fontId="0" fillId="0" borderId="6" xfId="0" applyBorder="1"/>
    <xf numFmtId="16" fontId="17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4" fontId="2" fillId="0" borderId="0" xfId="0" applyNumberFormat="1" applyFont="1"/>
    <xf numFmtId="43" fontId="0" fillId="0" borderId="0" xfId="1" applyFont="1" applyBorder="1"/>
    <xf numFmtId="43" fontId="9" fillId="3" borderId="0" xfId="1" applyFont="1" applyFill="1" applyBorder="1" applyAlignment="1">
      <alignment horizontal="center" vertical="center" wrapText="1"/>
    </xf>
    <xf numFmtId="43" fontId="1" fillId="0" borderId="0" xfId="1" applyFont="1" applyBorder="1" applyAlignment="1">
      <alignment horizontal="center" vertical="center" wrapText="1"/>
    </xf>
    <xf numFmtId="43" fontId="1" fillId="0" borderId="0" xfId="1" applyFont="1" applyBorder="1" applyAlignment="1">
      <alignment horizontal="center" vertical="center"/>
    </xf>
    <xf numFmtId="43" fontId="1" fillId="0" borderId="0" xfId="1" applyFont="1" applyBorder="1"/>
    <xf numFmtId="0" fontId="2" fillId="0" borderId="0" xfId="0" applyFont="1" applyAlignment="1">
      <alignment horizontal="left" vertical="center" wrapText="1"/>
    </xf>
    <xf numFmtId="0" fontId="14" fillId="0" borderId="0" xfId="0" applyFont="1" applyAlignment="1">
      <alignment wrapText="1"/>
    </xf>
    <xf numFmtId="0" fontId="15" fillId="3" borderId="0" xfId="0" applyFont="1" applyFill="1" applyAlignment="1">
      <alignment horizontal="left" wrapText="1"/>
    </xf>
    <xf numFmtId="0" fontId="15" fillId="3" borderId="0" xfId="0" applyFont="1" applyFill="1" applyAlignment="1">
      <alignment horizontal="center" wrapText="1"/>
    </xf>
    <xf numFmtId="43" fontId="18" fillId="3" borderId="0" xfId="1" applyFont="1" applyFill="1" applyAlignment="1">
      <alignment horizontal="center"/>
    </xf>
    <xf numFmtId="0" fontId="9" fillId="3" borderId="0" xfId="0" applyFont="1" applyFill="1" applyAlignment="1">
      <alignment wrapText="1"/>
    </xf>
    <xf numFmtId="0" fontId="10" fillId="3" borderId="0" xfId="0" applyFont="1" applyFill="1" applyAlignment="1">
      <alignment wrapText="1"/>
    </xf>
    <xf numFmtId="43" fontId="10" fillId="0" borderId="0" xfId="1" applyFont="1" applyBorder="1"/>
    <xf numFmtId="0" fontId="10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14" fontId="9" fillId="0" borderId="0" xfId="0" applyNumberFormat="1" applyFont="1" applyAlignment="1">
      <alignment horizontal="center" vertical="center"/>
    </xf>
    <xf numFmtId="0" fontId="21" fillId="3" borderId="0" xfId="0" applyFont="1" applyFill="1" applyAlignment="1">
      <alignment horizontal="center" wrapText="1"/>
    </xf>
    <xf numFmtId="43" fontId="21" fillId="3" borderId="0" xfId="1" applyFont="1" applyFill="1" applyAlignment="1">
      <alignment horizontal="center"/>
    </xf>
    <xf numFmtId="43" fontId="21" fillId="3" borderId="0" xfId="1" applyFont="1" applyFill="1"/>
    <xf numFmtId="43" fontId="5" fillId="3" borderId="0" xfId="1" applyFont="1" applyFill="1" applyAlignment="1"/>
    <xf numFmtId="43" fontId="6" fillId="3" borderId="0" xfId="1" applyFont="1" applyFill="1"/>
    <xf numFmtId="43" fontId="8" fillId="4" borderId="6" xfId="1" applyFont="1" applyFill="1" applyBorder="1" applyAlignment="1">
      <alignment horizontal="center" vertical="center" wrapText="1"/>
    </xf>
    <xf numFmtId="43" fontId="1" fillId="3" borderId="5" xfId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4" fontId="0" fillId="0" borderId="17" xfId="0" applyNumberFormat="1" applyBorder="1"/>
    <xf numFmtId="43" fontId="0" fillId="0" borderId="18" xfId="1" applyFont="1" applyBorder="1"/>
    <xf numFmtId="43" fontId="9" fillId="3" borderId="18" xfId="1" applyFont="1" applyFill="1" applyBorder="1" applyAlignment="1">
      <alignment horizontal="center" vertical="center" wrapText="1"/>
    </xf>
    <xf numFmtId="43" fontId="1" fillId="0" borderId="18" xfId="1" applyFont="1" applyBorder="1" applyAlignment="1">
      <alignment horizontal="center" vertical="center" wrapText="1"/>
    </xf>
    <xf numFmtId="43" fontId="1" fillId="3" borderId="18" xfId="1" applyFont="1" applyFill="1" applyBorder="1" applyAlignment="1">
      <alignment horizontal="center" vertical="center" wrapText="1"/>
    </xf>
    <xf numFmtId="43" fontId="1" fillId="0" borderId="18" xfId="1" applyFont="1" applyBorder="1" applyAlignment="1">
      <alignment horizontal="center" vertical="center"/>
    </xf>
    <xf numFmtId="43" fontId="1" fillId="0" borderId="1" xfId="1" applyFont="1" applyBorder="1"/>
    <xf numFmtId="43" fontId="1" fillId="0" borderId="18" xfId="1" applyFont="1" applyBorder="1"/>
    <xf numFmtId="16" fontId="17" fillId="0" borderId="1" xfId="0" applyNumberFormat="1" applyFont="1" applyBorder="1" applyAlignment="1">
      <alignment horizontal="left" vertical="center"/>
    </xf>
    <xf numFmtId="43" fontId="0" fillId="0" borderId="1" xfId="1" applyFont="1" applyBorder="1"/>
    <xf numFmtId="43" fontId="9" fillId="3" borderId="1" xfId="1" applyFont="1" applyFill="1" applyBorder="1" applyAlignment="1">
      <alignment horizontal="center" vertical="center" wrapText="1"/>
    </xf>
    <xf numFmtId="43" fontId="1" fillId="0" borderId="1" xfId="1" applyFont="1" applyBorder="1" applyAlignment="1">
      <alignment horizontal="center" vertical="center" wrapText="1"/>
    </xf>
    <xf numFmtId="43" fontId="1" fillId="3" borderId="1" xfId="1" applyFont="1" applyFill="1" applyBorder="1" applyAlignment="1">
      <alignment horizontal="center" vertical="center" wrapText="1"/>
    </xf>
    <xf numFmtId="43" fontId="1" fillId="0" borderId="1" xfId="1" applyFont="1" applyBorder="1" applyAlignment="1">
      <alignment horizontal="center" vertical="center"/>
    </xf>
    <xf numFmtId="0" fontId="0" fillId="0" borderId="1" xfId="0" applyBorder="1"/>
    <xf numFmtId="43" fontId="1" fillId="3" borderId="6" xfId="1" applyFont="1" applyFill="1" applyBorder="1" applyAlignment="1">
      <alignment horizontal="center" vertical="center" wrapText="1"/>
    </xf>
    <xf numFmtId="43" fontId="1" fillId="0" borderId="6" xfId="1" applyFont="1" applyBorder="1" applyAlignment="1">
      <alignment horizontal="center" vertical="center"/>
    </xf>
    <xf numFmtId="4" fontId="1" fillId="0" borderId="6" xfId="1" applyNumberFormat="1" applyFont="1" applyBorder="1" applyAlignment="1">
      <alignment vertical="center"/>
    </xf>
    <xf numFmtId="43" fontId="0" fillId="3" borderId="6" xfId="1" applyFont="1" applyFill="1" applyBorder="1"/>
    <xf numFmtId="16" fontId="17" fillId="0" borderId="0" xfId="0" applyNumberFormat="1" applyFont="1" applyAlignment="1">
      <alignment horizontal="left" vertical="center"/>
    </xf>
    <xf numFmtId="43" fontId="0" fillId="0" borderId="12" xfId="1" applyFont="1" applyBorder="1"/>
    <xf numFmtId="43" fontId="10" fillId="3" borderId="0" xfId="1" applyFont="1" applyFill="1"/>
    <xf numFmtId="43" fontId="10" fillId="3" borderId="0" xfId="1" applyFont="1" applyFill="1" applyAlignment="1"/>
    <xf numFmtId="43" fontId="14" fillId="3" borderId="0" xfId="1" applyFont="1" applyFill="1" applyAlignment="1"/>
    <xf numFmtId="43" fontId="2" fillId="0" borderId="12" xfId="1" applyFont="1" applyBorder="1"/>
    <xf numFmtId="0" fontId="0" fillId="2" borderId="0" xfId="0" applyFill="1"/>
    <xf numFmtId="14" fontId="22" fillId="0" borderId="0" xfId="0" applyNumberFormat="1" applyFont="1" applyAlignment="1">
      <alignment horizontal="center" vertical="center"/>
    </xf>
    <xf numFmtId="16" fontId="23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" fillId="0" borderId="0" xfId="0" applyFont="1"/>
    <xf numFmtId="0" fontId="24" fillId="0" borderId="0" xfId="0" applyFont="1" applyAlignment="1">
      <alignment horizontal="center" vertical="top"/>
    </xf>
    <xf numFmtId="0" fontId="24" fillId="0" borderId="0" xfId="0" applyFont="1" applyAlignment="1">
      <alignment horizontal="center" wrapText="1"/>
    </xf>
    <xf numFmtId="43" fontId="24" fillId="0" borderId="0" xfId="1" applyFont="1" applyFill="1" applyAlignment="1">
      <alignment horizontal="center" vertical="center"/>
    </xf>
    <xf numFmtId="43" fontId="25" fillId="0" borderId="0" xfId="1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43" fontId="24" fillId="0" borderId="0" xfId="1" applyFont="1" applyAlignment="1">
      <alignment horizontal="center"/>
    </xf>
    <xf numFmtId="43" fontId="24" fillId="0" borderId="0" xfId="1" applyFont="1" applyAlignment="1">
      <alignment horizontal="center" vertical="center"/>
    </xf>
    <xf numFmtId="43" fontId="24" fillId="0" borderId="0" xfId="1" applyFont="1" applyFill="1" applyAlignment="1">
      <alignment horizontal="center"/>
    </xf>
    <xf numFmtId="43" fontId="24" fillId="0" borderId="0" xfId="1" applyFont="1" applyFill="1" applyAlignment="1"/>
    <xf numFmtId="0" fontId="26" fillId="0" borderId="0" xfId="0" applyFont="1"/>
    <xf numFmtId="0" fontId="21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/>
    </xf>
    <xf numFmtId="43" fontId="27" fillId="0" borderId="0" xfId="1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center"/>
    </xf>
    <xf numFmtId="43" fontId="15" fillId="0" borderId="0" xfId="1" applyFont="1" applyFill="1" applyAlignment="1">
      <alignment horizontal="center"/>
    </xf>
    <xf numFmtId="43" fontId="15" fillId="0" borderId="0" xfId="1" applyFont="1" applyFill="1" applyAlignment="1"/>
    <xf numFmtId="0" fontId="21" fillId="0" borderId="0" xfId="0" applyFont="1" applyAlignment="1">
      <alignment horizontal="center" wrapText="1"/>
    </xf>
    <xf numFmtId="43" fontId="21" fillId="0" borderId="0" xfId="1" applyFont="1" applyAlignment="1">
      <alignment horizontal="center" vertical="center"/>
    </xf>
    <xf numFmtId="4" fontId="0" fillId="0" borderId="6" xfId="0" applyNumberFormat="1" applyBorder="1" applyAlignment="1">
      <alignment vertical="center"/>
    </xf>
    <xf numFmtId="43" fontId="0" fillId="0" borderId="5" xfId="1" applyFont="1" applyBorder="1" applyAlignment="1">
      <alignment vertical="center"/>
    </xf>
    <xf numFmtId="43" fontId="1" fillId="0" borderId="6" xfId="1" applyFont="1" applyBorder="1" applyAlignment="1">
      <alignment vertical="center"/>
    </xf>
    <xf numFmtId="43" fontId="1" fillId="0" borderId="5" xfId="1" applyFont="1" applyBorder="1" applyAlignment="1">
      <alignment vertical="center"/>
    </xf>
    <xf numFmtId="0" fontId="0" fillId="0" borderId="0" xfId="0" applyAlignment="1">
      <alignment vertical="center"/>
    </xf>
    <xf numFmtId="43" fontId="14" fillId="3" borderId="0" xfId="1" applyFont="1" applyFill="1"/>
    <xf numFmtId="43" fontId="2" fillId="0" borderId="0" xfId="1" applyFont="1"/>
    <xf numFmtId="43" fontId="14" fillId="0" borderId="0" xfId="1" applyFont="1" applyAlignment="1">
      <alignment horizontal="center" vertical="center"/>
    </xf>
    <xf numFmtId="0" fontId="11" fillId="3" borderId="0" xfId="0" applyFont="1" applyFill="1" applyAlignment="1">
      <alignment horizontal="center" wrapText="1"/>
    </xf>
    <xf numFmtId="43" fontId="13" fillId="3" borderId="8" xfId="1" applyFont="1" applyFill="1" applyBorder="1" applyAlignment="1">
      <alignment horizontal="center"/>
    </xf>
    <xf numFmtId="43" fontId="13" fillId="3" borderId="9" xfId="1" applyFont="1" applyFill="1" applyBorder="1" applyAlignment="1">
      <alignment horizontal="center"/>
    </xf>
    <xf numFmtId="43" fontId="7" fillId="0" borderId="0" xfId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43" fontId="8" fillId="2" borderId="6" xfId="1" applyFont="1" applyFill="1" applyBorder="1" applyAlignment="1">
      <alignment horizontal="center" vertical="center" wrapText="1"/>
    </xf>
    <xf numFmtId="43" fontId="10" fillId="0" borderId="0" xfId="1" applyFont="1" applyAlignment="1">
      <alignment horizontal="center" vertical="center"/>
    </xf>
    <xf numFmtId="43" fontId="8" fillId="2" borderId="6" xfId="1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43" fontId="8" fillId="2" borderId="1" xfId="1" applyFont="1" applyFill="1" applyBorder="1" applyAlignment="1">
      <alignment horizontal="center" vertical="center"/>
    </xf>
    <xf numFmtId="43" fontId="8" fillId="2" borderId="5" xfId="1" applyFont="1" applyFill="1" applyBorder="1" applyAlignment="1">
      <alignment horizontal="center" vertical="center"/>
    </xf>
    <xf numFmtId="43" fontId="8" fillId="2" borderId="1" xfId="1" applyFont="1" applyFill="1" applyBorder="1" applyAlignment="1">
      <alignment horizontal="center" vertical="center" wrapText="1"/>
    </xf>
    <xf numFmtId="43" fontId="8" fillId="2" borderId="5" xfId="1" applyFont="1" applyFill="1" applyBorder="1" applyAlignment="1">
      <alignment horizontal="center" vertical="center" wrapText="1"/>
    </xf>
    <xf numFmtId="43" fontId="0" fillId="2" borderId="2" xfId="1" applyFont="1" applyFill="1" applyBorder="1" applyAlignment="1">
      <alignment horizontal="center"/>
    </xf>
    <xf numFmtId="43" fontId="0" fillId="2" borderId="3" xfId="1" applyFont="1" applyFill="1" applyBorder="1" applyAlignment="1">
      <alignment horizontal="center"/>
    </xf>
    <xf numFmtId="43" fontId="0" fillId="2" borderId="4" xfId="1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8B41-E613-456C-99F4-74583E049A2D}">
  <dimension ref="A1:BH62"/>
  <sheetViews>
    <sheetView tabSelected="1" workbookViewId="0">
      <selection activeCell="B14" sqref="B14"/>
    </sheetView>
  </sheetViews>
  <sheetFormatPr defaultRowHeight="15.6" x14ac:dyDescent="0.3"/>
  <cols>
    <col min="1" max="1" width="11.88671875" style="37" customWidth="1"/>
    <col min="2" max="2" width="57.33203125" style="124" customWidth="1"/>
    <col min="3" max="3" width="10.6640625" style="37" bestFit="1" customWidth="1"/>
    <col min="4" max="4" width="12.6640625" style="37" customWidth="1"/>
    <col min="5" max="5" width="10.5546875" style="38" bestFit="1" customWidth="1"/>
    <col min="6" max="6" width="9.5546875" style="38" bestFit="1" customWidth="1"/>
    <col min="7" max="7" width="11.33203125" style="38" customWidth="1"/>
    <col min="8" max="8" width="13.44140625" style="38" hidden="1" customWidth="1"/>
    <col min="9" max="9" width="10.88671875" style="38" hidden="1" customWidth="1"/>
    <col min="10" max="10" width="8.109375" style="38" hidden="1" customWidth="1"/>
    <col min="11" max="11" width="6.33203125" style="38" hidden="1" customWidth="1"/>
    <col min="12" max="12" width="13.33203125" style="38" customWidth="1"/>
    <col min="13" max="13" width="10.6640625" style="157" customWidth="1"/>
    <col min="14" max="14" width="9.44140625" style="38" bestFit="1" customWidth="1"/>
    <col min="15" max="15" width="11" style="38" customWidth="1"/>
    <col min="16" max="16" width="12.88671875" style="38" hidden="1" customWidth="1"/>
    <col min="17" max="17" width="10.88671875" style="5" hidden="1" customWidth="1"/>
    <col min="18" max="18" width="11" style="5" customWidth="1"/>
    <col min="19" max="19" width="9.6640625" style="5" customWidth="1"/>
    <col min="20" max="20" width="8.5546875" style="5" hidden="1" customWidth="1"/>
    <col min="21" max="21" width="9.5546875" style="5" bestFit="1" customWidth="1"/>
  </cols>
  <sheetData>
    <row r="1" spans="1:21" ht="29.4" x14ac:dyDescent="0.45">
      <c r="A1" s="1" t="s">
        <v>0</v>
      </c>
      <c r="B1" s="97"/>
      <c r="C1" s="2"/>
      <c r="D1" s="3"/>
      <c r="E1" s="3"/>
      <c r="F1" s="3"/>
      <c r="G1" s="3"/>
      <c r="H1" s="3"/>
      <c r="I1" s="3" t="s">
        <v>1</v>
      </c>
      <c r="K1" s="4"/>
      <c r="L1" s="4"/>
      <c r="M1" s="131"/>
      <c r="N1" s="4"/>
      <c r="O1" s="4"/>
      <c r="P1" s="4"/>
    </row>
    <row r="2" spans="1:21" ht="29.4" x14ac:dyDescent="0.45">
      <c r="A2" s="1" t="s">
        <v>2</v>
      </c>
      <c r="B2" s="98"/>
      <c r="C2" s="6"/>
      <c r="D2" s="7"/>
      <c r="E2" s="7"/>
      <c r="F2" s="7"/>
      <c r="G2" s="3"/>
      <c r="H2" s="7"/>
      <c r="I2" s="7"/>
      <c r="J2" s="7"/>
      <c r="K2" s="7"/>
      <c r="L2" s="7"/>
      <c r="M2" s="132"/>
      <c r="N2" s="7"/>
      <c r="O2" s="7"/>
      <c r="P2" s="7"/>
    </row>
    <row r="3" spans="1:21" ht="20.399999999999999" x14ac:dyDescent="0.3">
      <c r="A3" s="6"/>
      <c r="B3" s="98"/>
      <c r="C3" s="6"/>
      <c r="D3" s="7"/>
      <c r="E3" s="7"/>
      <c r="F3" s="7"/>
      <c r="G3" s="7"/>
      <c r="H3" s="198"/>
      <c r="I3" s="198" t="s">
        <v>62</v>
      </c>
      <c r="J3" s="198"/>
      <c r="K3" s="198"/>
      <c r="L3" s="198"/>
      <c r="M3" s="198"/>
      <c r="N3" s="198"/>
      <c r="O3" s="198"/>
      <c r="P3" s="198"/>
    </row>
    <row r="4" spans="1:21" ht="15" customHeight="1" x14ac:dyDescent="0.3">
      <c r="A4" s="199" t="s">
        <v>4</v>
      </c>
      <c r="B4" s="200" t="s">
        <v>5</v>
      </c>
      <c r="C4" s="200" t="s">
        <v>6</v>
      </c>
      <c r="D4" s="200" t="s">
        <v>7</v>
      </c>
      <c r="E4" s="200" t="s">
        <v>149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</row>
    <row r="5" spans="1:21" ht="48.75" customHeight="1" x14ac:dyDescent="0.3">
      <c r="A5" s="199"/>
      <c r="B5" s="200"/>
      <c r="C5" s="200"/>
      <c r="D5" s="200"/>
      <c r="E5" s="9" t="s">
        <v>8</v>
      </c>
      <c r="F5" s="9" t="s">
        <v>10</v>
      </c>
      <c r="G5" s="9" t="s">
        <v>9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86</v>
      </c>
      <c r="O5" s="9" t="s">
        <v>143</v>
      </c>
      <c r="P5" s="9" t="s">
        <v>19</v>
      </c>
      <c r="Q5" s="9" t="s">
        <v>12</v>
      </c>
      <c r="R5" s="9" t="s">
        <v>129</v>
      </c>
      <c r="S5" s="9" t="s">
        <v>182</v>
      </c>
      <c r="T5" s="9" t="s">
        <v>65</v>
      </c>
      <c r="U5" s="9" t="s">
        <v>63</v>
      </c>
    </row>
    <row r="6" spans="1:21" s="191" customFormat="1" x14ac:dyDescent="0.3">
      <c r="A6" s="21" t="s">
        <v>243</v>
      </c>
      <c r="B6" s="103" t="s">
        <v>244</v>
      </c>
      <c r="C6" s="79">
        <v>19424</v>
      </c>
      <c r="D6" s="187"/>
      <c r="E6" s="188">
        <v>5000</v>
      </c>
      <c r="F6" s="15"/>
      <c r="G6" s="15">
        <f>E6</f>
        <v>5000</v>
      </c>
      <c r="H6" s="16"/>
      <c r="I6" s="16"/>
      <c r="J6" s="16"/>
      <c r="K6" s="16"/>
      <c r="L6" s="16"/>
      <c r="M6" s="134"/>
      <c r="N6" s="16"/>
      <c r="O6" s="16"/>
      <c r="P6" s="17"/>
      <c r="Q6" s="189"/>
      <c r="R6" s="189"/>
      <c r="S6" s="190"/>
      <c r="T6" s="190"/>
      <c r="U6" s="190"/>
    </row>
    <row r="7" spans="1:21" s="191" customFormat="1" x14ac:dyDescent="0.3">
      <c r="A7" s="21" t="s">
        <v>234</v>
      </c>
      <c r="B7" s="103" t="s">
        <v>244</v>
      </c>
      <c r="C7" s="79">
        <v>19425</v>
      </c>
      <c r="D7" s="187"/>
      <c r="E7" s="188">
        <v>2500</v>
      </c>
      <c r="F7" s="15"/>
      <c r="G7" s="15">
        <f>E7</f>
        <v>2500</v>
      </c>
      <c r="H7" s="16"/>
      <c r="I7" s="16"/>
      <c r="J7" s="16"/>
      <c r="K7" s="16"/>
      <c r="L7" s="16"/>
      <c r="M7" s="134"/>
      <c r="N7" s="16"/>
      <c r="O7" s="16"/>
      <c r="P7" s="17"/>
      <c r="Q7" s="189"/>
      <c r="R7" s="189"/>
      <c r="S7" s="190"/>
      <c r="T7" s="190"/>
      <c r="U7" s="190"/>
    </row>
    <row r="8" spans="1:21" s="191" customFormat="1" x14ac:dyDescent="0.3">
      <c r="A8" s="21" t="s">
        <v>245</v>
      </c>
      <c r="B8" s="100" t="s">
        <v>246</v>
      </c>
      <c r="C8" s="79">
        <v>19426</v>
      </c>
      <c r="D8" s="187"/>
      <c r="E8" s="188">
        <v>4250</v>
      </c>
      <c r="F8" s="15"/>
      <c r="G8" s="15"/>
      <c r="H8" s="16"/>
      <c r="I8" s="16"/>
      <c r="J8" s="16"/>
      <c r="K8" s="16"/>
      <c r="L8" s="16">
        <f>E8</f>
        <v>4250</v>
      </c>
      <c r="M8" s="134"/>
      <c r="N8" s="16"/>
      <c r="O8" s="16"/>
      <c r="P8" s="17"/>
      <c r="Q8" s="189"/>
      <c r="R8" s="189"/>
      <c r="S8" s="190"/>
      <c r="T8" s="190"/>
      <c r="U8" s="190"/>
    </row>
    <row r="9" spans="1:21" s="191" customFormat="1" x14ac:dyDescent="0.3">
      <c r="A9" s="21" t="s">
        <v>245</v>
      </c>
      <c r="B9" s="100" t="s">
        <v>247</v>
      </c>
      <c r="C9" s="79">
        <v>19427</v>
      </c>
      <c r="D9" s="187"/>
      <c r="E9" s="188">
        <v>2950</v>
      </c>
      <c r="F9" s="15">
        <v>1650</v>
      </c>
      <c r="G9" s="15">
        <v>1300</v>
      </c>
      <c r="H9" s="16"/>
      <c r="I9" s="16"/>
      <c r="J9" s="16"/>
      <c r="K9" s="16"/>
      <c r="L9" s="16"/>
      <c r="M9" s="134"/>
      <c r="N9" s="16"/>
      <c r="O9" s="16"/>
      <c r="P9" s="17"/>
      <c r="Q9" s="189"/>
      <c r="R9" s="189"/>
      <c r="S9" s="190"/>
      <c r="T9" s="190"/>
      <c r="U9" s="190"/>
    </row>
    <row r="10" spans="1:21" s="191" customFormat="1" x14ac:dyDescent="0.3">
      <c r="A10" s="21" t="s">
        <v>245</v>
      </c>
      <c r="B10" s="100" t="s">
        <v>248</v>
      </c>
      <c r="C10" s="79">
        <v>19428</v>
      </c>
      <c r="D10" s="187"/>
      <c r="E10" s="188">
        <v>790</v>
      </c>
      <c r="F10" s="15"/>
      <c r="G10" s="15"/>
      <c r="H10" s="16"/>
      <c r="I10" s="16"/>
      <c r="J10" s="16"/>
      <c r="K10" s="16"/>
      <c r="L10" s="16"/>
      <c r="M10" s="134">
        <f>E10</f>
        <v>790</v>
      </c>
      <c r="N10" s="16"/>
      <c r="O10" s="16"/>
      <c r="P10" s="17"/>
      <c r="Q10" s="189"/>
      <c r="R10" s="189"/>
      <c r="S10" s="190"/>
      <c r="T10" s="190"/>
      <c r="U10" s="190"/>
    </row>
    <row r="11" spans="1:21" s="191" customFormat="1" x14ac:dyDescent="0.3">
      <c r="A11" s="21" t="s">
        <v>245</v>
      </c>
      <c r="B11" s="82" t="s">
        <v>249</v>
      </c>
      <c r="C11" s="79">
        <v>19429</v>
      </c>
      <c r="D11" s="187"/>
      <c r="E11" s="188">
        <v>200</v>
      </c>
      <c r="F11" s="15"/>
      <c r="G11" s="15"/>
      <c r="H11" s="16"/>
      <c r="I11" s="16"/>
      <c r="J11" s="16"/>
      <c r="K11" s="16"/>
      <c r="L11" s="16"/>
      <c r="M11" s="134"/>
      <c r="N11" s="16">
        <f>E11</f>
        <v>200</v>
      </c>
      <c r="O11" s="16"/>
      <c r="P11" s="17"/>
      <c r="Q11" s="189"/>
      <c r="R11" s="189"/>
      <c r="S11" s="190"/>
      <c r="T11" s="190"/>
      <c r="U11" s="190"/>
    </row>
    <row r="12" spans="1:21" s="191" customFormat="1" x14ac:dyDescent="0.3">
      <c r="A12" s="21" t="s">
        <v>245</v>
      </c>
      <c r="B12" s="82" t="s">
        <v>250</v>
      </c>
      <c r="C12" s="79">
        <v>19430</v>
      </c>
      <c r="D12" s="187"/>
      <c r="E12" s="188">
        <v>2000</v>
      </c>
      <c r="F12" s="15"/>
      <c r="G12" s="15"/>
      <c r="H12" s="16"/>
      <c r="I12" s="16"/>
      <c r="J12" s="16"/>
      <c r="K12" s="16"/>
      <c r="L12" s="16"/>
      <c r="M12" s="134"/>
      <c r="N12" s="16"/>
      <c r="O12" s="16"/>
      <c r="P12" s="17"/>
      <c r="Q12" s="189"/>
      <c r="R12" s="189">
        <f>E12</f>
        <v>2000</v>
      </c>
      <c r="S12" s="190"/>
      <c r="T12" s="190"/>
      <c r="U12" s="190"/>
    </row>
    <row r="13" spans="1:21" s="191" customFormat="1" x14ac:dyDescent="0.3">
      <c r="A13" s="21" t="s">
        <v>251</v>
      </c>
      <c r="B13" s="82" t="s">
        <v>252</v>
      </c>
      <c r="C13" s="79">
        <v>19431</v>
      </c>
      <c r="D13" s="187"/>
      <c r="E13" s="188">
        <v>500</v>
      </c>
      <c r="F13" s="15"/>
      <c r="G13" s="15"/>
      <c r="H13" s="16"/>
      <c r="I13" s="16"/>
      <c r="J13" s="16"/>
      <c r="K13" s="16"/>
      <c r="L13" s="16"/>
      <c r="M13" s="134"/>
      <c r="N13" s="16"/>
      <c r="O13" s="16"/>
      <c r="P13" s="17"/>
      <c r="Q13" s="189"/>
      <c r="R13" s="189"/>
      <c r="S13" s="190"/>
      <c r="T13" s="190"/>
      <c r="U13" s="190">
        <f>E13</f>
        <v>500</v>
      </c>
    </row>
    <row r="14" spans="1:21" s="191" customFormat="1" x14ac:dyDescent="0.3">
      <c r="A14" s="21" t="s">
        <v>253</v>
      </c>
      <c r="B14" s="82" t="s">
        <v>254</v>
      </c>
      <c r="C14" s="79">
        <v>19432</v>
      </c>
      <c r="D14" s="187"/>
      <c r="E14" s="188">
        <v>1400</v>
      </c>
      <c r="F14" s="15"/>
      <c r="G14" s="15"/>
      <c r="H14" s="16"/>
      <c r="I14" s="16"/>
      <c r="J14" s="16"/>
      <c r="K14" s="16"/>
      <c r="L14" s="16"/>
      <c r="M14" s="134"/>
      <c r="N14" s="16"/>
      <c r="O14" s="16">
        <f>E14</f>
        <v>1400</v>
      </c>
      <c r="P14" s="17"/>
      <c r="Q14" s="189"/>
      <c r="R14" s="189"/>
      <c r="S14" s="190"/>
      <c r="T14" s="190"/>
      <c r="U14" s="190"/>
    </row>
    <row r="15" spans="1:21" s="191" customFormat="1" x14ac:dyDescent="0.3">
      <c r="A15" s="21" t="s">
        <v>255</v>
      </c>
      <c r="B15" s="82" t="s">
        <v>247</v>
      </c>
      <c r="C15" s="79">
        <v>19433</v>
      </c>
      <c r="D15" s="187"/>
      <c r="E15" s="188">
        <v>1250</v>
      </c>
      <c r="F15" s="15">
        <v>1050</v>
      </c>
      <c r="G15" s="15">
        <v>200</v>
      </c>
      <c r="H15" s="16"/>
      <c r="I15" s="16"/>
      <c r="J15" s="16"/>
      <c r="K15" s="16"/>
      <c r="L15" s="16"/>
      <c r="M15" s="134"/>
      <c r="N15" s="16"/>
      <c r="O15" s="16"/>
      <c r="P15" s="17"/>
      <c r="Q15" s="189"/>
      <c r="R15" s="189"/>
      <c r="S15" s="190"/>
      <c r="T15" s="190"/>
      <c r="U15" s="190"/>
    </row>
    <row r="16" spans="1:21" s="191" customFormat="1" x14ac:dyDescent="0.3">
      <c r="A16" s="21" t="s">
        <v>256</v>
      </c>
      <c r="B16" s="82" t="s">
        <v>257</v>
      </c>
      <c r="C16" s="79">
        <v>19434</v>
      </c>
      <c r="D16" s="187"/>
      <c r="E16" s="188">
        <v>1375</v>
      </c>
      <c r="F16" s="15">
        <f>E16</f>
        <v>1375</v>
      </c>
      <c r="G16" s="15"/>
      <c r="H16" s="16"/>
      <c r="I16" s="16"/>
      <c r="J16" s="16"/>
      <c r="K16" s="16"/>
      <c r="L16" s="16"/>
      <c r="M16" s="134"/>
      <c r="N16" s="16"/>
      <c r="O16" s="16"/>
      <c r="P16" s="17"/>
      <c r="Q16" s="189"/>
      <c r="R16" s="189"/>
      <c r="S16" s="190"/>
      <c r="T16" s="190"/>
      <c r="U16" s="190"/>
    </row>
    <row r="17" spans="1:56" s="191" customFormat="1" x14ac:dyDescent="0.3">
      <c r="A17" s="21" t="s">
        <v>256</v>
      </c>
      <c r="B17" s="82" t="s">
        <v>258</v>
      </c>
      <c r="C17" s="79">
        <v>19435</v>
      </c>
      <c r="D17" s="187"/>
      <c r="E17" s="188">
        <v>280</v>
      </c>
      <c r="F17" s="15">
        <f>E17</f>
        <v>280</v>
      </c>
      <c r="G17" s="15"/>
      <c r="H17" s="16"/>
      <c r="I17" s="16"/>
      <c r="J17" s="16"/>
      <c r="K17" s="16"/>
      <c r="L17" s="16"/>
      <c r="M17" s="134"/>
      <c r="N17" s="16"/>
      <c r="O17" s="16"/>
      <c r="P17" s="17"/>
      <c r="Q17" s="189"/>
      <c r="R17" s="189"/>
      <c r="S17" s="190"/>
      <c r="T17" s="190"/>
      <c r="U17" s="190"/>
    </row>
    <row r="18" spans="1:56" s="191" customFormat="1" x14ac:dyDescent="0.3">
      <c r="A18" s="21" t="s">
        <v>256</v>
      </c>
      <c r="B18" s="82" t="s">
        <v>259</v>
      </c>
      <c r="C18" s="79">
        <v>19436</v>
      </c>
      <c r="D18" s="187"/>
      <c r="E18" s="188">
        <v>300</v>
      </c>
      <c r="F18" s="15"/>
      <c r="G18" s="15"/>
      <c r="H18" s="16"/>
      <c r="I18" s="16"/>
      <c r="J18" s="16"/>
      <c r="K18" s="16"/>
      <c r="L18" s="16"/>
      <c r="M18" s="134"/>
      <c r="N18" s="16"/>
      <c r="O18" s="16"/>
      <c r="P18" s="17"/>
      <c r="Q18" s="189"/>
      <c r="R18" s="189"/>
      <c r="S18" s="190">
        <f>E18</f>
        <v>300</v>
      </c>
      <c r="T18" s="190"/>
      <c r="U18" s="190"/>
    </row>
    <row r="19" spans="1:56" s="191" customFormat="1" x14ac:dyDescent="0.3">
      <c r="A19" s="21" t="s">
        <v>256</v>
      </c>
      <c r="B19" s="82" t="s">
        <v>260</v>
      </c>
      <c r="C19" s="79">
        <v>19437</v>
      </c>
      <c r="D19" s="187"/>
      <c r="E19" s="188">
        <v>560</v>
      </c>
      <c r="F19" s="15"/>
      <c r="G19" s="15"/>
      <c r="H19" s="16"/>
      <c r="I19" s="16"/>
      <c r="J19" s="16"/>
      <c r="K19" s="16"/>
      <c r="L19" s="16"/>
      <c r="M19" s="134"/>
      <c r="N19" s="16"/>
      <c r="O19" s="16"/>
      <c r="P19" s="17"/>
      <c r="Q19" s="189"/>
      <c r="R19" s="189"/>
      <c r="S19" s="190"/>
      <c r="T19" s="190"/>
      <c r="U19" s="190">
        <f>E19</f>
        <v>560</v>
      </c>
    </row>
    <row r="20" spans="1:56" s="191" customFormat="1" x14ac:dyDescent="0.3">
      <c r="A20" s="21" t="s">
        <v>261</v>
      </c>
      <c r="B20" s="82" t="s">
        <v>262</v>
      </c>
      <c r="C20" s="79">
        <v>19438</v>
      </c>
      <c r="D20" s="187"/>
      <c r="E20" s="188">
        <v>2500</v>
      </c>
      <c r="F20" s="15"/>
      <c r="G20" s="15"/>
      <c r="H20" s="16"/>
      <c r="I20" s="16"/>
      <c r="J20" s="16"/>
      <c r="K20" s="16"/>
      <c r="L20" s="16"/>
      <c r="M20" s="134"/>
      <c r="N20" s="16"/>
      <c r="O20" s="16"/>
      <c r="P20" s="17"/>
      <c r="Q20" s="189"/>
      <c r="R20" s="189">
        <f>E20</f>
        <v>2500</v>
      </c>
      <c r="S20" s="190"/>
      <c r="T20" s="190"/>
      <c r="U20" s="190"/>
    </row>
    <row r="21" spans="1:56" s="165" customFormat="1" ht="16.2" thickBot="1" x14ac:dyDescent="0.35">
      <c r="A21" s="162"/>
      <c r="B21" s="163"/>
      <c r="C21" s="164"/>
      <c r="D21" s="160">
        <v>80000</v>
      </c>
      <c r="E21" s="160">
        <f>SUM(E6:E20)</f>
        <v>25855</v>
      </c>
      <c r="F21" s="160">
        <f t="shared" ref="F21:U21" si="0">SUM(F6:F20)</f>
        <v>4355</v>
      </c>
      <c r="G21" s="160">
        <f t="shared" si="0"/>
        <v>9000</v>
      </c>
      <c r="H21" s="160">
        <f t="shared" si="0"/>
        <v>0</v>
      </c>
      <c r="I21" s="160">
        <f t="shared" si="0"/>
        <v>0</v>
      </c>
      <c r="J21" s="160">
        <f t="shared" si="0"/>
        <v>0</v>
      </c>
      <c r="K21" s="160">
        <f t="shared" si="0"/>
        <v>0</v>
      </c>
      <c r="L21" s="160">
        <f t="shared" si="0"/>
        <v>4250</v>
      </c>
      <c r="M21" s="160">
        <f t="shared" si="0"/>
        <v>790</v>
      </c>
      <c r="N21" s="160">
        <f t="shared" si="0"/>
        <v>200</v>
      </c>
      <c r="O21" s="160">
        <f t="shared" si="0"/>
        <v>1400</v>
      </c>
      <c r="P21" s="160">
        <f t="shared" si="0"/>
        <v>0</v>
      </c>
      <c r="Q21" s="160">
        <f t="shared" si="0"/>
        <v>0</v>
      </c>
      <c r="R21" s="160">
        <f t="shared" si="0"/>
        <v>4500</v>
      </c>
      <c r="S21" s="160">
        <f t="shared" si="0"/>
        <v>300</v>
      </c>
      <c r="T21" s="160">
        <f t="shared" si="0"/>
        <v>0</v>
      </c>
      <c r="U21" s="160">
        <f t="shared" si="0"/>
        <v>1060</v>
      </c>
    </row>
    <row r="22" spans="1:56" s="165" customFormat="1" ht="16.2" thickTop="1" x14ac:dyDescent="0.3">
      <c r="A22" s="44" t="s">
        <v>43</v>
      </c>
      <c r="B22" s="116"/>
      <c r="C22" s="35"/>
      <c r="D22" s="36">
        <f>SUM(D21-E21)</f>
        <v>54145</v>
      </c>
      <c r="E22" s="47"/>
      <c r="F22" s="47"/>
      <c r="G22" s="47"/>
      <c r="H22" s="47"/>
      <c r="I22" s="47"/>
      <c r="J22" s="47"/>
      <c r="K22" s="47"/>
      <c r="L22" s="47"/>
      <c r="M22" s="192"/>
      <c r="N22" s="194"/>
      <c r="O22" s="194"/>
      <c r="P22" s="194"/>
      <c r="Q22" s="193"/>
      <c r="R22" s="193"/>
      <c r="S22" s="193"/>
      <c r="T22" s="193"/>
      <c r="U22" s="193"/>
    </row>
    <row r="23" spans="1:56" ht="16.2" thickBot="1" x14ac:dyDescent="0.35">
      <c r="A23" s="44"/>
      <c r="B23" s="116"/>
      <c r="C23" s="35"/>
      <c r="D23" s="36"/>
      <c r="N23" s="39"/>
      <c r="O23" s="39"/>
      <c r="P23" s="39"/>
    </row>
    <row r="24" spans="1:56" ht="29.4" thickBot="1" x14ac:dyDescent="0.6">
      <c r="A24" s="195" t="s">
        <v>45</v>
      </c>
      <c r="B24" s="195"/>
      <c r="C24" s="41"/>
      <c r="D24" s="196">
        <f>E21</f>
        <v>25855</v>
      </c>
      <c r="E24" s="197"/>
      <c r="F24" s="42"/>
      <c r="G24" s="42"/>
      <c r="H24" s="43"/>
      <c r="I24" s="43"/>
      <c r="J24" s="43"/>
      <c r="K24" s="43"/>
      <c r="L24" s="43"/>
      <c r="M24" s="158"/>
    </row>
    <row r="25" spans="1:56" x14ac:dyDescent="0.3">
      <c r="A25" s="44"/>
      <c r="B25" s="117"/>
      <c r="C25" s="45"/>
      <c r="D25" s="45"/>
      <c r="E25" s="46"/>
      <c r="F25" s="46"/>
      <c r="G25" s="46"/>
      <c r="H25" s="46"/>
      <c r="I25" s="46"/>
      <c r="J25" s="46"/>
      <c r="K25" s="46"/>
      <c r="L25" s="46"/>
      <c r="M25" s="159"/>
      <c r="N25" s="47"/>
      <c r="O25" s="5"/>
      <c r="P25" s="5"/>
    </row>
    <row r="26" spans="1:56" x14ac:dyDescent="0.3">
      <c r="A26" s="44"/>
      <c r="B26" s="117"/>
      <c r="C26" s="45"/>
      <c r="D26" s="45"/>
      <c r="E26" s="46"/>
      <c r="F26" s="46"/>
      <c r="G26" s="46"/>
      <c r="H26" s="46"/>
      <c r="I26" s="46"/>
      <c r="J26" s="46"/>
      <c r="K26" s="46"/>
      <c r="L26" s="46"/>
      <c r="M26" s="159"/>
      <c r="N26" s="47"/>
      <c r="O26" s="5"/>
      <c r="P26" s="5"/>
    </row>
    <row r="27" spans="1:56" x14ac:dyDescent="0.3">
      <c r="A27" s="44"/>
      <c r="B27" s="117"/>
      <c r="C27" s="45"/>
      <c r="D27" s="45"/>
      <c r="E27" s="46"/>
      <c r="F27" s="46"/>
      <c r="G27" s="46"/>
      <c r="H27" s="46"/>
      <c r="I27" s="46"/>
      <c r="J27" s="46"/>
      <c r="K27" s="46"/>
      <c r="M27" s="159"/>
      <c r="N27" s="47"/>
      <c r="O27" s="5"/>
      <c r="P27" s="5"/>
    </row>
    <row r="28" spans="1:56" ht="16.2" x14ac:dyDescent="0.35">
      <c r="A28" s="48"/>
      <c r="B28" s="118"/>
      <c r="D28" s="50"/>
      <c r="E28" s="50"/>
      <c r="F28" s="50"/>
      <c r="G28" s="50"/>
      <c r="H28" s="50"/>
      <c r="J28" s="50"/>
      <c r="L28" s="51"/>
      <c r="N28" s="52"/>
      <c r="O28" s="50"/>
      <c r="Q28" s="51"/>
      <c r="S28" s="50"/>
      <c r="T28" s="50"/>
      <c r="U28" s="50"/>
    </row>
    <row r="29" spans="1:56" ht="16.2" x14ac:dyDescent="0.35">
      <c r="A29" s="166"/>
      <c r="B29" s="167" t="s">
        <v>235</v>
      </c>
      <c r="C29" s="168"/>
      <c r="D29"/>
      <c r="E29" s="169" t="s">
        <v>235</v>
      </c>
      <c r="F29"/>
      <c r="G29" s="170"/>
      <c r="H29"/>
      <c r="I29"/>
      <c r="J29" s="171" t="s">
        <v>236</v>
      </c>
      <c r="K29" s="96"/>
      <c r="L29"/>
      <c r="M29" s="171" t="s">
        <v>236</v>
      </c>
      <c r="O29" s="172"/>
      <c r="P29"/>
      <c r="Q29"/>
      <c r="R29" s="173"/>
      <c r="S29" s="173" t="s">
        <v>236</v>
      </c>
      <c r="T29"/>
      <c r="U29" s="171"/>
      <c r="V29" s="173"/>
      <c r="W29" s="174"/>
      <c r="X29" s="175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6"/>
      <c r="BA29" s="176"/>
      <c r="BB29" s="176"/>
      <c r="BC29" s="176"/>
      <c r="BD29" s="176"/>
    </row>
    <row r="30" spans="1:56" ht="16.2" x14ac:dyDescent="0.35">
      <c r="A30" s="166"/>
      <c r="B30" s="177" t="s">
        <v>49</v>
      </c>
      <c r="C30" s="178"/>
      <c r="D30"/>
      <c r="E30" s="179" t="s">
        <v>50</v>
      </c>
      <c r="F30"/>
      <c r="G30" s="180"/>
      <c r="H30"/>
      <c r="I30"/>
      <c r="J30" s="181" t="s">
        <v>237</v>
      </c>
      <c r="K30" s="96"/>
      <c r="L30"/>
      <c r="M30" s="181" t="s">
        <v>237</v>
      </c>
      <c r="O30" s="180"/>
      <c r="P30"/>
      <c r="Q30"/>
      <c r="R30" s="180"/>
      <c r="S30" s="180" t="s">
        <v>52</v>
      </c>
      <c r="T30"/>
      <c r="U30" s="182"/>
      <c r="V30" s="180"/>
      <c r="W30" s="183"/>
      <c r="X30" s="184"/>
      <c r="Y30" s="176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6"/>
      <c r="AQ30" s="176"/>
      <c r="AR30" s="176"/>
      <c r="AS30" s="176"/>
      <c r="AT30" s="176"/>
      <c r="AU30" s="176"/>
      <c r="AV30" s="176"/>
      <c r="AW30" s="176"/>
      <c r="AX30" s="176"/>
      <c r="AY30" s="176"/>
      <c r="AZ30" s="176"/>
      <c r="BA30" s="176"/>
      <c r="BB30" s="176"/>
      <c r="BC30" s="176"/>
      <c r="BD30" s="176"/>
    </row>
    <row r="31" spans="1:56" ht="16.2" x14ac:dyDescent="0.35">
      <c r="A31" s="166"/>
      <c r="B31" s="185" t="s">
        <v>172</v>
      </c>
      <c r="C31" s="178"/>
      <c r="D31"/>
      <c r="E31" s="179" t="s">
        <v>105</v>
      </c>
      <c r="F31"/>
      <c r="G31" s="180"/>
      <c r="H31"/>
      <c r="I31"/>
      <c r="J31" s="182" t="s">
        <v>238</v>
      </c>
      <c r="K31" s="96"/>
      <c r="L31"/>
      <c r="M31" s="182" t="s">
        <v>238</v>
      </c>
      <c r="O31" s="186"/>
      <c r="P31"/>
      <c r="Q31"/>
      <c r="R31" s="180"/>
      <c r="S31" s="180" t="s">
        <v>239</v>
      </c>
      <c r="T31"/>
      <c r="U31" s="182"/>
      <c r="V31" s="180"/>
      <c r="W31" s="183"/>
      <c r="X31" s="184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176"/>
      <c r="AT31" s="176"/>
      <c r="AU31" s="176"/>
      <c r="AV31" s="176"/>
      <c r="AW31" s="176"/>
      <c r="AX31" s="176"/>
      <c r="AY31" s="176"/>
      <c r="AZ31" s="176"/>
      <c r="BA31" s="176"/>
      <c r="BB31" s="176"/>
      <c r="BC31" s="176"/>
      <c r="BD31" s="176"/>
    </row>
    <row r="32" spans="1:56" ht="16.2" x14ac:dyDescent="0.35">
      <c r="A32" s="166"/>
      <c r="B32" s="185" t="s">
        <v>173</v>
      </c>
      <c r="C32" s="178"/>
      <c r="D32"/>
      <c r="E32" s="179" t="s">
        <v>106</v>
      </c>
      <c r="F32"/>
      <c r="G32" s="180"/>
      <c r="H32"/>
      <c r="I32"/>
      <c r="J32" s="182" t="s">
        <v>240</v>
      </c>
      <c r="K32" s="96"/>
      <c r="L32"/>
      <c r="M32" s="182" t="s">
        <v>240</v>
      </c>
      <c r="O32" s="186"/>
      <c r="P32"/>
      <c r="Q32"/>
      <c r="R32" s="180"/>
      <c r="S32" s="180" t="s">
        <v>241</v>
      </c>
      <c r="T32"/>
      <c r="U32" s="182"/>
      <c r="V32" s="180"/>
      <c r="W32" s="183"/>
      <c r="X32" s="184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6"/>
      <c r="AX32" s="176"/>
      <c r="AY32" s="176"/>
      <c r="AZ32" s="176"/>
      <c r="BA32" s="176"/>
      <c r="BB32" s="176"/>
      <c r="BC32" s="176"/>
      <c r="BD32" s="176"/>
    </row>
    <row r="33" spans="1:60" x14ac:dyDescent="0.3">
      <c r="A33" s="48"/>
      <c r="B33" s="121"/>
      <c r="C33" s="48"/>
      <c r="D33" s="53"/>
      <c r="E33" s="53"/>
      <c r="F33" s="53"/>
      <c r="G33" s="53"/>
      <c r="H33" s="53"/>
      <c r="I33" s="53"/>
      <c r="J33" s="53"/>
      <c r="K33" s="53"/>
      <c r="L33" s="53"/>
      <c r="N33" s="53"/>
      <c r="O33" s="53"/>
      <c r="P33" s="53"/>
      <c r="Q33" s="53"/>
      <c r="S33" s="53"/>
      <c r="T33" s="53"/>
      <c r="U33" s="53"/>
    </row>
    <row r="34" spans="1:60" x14ac:dyDescent="0.3">
      <c r="B34" s="122"/>
      <c r="C34" s="54"/>
      <c r="R34" s="53"/>
    </row>
    <row r="35" spans="1:60" x14ac:dyDescent="0.3">
      <c r="A35" s="54"/>
      <c r="B35" s="122"/>
      <c r="C35" s="54"/>
    </row>
    <row r="36" spans="1:60" x14ac:dyDescent="0.3">
      <c r="A36" s="54"/>
      <c r="B36" s="122"/>
      <c r="C36" s="54"/>
    </row>
    <row r="37" spans="1:60" x14ac:dyDescent="0.3">
      <c r="A37" s="54"/>
      <c r="B37" s="122"/>
      <c r="C37" s="54"/>
    </row>
    <row r="38" spans="1:60" x14ac:dyDescent="0.3">
      <c r="A38" s="54"/>
      <c r="B38" s="122"/>
      <c r="C38" s="54"/>
    </row>
    <row r="39" spans="1:60" x14ac:dyDescent="0.3">
      <c r="A39" s="54"/>
      <c r="B39" s="122"/>
      <c r="C39" s="54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60" x14ac:dyDescent="0.3">
      <c r="A40" s="54"/>
      <c r="B40" s="122"/>
      <c r="C40" s="54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</row>
    <row r="41" spans="1:60" x14ac:dyDescent="0.3">
      <c r="A41" s="54"/>
      <c r="B41" s="122"/>
      <c r="C41" s="54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</row>
    <row r="42" spans="1:60" x14ac:dyDescent="0.3">
      <c r="A42" s="54"/>
      <c r="B42" s="122"/>
      <c r="C42" s="54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</row>
    <row r="43" spans="1:60" x14ac:dyDescent="0.3">
      <c r="A43" s="54"/>
      <c r="B43" s="122"/>
      <c r="C43" s="54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</row>
    <row r="44" spans="1:60" x14ac:dyDescent="0.3">
      <c r="A44" s="54"/>
      <c r="B44" s="122"/>
      <c r="C44" s="54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</row>
    <row r="45" spans="1:60" x14ac:dyDescent="0.3">
      <c r="A45" s="54"/>
      <c r="B45" s="122"/>
      <c r="C45" s="54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</row>
    <row r="46" spans="1:60" x14ac:dyDescent="0.3">
      <c r="A46" s="54"/>
      <c r="B46" s="122"/>
      <c r="C46" s="54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</row>
    <row r="47" spans="1:60" x14ac:dyDescent="0.3">
      <c r="A47" s="54"/>
      <c r="B47" s="122"/>
      <c r="C47" s="54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</row>
    <row r="48" spans="1:60" s="38" customFormat="1" x14ac:dyDescent="0.3">
      <c r="A48" s="54"/>
      <c r="B48" s="122"/>
      <c r="C48" s="54"/>
      <c r="D48" s="37"/>
      <c r="M48" s="157"/>
      <c r="Q48" s="5"/>
      <c r="R48" s="5"/>
      <c r="S48" s="5"/>
      <c r="T48" s="5"/>
      <c r="U48" s="5"/>
    </row>
    <row r="49" spans="1:60" s="38" customFormat="1" x14ac:dyDescent="0.3">
      <c r="A49" s="54"/>
      <c r="B49" s="122"/>
      <c r="C49" s="54"/>
      <c r="D49" s="37"/>
      <c r="M49" s="157"/>
      <c r="Q49" s="5"/>
      <c r="R49" s="5"/>
      <c r="S49" s="5"/>
      <c r="T49" s="5"/>
      <c r="U49" s="5"/>
    </row>
    <row r="50" spans="1:60" s="38" customFormat="1" x14ac:dyDescent="0.3">
      <c r="A50" s="54"/>
      <c r="B50" s="122"/>
      <c r="C50" s="54"/>
      <c r="D50" s="37"/>
      <c r="F50" s="38" t="s">
        <v>44</v>
      </c>
      <c r="M50" s="157"/>
      <c r="Q50" s="5"/>
      <c r="R50" s="5"/>
      <c r="S50" s="5"/>
      <c r="T50" s="5"/>
      <c r="U50" s="5"/>
    </row>
    <row r="51" spans="1:60" s="38" customFormat="1" x14ac:dyDescent="0.3">
      <c r="A51" s="54"/>
      <c r="B51" s="122"/>
      <c r="C51" s="54"/>
      <c r="D51" s="37"/>
      <c r="M51" s="157"/>
      <c r="Q51" s="5"/>
      <c r="R51" s="5"/>
      <c r="S51" s="5"/>
      <c r="T51" s="5"/>
      <c r="U51" s="5"/>
    </row>
    <row r="52" spans="1:60" s="38" customFormat="1" x14ac:dyDescent="0.3">
      <c r="A52" s="54"/>
      <c r="B52" s="122"/>
      <c r="C52" s="54"/>
      <c r="D52" s="37"/>
      <c r="M52" s="157"/>
      <c r="Q52" s="5"/>
      <c r="R52" s="5"/>
      <c r="S52" s="5"/>
      <c r="T52" s="5"/>
      <c r="U52" s="5"/>
    </row>
    <row r="53" spans="1:60" s="38" customFormat="1" x14ac:dyDescent="0.3">
      <c r="A53" s="54"/>
      <c r="B53" s="122"/>
      <c r="C53" s="54"/>
      <c r="D53" s="37"/>
      <c r="M53" s="157"/>
      <c r="Q53" s="5"/>
      <c r="R53" s="5"/>
      <c r="S53" s="5"/>
      <c r="T53" s="5"/>
      <c r="U53" s="5"/>
    </row>
    <row r="54" spans="1:60" s="38" customFormat="1" x14ac:dyDescent="0.3">
      <c r="A54" s="54"/>
      <c r="B54" s="122"/>
      <c r="C54" s="54"/>
      <c r="D54" s="37"/>
      <c r="M54" s="157"/>
      <c r="Q54" s="5"/>
      <c r="R54" s="5"/>
      <c r="S54" s="5"/>
      <c r="T54" s="5"/>
      <c r="U54" s="5"/>
      <c r="V54"/>
      <c r="W54"/>
      <c r="X54"/>
      <c r="Y54"/>
      <c r="Z54"/>
      <c r="AA54"/>
      <c r="AB54"/>
      <c r="AC54"/>
      <c r="AD54"/>
      <c r="AE54"/>
      <c r="AF54"/>
      <c r="AG54"/>
    </row>
    <row r="55" spans="1:60" s="38" customFormat="1" x14ac:dyDescent="0.3">
      <c r="A55" s="54"/>
      <c r="B55" s="122"/>
      <c r="C55" s="54"/>
      <c r="D55" s="37"/>
      <c r="M55" s="157"/>
      <c r="Q55" s="5"/>
      <c r="R55" s="5"/>
      <c r="S55" s="5"/>
      <c r="T55" s="5"/>
      <c r="U55" s="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</row>
    <row r="56" spans="1:60" s="38" customFormat="1" x14ac:dyDescent="0.3">
      <c r="A56" s="54"/>
      <c r="B56" s="122"/>
      <c r="C56" s="54"/>
      <c r="D56" s="37"/>
      <c r="M56" s="157"/>
      <c r="Q56" s="5"/>
      <c r="R56" s="5"/>
      <c r="S56" s="5"/>
      <c r="T56" s="5"/>
      <c r="U56" s="5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</row>
    <row r="57" spans="1:60" s="38" customFormat="1" x14ac:dyDescent="0.3">
      <c r="A57" s="54"/>
      <c r="B57" s="122"/>
      <c r="C57" s="54"/>
      <c r="D57" s="37"/>
      <c r="M57" s="157"/>
      <c r="Q57" s="5"/>
      <c r="R57" s="5"/>
      <c r="S57" s="5"/>
      <c r="T57" s="5"/>
      <c r="U57" s="5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</row>
    <row r="58" spans="1:60" s="38" customFormat="1" x14ac:dyDescent="0.3">
      <c r="A58" s="54"/>
      <c r="B58" s="122"/>
      <c r="C58" s="54"/>
      <c r="D58" s="37"/>
      <c r="M58" s="157"/>
      <c r="Q58" s="5"/>
      <c r="R58" s="5"/>
      <c r="S58" s="5"/>
      <c r="T58" s="5"/>
      <c r="U58" s="5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</row>
    <row r="59" spans="1:60" s="38" customFormat="1" x14ac:dyDescent="0.3">
      <c r="A59" s="54"/>
      <c r="B59" s="122"/>
      <c r="C59" s="54"/>
      <c r="D59" s="37"/>
      <c r="M59" s="157"/>
      <c r="Q59" s="5"/>
      <c r="R59" s="5"/>
      <c r="S59" s="5"/>
      <c r="T59" s="5"/>
      <c r="U59" s="5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</row>
    <row r="60" spans="1:60" s="38" customFormat="1" x14ac:dyDescent="0.3">
      <c r="A60" s="54"/>
      <c r="B60" s="122"/>
      <c r="C60" s="54"/>
      <c r="D60" s="37"/>
      <c r="M60" s="157"/>
      <c r="Q60" s="5"/>
      <c r="R60" s="5"/>
      <c r="S60" s="5"/>
      <c r="T60" s="5"/>
      <c r="U60" s="5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</row>
    <row r="61" spans="1:60" s="38" customFormat="1" x14ac:dyDescent="0.3">
      <c r="A61" s="54"/>
      <c r="B61" s="122"/>
      <c r="C61" s="54"/>
      <c r="D61" s="37"/>
      <c r="M61" s="157"/>
      <c r="Q61" s="5"/>
      <c r="R61" s="5"/>
      <c r="S61" s="5"/>
      <c r="T61" s="5"/>
      <c r="U61" s="5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</row>
    <row r="62" spans="1:60" s="38" customFormat="1" x14ac:dyDescent="0.3">
      <c r="A62" s="54"/>
      <c r="B62" s="122"/>
      <c r="C62" s="54"/>
      <c r="D62" s="37"/>
      <c r="M62" s="157"/>
      <c r="Q62" s="5"/>
      <c r="R62" s="5"/>
      <c r="S62" s="5"/>
      <c r="T62" s="5"/>
      <c r="U62" s="5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</row>
  </sheetData>
  <mergeCells count="9">
    <mergeCell ref="N22:P22"/>
    <mergeCell ref="A24:B24"/>
    <mergeCell ref="D24:E24"/>
    <mergeCell ref="H3:P3"/>
    <mergeCell ref="A4:A5"/>
    <mergeCell ref="B4:B5"/>
    <mergeCell ref="C4:C5"/>
    <mergeCell ref="D4:D5"/>
    <mergeCell ref="E4:U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AAD0-4525-4640-B978-ED6264B01A6F}">
  <dimension ref="A1:BH65"/>
  <sheetViews>
    <sheetView workbookViewId="0">
      <selection activeCell="B13" sqref="B13"/>
    </sheetView>
  </sheetViews>
  <sheetFormatPr defaultRowHeight="15.6" x14ac:dyDescent="0.3"/>
  <cols>
    <col min="1" max="1" width="12.88671875" style="37" customWidth="1"/>
    <col min="2" max="2" width="42.109375" style="124" customWidth="1"/>
    <col min="3" max="3" width="10.6640625" style="37" bestFit="1" customWidth="1"/>
    <col min="4" max="4" width="13.44140625" style="37" customWidth="1"/>
    <col min="5" max="5" width="10.5546875" style="38" bestFit="1" customWidth="1"/>
    <col min="6" max="6" width="9.44140625" style="38" bestFit="1" customWidth="1"/>
    <col min="7" max="7" width="8.6640625" style="38" hidden="1" customWidth="1"/>
    <col min="8" max="8" width="27.5546875" style="38" hidden="1" customWidth="1"/>
    <col min="9" max="9" width="45.44140625" style="38" hidden="1" customWidth="1"/>
    <col min="10" max="10" width="27.5546875" style="38" hidden="1" customWidth="1"/>
    <col min="11" max="11" width="7.88671875" style="38" bestFit="1" customWidth="1"/>
    <col min="12" max="12" width="12.33203125" style="38" bestFit="1" customWidth="1"/>
    <col min="13" max="13" width="12.88671875" style="157" customWidth="1"/>
    <col min="14" max="14" width="9.44140625" style="38" bestFit="1" customWidth="1"/>
    <col min="15" max="15" width="10.5546875" style="38" customWidth="1"/>
    <col min="16" max="16" width="13.88671875" style="38" hidden="1" customWidth="1"/>
    <col min="17" max="17" width="0.109375" style="5" hidden="1" customWidth="1"/>
    <col min="18" max="18" width="11.6640625" style="5" customWidth="1"/>
    <col min="19" max="19" width="8.44140625" style="5" hidden="1" customWidth="1"/>
    <col min="20" max="20" width="5.88671875" style="5" hidden="1" customWidth="1"/>
    <col min="21" max="21" width="9.5546875" style="5" bestFit="1" customWidth="1"/>
  </cols>
  <sheetData>
    <row r="1" spans="1:21" ht="29.4" x14ac:dyDescent="0.45">
      <c r="A1" s="1" t="s">
        <v>0</v>
      </c>
      <c r="B1" s="97"/>
      <c r="C1" s="2"/>
      <c r="D1" s="3"/>
      <c r="E1" s="3"/>
      <c r="F1" s="3"/>
      <c r="H1" s="3"/>
      <c r="K1" s="3" t="s">
        <v>1</v>
      </c>
      <c r="L1" s="4"/>
      <c r="M1" s="131"/>
      <c r="N1" s="4"/>
      <c r="O1" s="4"/>
      <c r="P1" s="4"/>
    </row>
    <row r="2" spans="1:21" ht="29.4" x14ac:dyDescent="0.45">
      <c r="A2" s="1" t="s">
        <v>2</v>
      </c>
      <c r="B2" s="98"/>
      <c r="C2" s="6"/>
      <c r="D2" s="7"/>
      <c r="E2" s="7"/>
      <c r="F2" s="7"/>
      <c r="G2" s="7"/>
      <c r="H2" s="7"/>
      <c r="I2" s="7"/>
      <c r="J2" s="7"/>
      <c r="K2" s="7"/>
      <c r="L2" s="7"/>
      <c r="M2" s="132"/>
      <c r="N2" s="7"/>
      <c r="O2" s="7"/>
      <c r="P2" s="7"/>
    </row>
    <row r="3" spans="1:21" ht="20.399999999999999" x14ac:dyDescent="0.3">
      <c r="A3" s="6"/>
      <c r="B3" s="98"/>
      <c r="C3" s="6"/>
      <c r="D3" s="7"/>
      <c r="E3" s="7"/>
      <c r="F3" s="7"/>
      <c r="G3" s="7"/>
      <c r="H3" s="198"/>
      <c r="I3" s="198" t="s">
        <v>62</v>
      </c>
      <c r="J3" s="198"/>
      <c r="K3" s="198"/>
      <c r="L3" s="198"/>
      <c r="M3" s="198"/>
      <c r="N3" s="198"/>
      <c r="O3" s="198"/>
      <c r="P3" s="198"/>
    </row>
    <row r="4" spans="1:21" s="161" customFormat="1" ht="15" customHeight="1" x14ac:dyDescent="0.3">
      <c r="A4" s="199" t="s">
        <v>4</v>
      </c>
      <c r="B4" s="200" t="s">
        <v>5</v>
      </c>
      <c r="C4" s="200" t="s">
        <v>6</v>
      </c>
      <c r="D4" s="200" t="s">
        <v>7</v>
      </c>
      <c r="E4" s="200" t="s">
        <v>149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</row>
    <row r="5" spans="1:21" s="161" customFormat="1" ht="48.75" customHeight="1" x14ac:dyDescent="0.3">
      <c r="A5" s="199"/>
      <c r="B5" s="200"/>
      <c r="C5" s="200"/>
      <c r="D5" s="200"/>
      <c r="E5" s="9" t="s">
        <v>8</v>
      </c>
      <c r="F5" s="9" t="s">
        <v>10</v>
      </c>
      <c r="G5" s="9" t="s">
        <v>9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86</v>
      </c>
      <c r="O5" s="9" t="s">
        <v>143</v>
      </c>
      <c r="P5" s="9" t="s">
        <v>19</v>
      </c>
      <c r="Q5" s="9" t="s">
        <v>12</v>
      </c>
      <c r="R5" s="9" t="s">
        <v>129</v>
      </c>
      <c r="S5" s="9" t="s">
        <v>182</v>
      </c>
      <c r="T5" s="9" t="s">
        <v>65</v>
      </c>
      <c r="U5" s="9" t="s">
        <v>63</v>
      </c>
    </row>
    <row r="6" spans="1:21" x14ac:dyDescent="0.3">
      <c r="A6" s="21" t="s">
        <v>211</v>
      </c>
      <c r="B6" s="82" t="s">
        <v>212</v>
      </c>
      <c r="C6" s="79">
        <v>19405</v>
      </c>
      <c r="D6" s="13"/>
      <c r="E6" s="30">
        <v>700</v>
      </c>
      <c r="F6" s="15"/>
      <c r="G6" s="15"/>
      <c r="H6" s="16"/>
      <c r="I6" s="16"/>
      <c r="J6" s="16"/>
      <c r="K6" s="16">
        <f>E6</f>
        <v>700</v>
      </c>
      <c r="L6" s="16"/>
      <c r="M6" s="134"/>
      <c r="N6" s="16"/>
      <c r="O6" s="16"/>
      <c r="P6" s="17"/>
      <c r="Q6" s="18"/>
      <c r="R6" s="18"/>
      <c r="S6" s="19"/>
      <c r="T6" s="19"/>
      <c r="U6" s="19"/>
    </row>
    <row r="7" spans="1:21" ht="17.399999999999999" customHeight="1" x14ac:dyDescent="0.3">
      <c r="A7" s="21" t="s">
        <v>213</v>
      </c>
      <c r="B7" s="100" t="s">
        <v>214</v>
      </c>
      <c r="C7" s="79">
        <v>19406</v>
      </c>
      <c r="D7" s="13"/>
      <c r="E7" s="30">
        <v>300</v>
      </c>
      <c r="F7" s="15"/>
      <c r="G7" s="15"/>
      <c r="H7" s="16"/>
      <c r="I7" s="16"/>
      <c r="J7" s="16"/>
      <c r="K7" s="16"/>
      <c r="L7" s="16"/>
      <c r="M7" s="134"/>
      <c r="N7" s="16"/>
      <c r="O7" s="16"/>
      <c r="P7" s="17"/>
      <c r="Q7" s="18"/>
      <c r="R7" s="18"/>
      <c r="S7" s="19"/>
      <c r="T7" s="19"/>
      <c r="U7" s="19">
        <f>E7</f>
        <v>300</v>
      </c>
    </row>
    <row r="8" spans="1:21" ht="31.2" x14ac:dyDescent="0.3">
      <c r="A8" s="21" t="s">
        <v>213</v>
      </c>
      <c r="B8" s="82" t="s">
        <v>215</v>
      </c>
      <c r="C8" s="79">
        <v>19407</v>
      </c>
      <c r="D8" s="13"/>
      <c r="E8" s="30">
        <v>2000</v>
      </c>
      <c r="F8" s="15"/>
      <c r="G8" s="15"/>
      <c r="H8" s="16"/>
      <c r="I8" s="16"/>
      <c r="J8" s="16"/>
      <c r="K8" s="16"/>
      <c r="L8" s="16"/>
      <c r="M8" s="134"/>
      <c r="N8" s="16"/>
      <c r="O8" s="16"/>
      <c r="P8" s="17"/>
      <c r="Q8" s="18"/>
      <c r="R8" s="18">
        <f>E8</f>
        <v>2000</v>
      </c>
      <c r="S8" s="19"/>
      <c r="T8" s="19"/>
      <c r="U8" s="19"/>
    </row>
    <row r="9" spans="1:21" x14ac:dyDescent="0.3">
      <c r="A9" s="21" t="s">
        <v>216</v>
      </c>
      <c r="B9" s="100" t="s">
        <v>217</v>
      </c>
      <c r="C9" s="79">
        <v>19408</v>
      </c>
      <c r="D9" s="13"/>
      <c r="E9" s="30">
        <v>1345</v>
      </c>
      <c r="F9" s="15">
        <f>E9</f>
        <v>1345</v>
      </c>
      <c r="G9" s="15"/>
      <c r="H9" s="16"/>
      <c r="I9" s="16"/>
      <c r="J9" s="16"/>
      <c r="K9" s="16"/>
      <c r="L9" s="16"/>
      <c r="M9" s="134"/>
      <c r="N9" s="16"/>
      <c r="O9" s="16"/>
      <c r="P9" s="17"/>
      <c r="Q9" s="18"/>
      <c r="R9" s="18"/>
      <c r="S9" s="19"/>
      <c r="T9" s="19"/>
      <c r="U9" s="19"/>
    </row>
    <row r="10" spans="1:21" x14ac:dyDescent="0.3">
      <c r="A10" s="21" t="s">
        <v>218</v>
      </c>
      <c r="B10" s="82" t="s">
        <v>219</v>
      </c>
      <c r="C10" s="79">
        <v>19409</v>
      </c>
      <c r="D10" s="13"/>
      <c r="E10" s="30">
        <v>1400</v>
      </c>
      <c r="F10" s="15"/>
      <c r="G10" s="15"/>
      <c r="H10" s="16"/>
      <c r="I10" s="16"/>
      <c r="J10" s="16"/>
      <c r="K10" s="16"/>
      <c r="L10" s="16"/>
      <c r="M10" s="134"/>
      <c r="N10" s="16"/>
      <c r="O10" s="16">
        <f>E10</f>
        <v>1400</v>
      </c>
      <c r="P10" s="17"/>
      <c r="Q10" s="18"/>
      <c r="R10" s="18"/>
      <c r="S10" s="19"/>
      <c r="T10" s="19"/>
      <c r="U10" s="19"/>
    </row>
    <row r="11" spans="1:21" ht="31.2" x14ac:dyDescent="0.3">
      <c r="A11" s="21" t="s">
        <v>220</v>
      </c>
      <c r="B11" s="82" t="s">
        <v>221</v>
      </c>
      <c r="C11" s="79">
        <v>19410</v>
      </c>
      <c r="D11" s="13"/>
      <c r="E11" s="30">
        <v>988</v>
      </c>
      <c r="F11" s="15"/>
      <c r="G11" s="15"/>
      <c r="H11" s="16"/>
      <c r="I11" s="16"/>
      <c r="J11" s="16"/>
      <c r="K11" s="16"/>
      <c r="L11" s="16"/>
      <c r="M11" s="134"/>
      <c r="N11" s="16">
        <f>E11</f>
        <v>988</v>
      </c>
      <c r="O11" s="16"/>
      <c r="P11" s="17"/>
      <c r="Q11" s="18"/>
      <c r="R11" s="18"/>
      <c r="S11" s="19"/>
      <c r="T11" s="19"/>
      <c r="U11" s="19"/>
    </row>
    <row r="12" spans="1:21" x14ac:dyDescent="0.3">
      <c r="A12" s="21" t="s">
        <v>222</v>
      </c>
      <c r="B12" s="100" t="s">
        <v>223</v>
      </c>
      <c r="C12" s="79">
        <v>19411</v>
      </c>
      <c r="D12" s="13"/>
      <c r="E12" s="30">
        <v>3040</v>
      </c>
      <c r="F12" s="15">
        <f>E12</f>
        <v>3040</v>
      </c>
      <c r="G12" s="15"/>
      <c r="H12" s="16"/>
      <c r="I12" s="16"/>
      <c r="J12" s="16"/>
      <c r="K12" s="16"/>
      <c r="L12" s="16"/>
      <c r="M12" s="134"/>
      <c r="N12" s="16"/>
      <c r="O12" s="16"/>
      <c r="P12" s="17"/>
      <c r="Q12" s="18"/>
      <c r="R12" s="18"/>
      <c r="S12" s="19"/>
      <c r="T12" s="19"/>
      <c r="U12" s="19"/>
    </row>
    <row r="13" spans="1:21" ht="31.2" x14ac:dyDescent="0.3">
      <c r="A13" s="21" t="s">
        <v>222</v>
      </c>
      <c r="B13" s="82" t="s">
        <v>224</v>
      </c>
      <c r="C13" s="79">
        <v>19412</v>
      </c>
      <c r="D13" s="13"/>
      <c r="E13" s="30">
        <v>560</v>
      </c>
      <c r="F13" s="15"/>
      <c r="G13" s="15"/>
      <c r="H13" s="16"/>
      <c r="I13" s="16"/>
      <c r="J13" s="16"/>
      <c r="K13" s="16"/>
      <c r="L13" s="16"/>
      <c r="M13" s="134">
        <f>E13</f>
        <v>560</v>
      </c>
      <c r="N13" s="16"/>
      <c r="O13" s="16"/>
      <c r="P13" s="17"/>
      <c r="Q13" s="18"/>
      <c r="R13" s="18"/>
      <c r="S13" s="19"/>
      <c r="T13" s="19"/>
      <c r="U13" s="19"/>
    </row>
    <row r="14" spans="1:21" ht="31.2" x14ac:dyDescent="0.3">
      <c r="A14" s="21" t="s">
        <v>222</v>
      </c>
      <c r="B14" s="82" t="s">
        <v>215</v>
      </c>
      <c r="C14" s="23">
        <v>19413</v>
      </c>
      <c r="D14" s="13"/>
      <c r="E14" s="30">
        <v>2500</v>
      </c>
      <c r="F14" s="15"/>
      <c r="G14" s="15"/>
      <c r="H14" s="16"/>
      <c r="I14" s="16"/>
      <c r="J14" s="16"/>
      <c r="K14" s="16"/>
      <c r="L14" s="16"/>
      <c r="M14" s="134"/>
      <c r="N14" s="16"/>
      <c r="O14" s="16"/>
      <c r="P14" s="17"/>
      <c r="Q14" s="18"/>
      <c r="R14" s="18">
        <f>E14</f>
        <v>2500</v>
      </c>
      <c r="S14" s="19"/>
      <c r="T14" s="19"/>
      <c r="U14" s="19"/>
    </row>
    <row r="15" spans="1:21" x14ac:dyDescent="0.3">
      <c r="A15" s="21" t="s">
        <v>222</v>
      </c>
      <c r="B15" s="100" t="s">
        <v>225</v>
      </c>
      <c r="C15" s="23">
        <v>19414</v>
      </c>
      <c r="D15" s="13"/>
      <c r="E15" s="30">
        <v>650</v>
      </c>
      <c r="F15" s="15"/>
      <c r="G15" s="15"/>
      <c r="H15" s="16"/>
      <c r="I15" s="16"/>
      <c r="J15" s="16"/>
      <c r="K15" s="16"/>
      <c r="L15" s="16"/>
      <c r="M15" s="134"/>
      <c r="N15" s="16"/>
      <c r="O15" s="16"/>
      <c r="P15" s="17"/>
      <c r="Q15" s="18"/>
      <c r="R15" s="18"/>
      <c r="S15" s="19"/>
      <c r="T15" s="19"/>
      <c r="U15" s="19">
        <f>E15</f>
        <v>650</v>
      </c>
    </row>
    <row r="16" spans="1:21" ht="31.2" x14ac:dyDescent="0.3">
      <c r="A16" s="21" t="s">
        <v>226</v>
      </c>
      <c r="B16" s="82" t="s">
        <v>221</v>
      </c>
      <c r="C16" s="104">
        <v>19415</v>
      </c>
      <c r="D16" s="136"/>
      <c r="E16" s="137">
        <v>200</v>
      </c>
      <c r="F16" s="138"/>
      <c r="G16" s="138"/>
      <c r="H16" s="139"/>
      <c r="I16" s="139"/>
      <c r="J16" s="139"/>
      <c r="K16" s="139"/>
      <c r="L16" s="139"/>
      <c r="M16" s="140"/>
      <c r="N16" s="139">
        <f>E16</f>
        <v>200</v>
      </c>
      <c r="O16" s="139"/>
      <c r="P16" s="141"/>
      <c r="Q16" s="142"/>
      <c r="R16" s="142"/>
      <c r="S16" s="143"/>
      <c r="T16" s="143"/>
      <c r="U16" s="143"/>
    </row>
    <row r="17" spans="1:60" s="150" customFormat="1" x14ac:dyDescent="0.3">
      <c r="A17" s="21" t="s">
        <v>226</v>
      </c>
      <c r="B17" s="82" t="s">
        <v>219</v>
      </c>
      <c r="C17" s="104">
        <v>19416</v>
      </c>
      <c r="D17" s="105"/>
      <c r="E17" s="145">
        <v>1400</v>
      </c>
      <c r="F17" s="146"/>
      <c r="G17" s="146"/>
      <c r="H17" s="147"/>
      <c r="I17" s="147"/>
      <c r="J17" s="147"/>
      <c r="K17" s="147"/>
      <c r="L17" s="147"/>
      <c r="M17" s="148"/>
      <c r="N17" s="147"/>
      <c r="O17" s="147">
        <f>E17</f>
        <v>1400</v>
      </c>
      <c r="P17" s="149"/>
      <c r="Q17" s="142"/>
      <c r="R17" s="142"/>
      <c r="S17" s="142"/>
      <c r="T17" s="142"/>
      <c r="U17" s="142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</row>
    <row r="18" spans="1:60" s="107" customFormat="1" x14ac:dyDescent="0.3">
      <c r="A18" s="21" t="s">
        <v>226</v>
      </c>
      <c r="B18" s="100" t="s">
        <v>227</v>
      </c>
      <c r="C18" s="23">
        <v>19417</v>
      </c>
      <c r="D18" s="13"/>
      <c r="E18" s="29">
        <v>130</v>
      </c>
      <c r="F18" s="56"/>
      <c r="G18" s="56"/>
      <c r="H18" s="99"/>
      <c r="I18" s="99"/>
      <c r="J18" s="99"/>
      <c r="K18" s="99"/>
      <c r="L18" s="99">
        <f>E18</f>
        <v>130</v>
      </c>
      <c r="M18" s="151"/>
      <c r="N18" s="99"/>
      <c r="O18" s="99"/>
      <c r="P18" s="152"/>
      <c r="Q18" s="18"/>
      <c r="R18" s="18"/>
      <c r="S18" s="18"/>
      <c r="T18" s="18"/>
      <c r="U18" s="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</row>
    <row r="19" spans="1:60" s="107" customFormat="1" x14ac:dyDescent="0.3">
      <c r="A19" s="21" t="s">
        <v>228</v>
      </c>
      <c r="B19" s="82" t="s">
        <v>229</v>
      </c>
      <c r="C19" s="23">
        <v>19418</v>
      </c>
      <c r="D19" s="13"/>
      <c r="E19" s="29">
        <v>270</v>
      </c>
      <c r="F19" s="56"/>
      <c r="G19" s="56"/>
      <c r="H19" s="99"/>
      <c r="I19" s="99"/>
      <c r="J19" s="99"/>
      <c r="K19" s="99"/>
      <c r="L19" s="99"/>
      <c r="M19" s="151">
        <f>E19</f>
        <v>270</v>
      </c>
      <c r="N19" s="99"/>
      <c r="O19" s="99"/>
      <c r="P19" s="152"/>
      <c r="Q19" s="18"/>
      <c r="R19" s="18"/>
      <c r="S19" s="18"/>
      <c r="T19" s="18"/>
      <c r="U19" s="18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</row>
    <row r="20" spans="1:60" s="107" customFormat="1" x14ac:dyDescent="0.3">
      <c r="A20" s="21" t="s">
        <v>228</v>
      </c>
      <c r="B20" s="100" t="s">
        <v>230</v>
      </c>
      <c r="C20" s="23">
        <v>19419</v>
      </c>
      <c r="D20" s="13"/>
      <c r="E20" s="29">
        <v>1300</v>
      </c>
      <c r="F20" s="56"/>
      <c r="G20" s="56"/>
      <c r="H20" s="99"/>
      <c r="I20" s="99"/>
      <c r="J20" s="99"/>
      <c r="K20" s="99"/>
      <c r="L20" s="99"/>
      <c r="M20" s="151">
        <f>E20</f>
        <v>1300</v>
      </c>
      <c r="N20" s="99"/>
      <c r="O20" s="99"/>
      <c r="P20" s="152"/>
      <c r="Q20" s="18"/>
      <c r="R20" s="18"/>
      <c r="S20" s="18"/>
      <c r="T20" s="18"/>
      <c r="U20" s="18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</row>
    <row r="21" spans="1:60" s="107" customFormat="1" ht="31.2" x14ac:dyDescent="0.3">
      <c r="A21" s="21" t="s">
        <v>231</v>
      </c>
      <c r="B21" s="82" t="s">
        <v>215</v>
      </c>
      <c r="C21" s="23">
        <v>19420</v>
      </c>
      <c r="D21" s="13"/>
      <c r="E21" s="29">
        <v>2500</v>
      </c>
      <c r="F21" s="56"/>
      <c r="G21" s="56"/>
      <c r="H21" s="99"/>
      <c r="I21" s="99"/>
      <c r="J21" s="99"/>
      <c r="K21" s="99"/>
      <c r="L21" s="99"/>
      <c r="M21" s="151"/>
      <c r="N21" s="99"/>
      <c r="O21" s="99"/>
      <c r="P21" s="152"/>
      <c r="Q21" s="18"/>
      <c r="R21" s="18">
        <f>E21</f>
        <v>2500</v>
      </c>
      <c r="S21" s="18"/>
      <c r="T21" s="18"/>
      <c r="U21" s="18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  <row r="22" spans="1:60" s="107" customFormat="1" x14ac:dyDescent="0.3">
      <c r="A22" s="21" t="s">
        <v>232</v>
      </c>
      <c r="B22" s="82" t="s">
        <v>219</v>
      </c>
      <c r="C22" s="23">
        <v>19421</v>
      </c>
      <c r="D22" s="13"/>
      <c r="E22" s="29">
        <v>1400</v>
      </c>
      <c r="F22" s="56"/>
      <c r="G22" s="56"/>
      <c r="H22" s="99"/>
      <c r="I22" s="99"/>
      <c r="J22" s="99"/>
      <c r="K22" s="99"/>
      <c r="L22" s="99"/>
      <c r="M22" s="151"/>
      <c r="N22" s="99"/>
      <c r="O22" s="99">
        <f>E22</f>
        <v>1400</v>
      </c>
      <c r="P22" s="152"/>
      <c r="Q22" s="18"/>
      <c r="R22" s="18"/>
      <c r="S22" s="18"/>
      <c r="T22" s="18"/>
      <c r="U22" s="18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</row>
    <row r="23" spans="1:60" s="107" customFormat="1" ht="31.2" x14ac:dyDescent="0.3">
      <c r="A23" s="21" t="s">
        <v>233</v>
      </c>
      <c r="B23" s="82" t="s">
        <v>215</v>
      </c>
      <c r="C23" s="23">
        <v>19422</v>
      </c>
      <c r="D23" s="13"/>
      <c r="E23" s="29">
        <v>1500</v>
      </c>
      <c r="F23" s="56"/>
      <c r="G23" s="56"/>
      <c r="H23" s="99"/>
      <c r="I23" s="99"/>
      <c r="J23" s="99"/>
      <c r="K23" s="99"/>
      <c r="L23" s="99"/>
      <c r="M23" s="151"/>
      <c r="N23" s="99"/>
      <c r="O23" s="99"/>
      <c r="P23" s="152"/>
      <c r="Q23" s="18"/>
      <c r="R23" s="18">
        <f>E23</f>
        <v>1500</v>
      </c>
      <c r="S23" s="18"/>
      <c r="T23" s="18"/>
      <c r="U23" s="18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</row>
    <row r="24" spans="1:60" s="107" customFormat="1" x14ac:dyDescent="0.3">
      <c r="A24" s="21" t="s">
        <v>234</v>
      </c>
      <c r="B24" s="82" t="s">
        <v>219</v>
      </c>
      <c r="C24" s="23">
        <v>19423</v>
      </c>
      <c r="D24" s="153"/>
      <c r="E24" s="18">
        <v>1400</v>
      </c>
      <c r="F24" s="29"/>
      <c r="G24" s="29"/>
      <c r="H24" s="29"/>
      <c r="I24" s="29"/>
      <c r="J24" s="29"/>
      <c r="K24" s="29"/>
      <c r="L24" s="29"/>
      <c r="M24" s="154"/>
      <c r="N24" s="29"/>
      <c r="O24" s="29">
        <f>E24</f>
        <v>1400</v>
      </c>
      <c r="P24" s="29"/>
      <c r="Q24" s="29"/>
      <c r="R24" s="29"/>
      <c r="S24" s="29"/>
      <c r="T24" s="29"/>
      <c r="U24" s="29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</row>
    <row r="25" spans="1:60" s="165" customFormat="1" ht="16.2" thickBot="1" x14ac:dyDescent="0.35">
      <c r="A25" s="162"/>
      <c r="B25" s="163"/>
      <c r="C25" s="164"/>
      <c r="D25" s="160">
        <v>80000</v>
      </c>
      <c r="E25" s="160">
        <f>SUM(E6:E24)</f>
        <v>23583</v>
      </c>
      <c r="F25" s="160">
        <f t="shared" ref="F25:U25" si="0">SUM(F6:F24)</f>
        <v>4385</v>
      </c>
      <c r="G25" s="160">
        <f t="shared" si="0"/>
        <v>0</v>
      </c>
      <c r="H25" s="160">
        <f t="shared" si="0"/>
        <v>0</v>
      </c>
      <c r="I25" s="160">
        <f t="shared" si="0"/>
        <v>0</v>
      </c>
      <c r="J25" s="160">
        <f t="shared" si="0"/>
        <v>0</v>
      </c>
      <c r="K25" s="160">
        <f t="shared" si="0"/>
        <v>700</v>
      </c>
      <c r="L25" s="160">
        <f t="shared" si="0"/>
        <v>130</v>
      </c>
      <c r="M25" s="160">
        <f t="shared" si="0"/>
        <v>2130</v>
      </c>
      <c r="N25" s="160">
        <f t="shared" si="0"/>
        <v>1188</v>
      </c>
      <c r="O25" s="160">
        <f t="shared" si="0"/>
        <v>5600</v>
      </c>
      <c r="P25" s="160">
        <f t="shared" si="0"/>
        <v>0</v>
      </c>
      <c r="Q25" s="160">
        <f t="shared" si="0"/>
        <v>0</v>
      </c>
      <c r="R25" s="160">
        <f t="shared" si="0"/>
        <v>8500</v>
      </c>
      <c r="S25" s="160">
        <f t="shared" si="0"/>
        <v>0</v>
      </c>
      <c r="T25" s="160">
        <f t="shared" si="0"/>
        <v>0</v>
      </c>
      <c r="U25" s="160">
        <f t="shared" si="0"/>
        <v>950</v>
      </c>
    </row>
    <row r="26" spans="1:60" ht="16.2" thickTop="1" x14ac:dyDescent="0.3">
      <c r="A26" s="44" t="s">
        <v>43</v>
      </c>
      <c r="B26" s="116"/>
      <c r="C26" s="35"/>
      <c r="D26" s="36">
        <f>SUM(D25-E25)</f>
        <v>56417</v>
      </c>
      <c r="N26" s="201"/>
      <c r="O26" s="201"/>
      <c r="P26" s="201"/>
    </row>
    <row r="27" spans="1:60" ht="16.2" thickBot="1" x14ac:dyDescent="0.35">
      <c r="A27" s="195" t="s">
        <v>45</v>
      </c>
      <c r="B27" s="195"/>
      <c r="C27" s="195"/>
      <c r="D27" s="36"/>
      <c r="N27" s="39"/>
      <c r="O27" s="39"/>
      <c r="P27" s="39"/>
    </row>
    <row r="28" spans="1:60" ht="29.4" thickBot="1" x14ac:dyDescent="0.6">
      <c r="A28" s="195"/>
      <c r="B28" s="195"/>
      <c r="C28" s="195"/>
      <c r="D28" s="196">
        <f>E25</f>
        <v>23583</v>
      </c>
      <c r="E28" s="197"/>
      <c r="F28" s="42"/>
      <c r="G28" s="42"/>
      <c r="H28" s="43"/>
      <c r="I28" s="43"/>
      <c r="J28" s="43"/>
      <c r="K28" s="43"/>
      <c r="L28" s="43"/>
      <c r="M28" s="158"/>
    </row>
    <row r="29" spans="1:60" x14ac:dyDescent="0.3">
      <c r="A29" s="44"/>
      <c r="B29" s="117"/>
      <c r="C29" s="45"/>
      <c r="D29" s="45"/>
      <c r="E29" s="46"/>
      <c r="F29" s="46"/>
      <c r="G29" s="46"/>
      <c r="H29" s="46"/>
      <c r="I29" s="46"/>
      <c r="J29" s="46"/>
      <c r="K29" s="46"/>
      <c r="L29" s="46"/>
      <c r="M29" s="159"/>
      <c r="N29" s="47"/>
      <c r="O29" s="5"/>
      <c r="P29" s="5"/>
    </row>
    <row r="30" spans="1:60" x14ac:dyDescent="0.3">
      <c r="A30" s="44"/>
      <c r="B30" s="117"/>
      <c r="C30" s="45"/>
      <c r="D30" s="45"/>
      <c r="E30" s="46"/>
      <c r="F30" s="46"/>
      <c r="G30" s="46"/>
      <c r="H30" s="46"/>
      <c r="I30" s="46"/>
      <c r="J30" s="46"/>
      <c r="K30" s="46"/>
      <c r="M30" s="159"/>
      <c r="N30" s="47"/>
      <c r="O30" s="5"/>
      <c r="P30" s="5"/>
    </row>
    <row r="31" spans="1:60" ht="16.2" x14ac:dyDescent="0.35">
      <c r="A31" s="48"/>
      <c r="B31" s="118"/>
      <c r="D31" s="50"/>
      <c r="E31" s="50"/>
      <c r="F31" s="50"/>
      <c r="G31" s="50"/>
      <c r="H31" s="50"/>
      <c r="J31" s="50"/>
      <c r="L31" s="51"/>
      <c r="N31" s="52"/>
      <c r="O31" s="50"/>
      <c r="Q31" s="51"/>
      <c r="S31" s="50"/>
      <c r="T31" s="50"/>
      <c r="U31" s="50"/>
    </row>
    <row r="32" spans="1:60" ht="16.2" x14ac:dyDescent="0.35">
      <c r="A32" s="166"/>
      <c r="B32" s="167" t="s">
        <v>235</v>
      </c>
      <c r="C32" s="168"/>
      <c r="D32"/>
      <c r="E32" s="169" t="s">
        <v>235</v>
      </c>
      <c r="F32"/>
      <c r="G32" s="170"/>
      <c r="H32"/>
      <c r="I32"/>
      <c r="J32" s="171" t="s">
        <v>236</v>
      </c>
      <c r="K32" s="96"/>
      <c r="L32"/>
      <c r="M32" s="171" t="s">
        <v>236</v>
      </c>
      <c r="O32" s="172"/>
      <c r="P32"/>
      <c r="Q32"/>
      <c r="R32" s="173"/>
      <c r="S32" s="173" t="s">
        <v>236</v>
      </c>
      <c r="T32"/>
      <c r="U32" s="171" t="s">
        <v>236</v>
      </c>
      <c r="V32" s="173"/>
      <c r="W32" s="174"/>
      <c r="X32" s="175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6"/>
      <c r="AX32" s="176"/>
      <c r="AY32" s="176"/>
      <c r="AZ32" s="176"/>
      <c r="BA32" s="176"/>
      <c r="BB32" s="176"/>
      <c r="BC32" s="176"/>
      <c r="BD32" s="176"/>
    </row>
    <row r="33" spans="1:60" ht="16.2" x14ac:dyDescent="0.35">
      <c r="A33" s="166"/>
      <c r="B33" s="177" t="s">
        <v>49</v>
      </c>
      <c r="C33" s="178"/>
      <c r="D33"/>
      <c r="E33" s="179" t="s">
        <v>50</v>
      </c>
      <c r="F33"/>
      <c r="G33" s="180"/>
      <c r="H33"/>
      <c r="I33"/>
      <c r="J33" s="181" t="s">
        <v>237</v>
      </c>
      <c r="K33" s="96"/>
      <c r="L33"/>
      <c r="M33" s="181" t="s">
        <v>237</v>
      </c>
      <c r="O33" s="180"/>
      <c r="P33"/>
      <c r="Q33"/>
      <c r="R33" s="180"/>
      <c r="S33" s="180" t="s">
        <v>52</v>
      </c>
      <c r="T33"/>
      <c r="U33" s="182" t="s">
        <v>52</v>
      </c>
      <c r="V33" s="180"/>
      <c r="W33" s="183"/>
      <c r="X33" s="184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6"/>
      <c r="AU33" s="176"/>
      <c r="AV33" s="176"/>
      <c r="AW33" s="176"/>
      <c r="AX33" s="176"/>
      <c r="AY33" s="176"/>
      <c r="AZ33" s="176"/>
      <c r="BA33" s="176"/>
      <c r="BB33" s="176"/>
      <c r="BC33" s="176"/>
      <c r="BD33" s="176"/>
    </row>
    <row r="34" spans="1:60" ht="16.2" x14ac:dyDescent="0.35">
      <c r="A34" s="166"/>
      <c r="B34" s="185" t="s">
        <v>172</v>
      </c>
      <c r="C34" s="178"/>
      <c r="D34"/>
      <c r="E34" s="179" t="s">
        <v>105</v>
      </c>
      <c r="F34"/>
      <c r="G34" s="180"/>
      <c r="H34"/>
      <c r="I34"/>
      <c r="J34" s="182" t="s">
        <v>238</v>
      </c>
      <c r="K34" s="96"/>
      <c r="L34"/>
      <c r="M34" s="182" t="s">
        <v>238</v>
      </c>
      <c r="O34" s="186"/>
      <c r="P34"/>
      <c r="Q34"/>
      <c r="R34" s="180"/>
      <c r="S34" s="180" t="s">
        <v>239</v>
      </c>
      <c r="T34"/>
      <c r="U34" s="182" t="s">
        <v>239</v>
      </c>
      <c r="V34" s="180"/>
      <c r="W34" s="183"/>
      <c r="X34" s="184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6"/>
      <c r="AQ34" s="176"/>
      <c r="AR34" s="176"/>
      <c r="AS34" s="176"/>
      <c r="AT34" s="176"/>
      <c r="AU34" s="176"/>
      <c r="AV34" s="176"/>
      <c r="AW34" s="176"/>
      <c r="AX34" s="176"/>
      <c r="AY34" s="176"/>
      <c r="AZ34" s="176"/>
      <c r="BA34" s="176"/>
      <c r="BB34" s="176"/>
      <c r="BC34" s="176"/>
      <c r="BD34" s="176"/>
    </row>
    <row r="35" spans="1:60" ht="16.2" x14ac:dyDescent="0.35">
      <c r="A35" s="166"/>
      <c r="B35" s="185" t="s">
        <v>173</v>
      </c>
      <c r="C35" s="178"/>
      <c r="D35"/>
      <c r="E35" s="179" t="s">
        <v>106</v>
      </c>
      <c r="F35"/>
      <c r="G35" s="180"/>
      <c r="H35"/>
      <c r="I35"/>
      <c r="J35" s="182" t="s">
        <v>240</v>
      </c>
      <c r="K35" s="96"/>
      <c r="L35"/>
      <c r="M35" s="182" t="s">
        <v>240</v>
      </c>
      <c r="O35" s="186"/>
      <c r="P35"/>
      <c r="Q35"/>
      <c r="R35" s="180"/>
      <c r="S35" s="180" t="s">
        <v>241</v>
      </c>
      <c r="T35"/>
      <c r="U35" s="182" t="s">
        <v>242</v>
      </c>
      <c r="V35" s="180"/>
      <c r="W35" s="183"/>
      <c r="X35" s="184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  <c r="AS35" s="176"/>
      <c r="AT35" s="176"/>
      <c r="AU35" s="176"/>
      <c r="AV35" s="176"/>
      <c r="AW35" s="176"/>
      <c r="AX35" s="176"/>
      <c r="AY35" s="176"/>
      <c r="AZ35" s="176"/>
      <c r="BA35" s="176"/>
      <c r="BB35" s="176"/>
      <c r="BC35" s="176"/>
      <c r="BD35" s="176"/>
    </row>
    <row r="36" spans="1:60" x14ac:dyDescent="0.3">
      <c r="A36" s="48"/>
      <c r="B36" s="121"/>
      <c r="C36" s="48"/>
      <c r="D36" s="53"/>
      <c r="E36" s="53"/>
      <c r="F36" s="53"/>
      <c r="G36" s="53"/>
      <c r="H36" s="53"/>
      <c r="I36" s="53"/>
      <c r="J36" s="53"/>
      <c r="K36" s="53"/>
      <c r="L36" s="53"/>
      <c r="N36" s="53"/>
      <c r="O36" s="53"/>
      <c r="P36" s="53"/>
      <c r="Q36" s="53"/>
      <c r="S36" s="53"/>
      <c r="T36" s="53"/>
      <c r="U36" s="53"/>
    </row>
    <row r="37" spans="1:60" x14ac:dyDescent="0.3">
      <c r="B37" s="122"/>
      <c r="C37" s="54"/>
      <c r="R37" s="53"/>
    </row>
    <row r="38" spans="1:60" x14ac:dyDescent="0.3">
      <c r="A38" s="54"/>
      <c r="B38" s="122"/>
      <c r="C38" s="54"/>
    </row>
    <row r="39" spans="1:60" x14ac:dyDescent="0.3">
      <c r="A39" s="54"/>
      <c r="B39" s="122"/>
      <c r="C39" s="54"/>
    </row>
    <row r="40" spans="1:60" x14ac:dyDescent="0.3">
      <c r="A40" s="54"/>
      <c r="B40" s="122"/>
      <c r="C40" s="54"/>
    </row>
    <row r="41" spans="1:60" x14ac:dyDescent="0.3">
      <c r="A41" s="54"/>
      <c r="B41" s="122"/>
      <c r="C41" s="54"/>
    </row>
    <row r="42" spans="1:60" x14ac:dyDescent="0.3">
      <c r="A42" s="54"/>
      <c r="B42" s="122"/>
      <c r="C42" s="54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</row>
    <row r="43" spans="1:60" x14ac:dyDescent="0.3">
      <c r="A43" s="54"/>
      <c r="B43" s="122"/>
      <c r="C43" s="54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</row>
    <row r="44" spans="1:60" x14ac:dyDescent="0.3">
      <c r="A44" s="54"/>
      <c r="B44" s="122"/>
      <c r="C44" s="54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</row>
    <row r="45" spans="1:60" x14ac:dyDescent="0.3">
      <c r="A45" s="54"/>
      <c r="B45" s="122"/>
      <c r="C45" s="54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</row>
    <row r="46" spans="1:60" x14ac:dyDescent="0.3">
      <c r="A46" s="54"/>
      <c r="B46" s="122"/>
      <c r="C46" s="54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</row>
    <row r="47" spans="1:60" x14ac:dyDescent="0.3">
      <c r="A47" s="54"/>
      <c r="B47" s="122"/>
      <c r="C47" s="54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</row>
    <row r="48" spans="1:60" x14ac:dyDescent="0.3">
      <c r="A48" s="54"/>
      <c r="B48" s="122"/>
      <c r="C48" s="54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</row>
    <row r="49" spans="1:60" x14ac:dyDescent="0.3">
      <c r="A49" s="54"/>
      <c r="B49" s="122"/>
      <c r="C49" s="54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</row>
    <row r="50" spans="1:60" x14ac:dyDescent="0.3">
      <c r="A50" s="54"/>
      <c r="B50" s="122"/>
      <c r="C50" s="54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</row>
    <row r="51" spans="1:60" s="38" customFormat="1" x14ac:dyDescent="0.3">
      <c r="A51" s="54"/>
      <c r="B51" s="122"/>
      <c r="C51" s="54"/>
      <c r="D51" s="37"/>
      <c r="M51" s="157"/>
      <c r="Q51" s="5"/>
      <c r="R51" s="5"/>
      <c r="S51" s="5"/>
      <c r="T51" s="5"/>
      <c r="U51" s="5"/>
    </row>
    <row r="52" spans="1:60" s="38" customFormat="1" x14ac:dyDescent="0.3">
      <c r="A52" s="54"/>
      <c r="B52" s="122"/>
      <c r="C52" s="54"/>
      <c r="D52" s="37"/>
      <c r="M52" s="157"/>
      <c r="Q52" s="5"/>
      <c r="R52" s="5"/>
      <c r="S52" s="5"/>
      <c r="T52" s="5"/>
      <c r="U52" s="5"/>
    </row>
    <row r="53" spans="1:60" s="38" customFormat="1" x14ac:dyDescent="0.3">
      <c r="A53" s="54"/>
      <c r="B53" s="122"/>
      <c r="C53" s="54"/>
      <c r="D53" s="37"/>
      <c r="F53" s="38" t="s">
        <v>44</v>
      </c>
      <c r="M53" s="157"/>
      <c r="Q53" s="5"/>
      <c r="R53" s="5"/>
      <c r="S53" s="5"/>
      <c r="T53" s="5"/>
      <c r="U53" s="5"/>
    </row>
    <row r="54" spans="1:60" s="38" customFormat="1" x14ac:dyDescent="0.3">
      <c r="A54" s="54"/>
      <c r="B54" s="122"/>
      <c r="C54" s="54"/>
      <c r="D54" s="37"/>
      <c r="M54" s="157"/>
      <c r="Q54" s="5"/>
      <c r="R54" s="5"/>
      <c r="S54" s="5"/>
      <c r="T54" s="5"/>
      <c r="U54" s="5"/>
    </row>
    <row r="55" spans="1:60" s="38" customFormat="1" x14ac:dyDescent="0.3">
      <c r="A55" s="54"/>
      <c r="B55" s="122"/>
      <c r="C55" s="54"/>
      <c r="D55" s="37"/>
      <c r="M55" s="157"/>
      <c r="Q55" s="5"/>
      <c r="R55" s="5"/>
      <c r="S55" s="5"/>
      <c r="T55" s="5"/>
      <c r="U55" s="5"/>
    </row>
    <row r="56" spans="1:60" s="38" customFormat="1" x14ac:dyDescent="0.3">
      <c r="A56" s="54"/>
      <c r="B56" s="122"/>
      <c r="C56" s="54"/>
      <c r="D56" s="37"/>
      <c r="M56" s="157"/>
      <c r="Q56" s="5"/>
      <c r="R56" s="5"/>
      <c r="S56" s="5"/>
      <c r="T56" s="5"/>
      <c r="U56" s="5"/>
    </row>
    <row r="57" spans="1:60" s="38" customFormat="1" x14ac:dyDescent="0.3">
      <c r="A57" s="54"/>
      <c r="B57" s="122"/>
      <c r="C57" s="54"/>
      <c r="D57" s="37"/>
      <c r="M57" s="157"/>
      <c r="Q57" s="5"/>
      <c r="R57" s="5"/>
      <c r="S57" s="5"/>
      <c r="T57" s="5"/>
      <c r="U57" s="5"/>
      <c r="V57"/>
      <c r="W57"/>
      <c r="X57"/>
      <c r="Y57"/>
      <c r="Z57"/>
      <c r="AA57"/>
      <c r="AB57"/>
      <c r="AC57"/>
      <c r="AD57"/>
      <c r="AE57"/>
      <c r="AF57"/>
      <c r="AG57"/>
    </row>
    <row r="58" spans="1:60" s="38" customFormat="1" x14ac:dyDescent="0.3">
      <c r="A58" s="54"/>
      <c r="B58" s="122"/>
      <c r="C58" s="54"/>
      <c r="D58" s="37"/>
      <c r="M58" s="157"/>
      <c r="Q58" s="5"/>
      <c r="R58" s="5"/>
      <c r="S58" s="5"/>
      <c r="T58" s="5"/>
      <c r="U58" s="5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</row>
    <row r="59" spans="1:60" s="38" customFormat="1" x14ac:dyDescent="0.3">
      <c r="A59" s="54"/>
      <c r="B59" s="122"/>
      <c r="C59" s="54"/>
      <c r="D59" s="37"/>
      <c r="M59" s="157"/>
      <c r="Q59" s="5"/>
      <c r="R59" s="5"/>
      <c r="S59" s="5"/>
      <c r="T59" s="5"/>
      <c r="U59" s="5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</row>
    <row r="60" spans="1:60" s="38" customFormat="1" x14ac:dyDescent="0.3">
      <c r="A60" s="54"/>
      <c r="B60" s="122"/>
      <c r="C60" s="54"/>
      <c r="D60" s="37"/>
      <c r="M60" s="157"/>
      <c r="Q60" s="5"/>
      <c r="R60" s="5"/>
      <c r="S60" s="5"/>
      <c r="T60" s="5"/>
      <c r="U60" s="5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</row>
    <row r="61" spans="1:60" s="38" customFormat="1" x14ac:dyDescent="0.3">
      <c r="A61" s="54"/>
      <c r="B61" s="122"/>
      <c r="C61" s="54"/>
      <c r="D61" s="37"/>
      <c r="M61" s="157"/>
      <c r="Q61" s="5"/>
      <c r="R61" s="5"/>
      <c r="S61" s="5"/>
      <c r="T61" s="5"/>
      <c r="U61" s="5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</row>
    <row r="62" spans="1:60" s="38" customFormat="1" x14ac:dyDescent="0.3">
      <c r="A62" s="54"/>
      <c r="B62" s="122"/>
      <c r="C62" s="54"/>
      <c r="D62" s="37"/>
      <c r="M62" s="157"/>
      <c r="Q62" s="5"/>
      <c r="R62" s="5"/>
      <c r="S62" s="5"/>
      <c r="T62" s="5"/>
      <c r="U62" s="5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</row>
    <row r="63" spans="1:60" s="38" customFormat="1" x14ac:dyDescent="0.3">
      <c r="A63" s="54"/>
      <c r="B63" s="122"/>
      <c r="C63" s="54"/>
      <c r="D63" s="37"/>
      <c r="M63" s="157"/>
      <c r="Q63" s="5"/>
      <c r="R63" s="5"/>
      <c r="S63" s="5"/>
      <c r="T63" s="5"/>
      <c r="U63" s="5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</row>
    <row r="64" spans="1:60" s="38" customFormat="1" x14ac:dyDescent="0.3">
      <c r="A64" s="54"/>
      <c r="B64" s="122"/>
      <c r="C64" s="54"/>
      <c r="D64" s="37"/>
      <c r="M64" s="157"/>
      <c r="Q64" s="5"/>
      <c r="R64" s="5"/>
      <c r="S64" s="5"/>
      <c r="T64" s="5"/>
      <c r="U64" s="5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</row>
    <row r="65" spans="1:60" s="38" customFormat="1" x14ac:dyDescent="0.3">
      <c r="A65" s="54"/>
      <c r="B65" s="122"/>
      <c r="C65" s="54"/>
      <c r="D65" s="37"/>
      <c r="M65" s="157"/>
      <c r="Q65" s="5"/>
      <c r="R65" s="5"/>
      <c r="S65" s="5"/>
      <c r="T65" s="5"/>
      <c r="U65" s="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</row>
  </sheetData>
  <mergeCells count="9">
    <mergeCell ref="N26:P26"/>
    <mergeCell ref="A27:C28"/>
    <mergeCell ref="D28:E28"/>
    <mergeCell ref="H3:P3"/>
    <mergeCell ref="A4:A5"/>
    <mergeCell ref="B4:B5"/>
    <mergeCell ref="C4:C5"/>
    <mergeCell ref="D4:D5"/>
    <mergeCell ref="E4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7D80-DE7E-4CFA-A9AB-4F827C28341B}">
  <dimension ref="A1:BH58"/>
  <sheetViews>
    <sheetView workbookViewId="0">
      <selection activeCell="B17" sqref="B17"/>
    </sheetView>
  </sheetViews>
  <sheetFormatPr defaultRowHeight="15.6" x14ac:dyDescent="0.3"/>
  <cols>
    <col min="1" max="1" width="12.88671875" style="37" customWidth="1"/>
    <col min="2" max="2" width="42.109375" style="37" customWidth="1"/>
    <col min="3" max="3" width="10.6640625" style="37" bestFit="1" customWidth="1"/>
    <col min="4" max="4" width="12.6640625" style="37" customWidth="1"/>
    <col min="5" max="6" width="10.5546875" style="38" bestFit="1" customWidth="1"/>
    <col min="7" max="7" width="9.5546875" style="38" hidden="1" customWidth="1"/>
    <col min="8" max="8" width="19.44140625" style="38" hidden="1" customWidth="1"/>
    <col min="9" max="9" width="10.88671875" style="38" customWidth="1"/>
    <col min="10" max="10" width="10.5546875" style="38" customWidth="1"/>
    <col min="11" max="11" width="9.5546875" style="38" hidden="1" customWidth="1"/>
    <col min="12" max="12" width="10.5546875" style="38" hidden="1" customWidth="1"/>
    <col min="13" max="13" width="10.109375" style="157" hidden="1" customWidth="1"/>
    <col min="14" max="14" width="9.44140625" style="38" bestFit="1" customWidth="1"/>
    <col min="15" max="15" width="9.109375" style="38" hidden="1" customWidth="1"/>
    <col min="16" max="16" width="14.5546875" style="38" hidden="1" customWidth="1"/>
    <col min="17" max="17" width="10.88671875" style="5" hidden="1" customWidth="1"/>
    <col min="18" max="18" width="11.44140625" style="5" customWidth="1"/>
    <col min="19" max="19" width="14.109375" style="5" hidden="1" customWidth="1"/>
    <col min="20" max="20" width="8.5546875" style="5" hidden="1" customWidth="1"/>
    <col min="21" max="21" width="9.5546875" style="5" bestFit="1" customWidth="1"/>
  </cols>
  <sheetData>
    <row r="1" spans="1:21" ht="29.4" x14ac:dyDescent="0.45">
      <c r="A1" s="1" t="s">
        <v>0</v>
      </c>
      <c r="B1" s="2"/>
      <c r="C1" s="2"/>
      <c r="D1" s="3"/>
      <c r="E1" s="3"/>
      <c r="F1" s="3"/>
      <c r="G1" s="3"/>
      <c r="H1" s="3"/>
      <c r="I1" s="3" t="s">
        <v>1</v>
      </c>
      <c r="K1" s="4"/>
      <c r="L1" s="4"/>
      <c r="M1" s="131"/>
      <c r="N1" s="4"/>
      <c r="O1" s="4"/>
      <c r="P1" s="4"/>
    </row>
    <row r="2" spans="1:21" ht="29.4" x14ac:dyDescent="0.45">
      <c r="A2" s="1" t="s">
        <v>2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132"/>
      <c r="N2" s="7"/>
      <c r="O2" s="7"/>
      <c r="P2" s="7"/>
    </row>
    <row r="3" spans="1:21" ht="20.399999999999999" x14ac:dyDescent="0.3">
      <c r="A3" s="6"/>
      <c r="B3" s="6"/>
      <c r="C3" s="6"/>
      <c r="D3" s="7"/>
      <c r="E3" s="7"/>
      <c r="F3" s="7"/>
      <c r="G3" s="7"/>
      <c r="H3" s="198"/>
      <c r="I3" s="198" t="s">
        <v>62</v>
      </c>
      <c r="J3" s="198"/>
      <c r="K3" s="198"/>
      <c r="L3" s="198"/>
      <c r="M3" s="198"/>
      <c r="N3" s="198"/>
      <c r="O3" s="198"/>
      <c r="P3" s="198"/>
    </row>
    <row r="4" spans="1:21" ht="15" customHeight="1" x14ac:dyDescent="0.3">
      <c r="A4" s="199" t="s">
        <v>4</v>
      </c>
      <c r="B4" s="202" t="s">
        <v>5</v>
      </c>
      <c r="C4" s="200" t="s">
        <v>6</v>
      </c>
      <c r="D4" s="200" t="s">
        <v>7</v>
      </c>
      <c r="E4" s="200" t="s">
        <v>149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</row>
    <row r="5" spans="1:21" ht="48.75" customHeight="1" x14ac:dyDescent="0.3">
      <c r="A5" s="199"/>
      <c r="B5" s="202"/>
      <c r="C5" s="200"/>
      <c r="D5" s="200"/>
      <c r="E5" s="9" t="s">
        <v>8</v>
      </c>
      <c r="F5" s="133" t="s">
        <v>10</v>
      </c>
      <c r="G5" s="9" t="s">
        <v>9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133" t="s">
        <v>16</v>
      </c>
      <c r="N5" s="9" t="s">
        <v>86</v>
      </c>
      <c r="O5" s="9" t="s">
        <v>143</v>
      </c>
      <c r="P5" s="9" t="s">
        <v>19</v>
      </c>
      <c r="Q5" s="9" t="s">
        <v>12</v>
      </c>
      <c r="R5" s="9" t="s">
        <v>129</v>
      </c>
      <c r="S5" s="9" t="s">
        <v>182</v>
      </c>
      <c r="T5" s="9" t="s">
        <v>65</v>
      </c>
      <c r="U5" s="9" t="s">
        <v>63</v>
      </c>
    </row>
    <row r="6" spans="1:21" x14ac:dyDescent="0.3">
      <c r="A6" s="21"/>
      <c r="B6" s="67"/>
      <c r="C6" s="79"/>
      <c r="D6" s="13"/>
      <c r="E6" s="29"/>
      <c r="F6" s="15"/>
      <c r="G6" s="15"/>
      <c r="H6" s="16"/>
      <c r="I6" s="16"/>
      <c r="J6" s="16"/>
      <c r="K6" s="16"/>
      <c r="L6" s="16"/>
      <c r="M6" s="134"/>
      <c r="N6" s="16"/>
      <c r="O6" s="16"/>
      <c r="P6" s="17"/>
      <c r="Q6" s="18"/>
      <c r="R6" s="18"/>
      <c r="S6" s="19"/>
      <c r="T6" s="19"/>
      <c r="U6" s="19"/>
    </row>
    <row r="7" spans="1:21" x14ac:dyDescent="0.3">
      <c r="A7" s="21">
        <v>45481</v>
      </c>
      <c r="B7" s="144" t="s">
        <v>186</v>
      </c>
      <c r="C7" s="79">
        <v>19483</v>
      </c>
      <c r="D7" s="13"/>
      <c r="E7" s="30">
        <v>1200</v>
      </c>
      <c r="F7" s="15"/>
      <c r="G7" s="15"/>
      <c r="H7" s="16"/>
      <c r="I7" s="16"/>
      <c r="J7" s="16">
        <f>E7</f>
        <v>1200</v>
      </c>
      <c r="K7" s="16"/>
      <c r="L7" s="16"/>
      <c r="M7" s="134"/>
      <c r="N7" s="16"/>
      <c r="O7" s="16"/>
      <c r="P7" s="17"/>
      <c r="Q7" s="18"/>
      <c r="R7" s="18"/>
      <c r="S7" s="19"/>
      <c r="T7" s="19"/>
      <c r="U7" s="19"/>
    </row>
    <row r="8" spans="1:21" x14ac:dyDescent="0.3">
      <c r="A8" s="21" t="s">
        <v>201</v>
      </c>
      <c r="B8" s="90" t="s">
        <v>202</v>
      </c>
      <c r="C8" s="79">
        <v>19484</v>
      </c>
      <c r="D8" s="13"/>
      <c r="E8" s="30">
        <v>3000</v>
      </c>
      <c r="F8" s="15"/>
      <c r="G8" s="15"/>
      <c r="H8" s="16"/>
      <c r="I8" s="16">
        <f>E8</f>
        <v>3000</v>
      </c>
      <c r="J8" s="16"/>
      <c r="K8" s="16"/>
      <c r="L8" s="16"/>
      <c r="M8" s="134"/>
      <c r="N8" s="16"/>
      <c r="O8" s="16"/>
      <c r="P8" s="17"/>
      <c r="Q8" s="18"/>
      <c r="R8" s="18"/>
      <c r="S8" s="19"/>
      <c r="T8" s="19"/>
      <c r="U8" s="19"/>
    </row>
    <row r="9" spans="1:21" x14ac:dyDescent="0.3">
      <c r="A9" s="21" t="s">
        <v>203</v>
      </c>
      <c r="B9" s="90" t="s">
        <v>204</v>
      </c>
      <c r="C9" s="79">
        <v>19485</v>
      </c>
      <c r="D9" s="13"/>
      <c r="E9" s="30">
        <v>3000</v>
      </c>
      <c r="F9" s="15"/>
      <c r="G9" s="15"/>
      <c r="H9" s="16"/>
      <c r="I9" s="16">
        <f>E9</f>
        <v>3000</v>
      </c>
      <c r="J9" s="16"/>
      <c r="K9" s="16"/>
      <c r="L9" s="16"/>
      <c r="M9" s="134"/>
      <c r="N9" s="16"/>
      <c r="O9" s="16"/>
      <c r="P9" s="17"/>
      <c r="Q9" s="18"/>
      <c r="R9" s="18"/>
      <c r="S9" s="19"/>
      <c r="T9" s="19"/>
      <c r="U9" s="19"/>
    </row>
    <row r="10" spans="1:21" x14ac:dyDescent="0.3">
      <c r="A10" s="21" t="s">
        <v>203</v>
      </c>
      <c r="B10" s="90" t="s">
        <v>202</v>
      </c>
      <c r="C10" s="79">
        <v>19486</v>
      </c>
      <c r="D10" s="13"/>
      <c r="E10" s="30">
        <v>3000</v>
      </c>
      <c r="F10" s="15"/>
      <c r="G10" s="15"/>
      <c r="H10" s="16"/>
      <c r="I10" s="16">
        <f>E10</f>
        <v>3000</v>
      </c>
      <c r="J10" s="16"/>
      <c r="K10" s="16"/>
      <c r="L10" s="16"/>
      <c r="M10" s="134"/>
      <c r="N10" s="16"/>
      <c r="O10" s="16"/>
      <c r="P10" s="17"/>
      <c r="Q10" s="18"/>
      <c r="R10" s="18"/>
      <c r="S10" s="19"/>
      <c r="T10" s="19"/>
      <c r="U10" s="19"/>
    </row>
    <row r="11" spans="1:21" x14ac:dyDescent="0.3">
      <c r="A11" s="21" t="s">
        <v>203</v>
      </c>
      <c r="B11" s="90" t="s">
        <v>204</v>
      </c>
      <c r="C11" s="79">
        <v>19487</v>
      </c>
      <c r="D11" s="13"/>
      <c r="E11" s="30">
        <v>3000</v>
      </c>
      <c r="F11" s="15"/>
      <c r="G11" s="15"/>
      <c r="H11" s="16"/>
      <c r="I11" s="16">
        <f>E11</f>
        <v>3000</v>
      </c>
      <c r="J11" s="16"/>
      <c r="K11" s="16"/>
      <c r="L11" s="16"/>
      <c r="M11" s="134"/>
      <c r="N11" s="16"/>
      <c r="O11" s="16"/>
      <c r="P11" s="17"/>
      <c r="Q11" s="18"/>
      <c r="R11" s="18"/>
      <c r="S11" s="19"/>
      <c r="T11" s="19"/>
      <c r="U11" s="19"/>
    </row>
    <row r="12" spans="1:21" x14ac:dyDescent="0.3">
      <c r="A12" s="21" t="s">
        <v>203</v>
      </c>
      <c r="B12" s="67" t="s">
        <v>205</v>
      </c>
      <c r="C12" s="79">
        <v>19488</v>
      </c>
      <c r="D12" s="13"/>
      <c r="E12" s="30">
        <v>840</v>
      </c>
      <c r="F12" s="15"/>
      <c r="G12" s="15"/>
      <c r="H12" s="16"/>
      <c r="I12" s="16"/>
      <c r="J12" s="16"/>
      <c r="K12" s="16"/>
      <c r="L12" s="16"/>
      <c r="M12" s="134"/>
      <c r="N12" s="16"/>
      <c r="O12" s="16"/>
      <c r="P12" s="17"/>
      <c r="Q12" s="18"/>
      <c r="R12" s="18"/>
      <c r="S12" s="19"/>
      <c r="T12" s="19"/>
      <c r="U12" s="19">
        <f>E12</f>
        <v>840</v>
      </c>
    </row>
    <row r="13" spans="1:21" x14ac:dyDescent="0.3">
      <c r="A13" s="21" t="s">
        <v>206</v>
      </c>
      <c r="B13" s="67" t="s">
        <v>207</v>
      </c>
      <c r="C13" s="79">
        <v>19489</v>
      </c>
      <c r="D13" s="13"/>
      <c r="E13" s="30">
        <v>2500</v>
      </c>
      <c r="F13" s="15"/>
      <c r="G13" s="15"/>
      <c r="H13" s="16"/>
      <c r="I13" s="16"/>
      <c r="J13" s="16"/>
      <c r="K13" s="16"/>
      <c r="L13" s="16"/>
      <c r="M13" s="134"/>
      <c r="N13" s="16"/>
      <c r="O13" s="16"/>
      <c r="P13" s="17"/>
      <c r="Q13" s="18"/>
      <c r="R13" s="18">
        <f>E13</f>
        <v>2500</v>
      </c>
      <c r="S13" s="19"/>
      <c r="T13" s="19"/>
      <c r="U13" s="19"/>
    </row>
    <row r="14" spans="1:21" x14ac:dyDescent="0.3">
      <c r="A14" s="21" t="s">
        <v>208</v>
      </c>
      <c r="B14" s="67" t="s">
        <v>209</v>
      </c>
      <c r="C14" s="79">
        <v>19490</v>
      </c>
      <c r="D14" s="13"/>
      <c r="E14" s="30">
        <v>1600</v>
      </c>
      <c r="F14" s="15"/>
      <c r="G14" s="15"/>
      <c r="H14" s="16"/>
      <c r="I14" s="16"/>
      <c r="J14" s="16"/>
      <c r="K14" s="16"/>
      <c r="L14" s="16"/>
      <c r="M14" s="134"/>
      <c r="N14" s="16">
        <f>E14</f>
        <v>1600</v>
      </c>
      <c r="O14" s="16"/>
      <c r="P14" s="17"/>
      <c r="Q14" s="18"/>
      <c r="R14" s="18"/>
      <c r="S14" s="19"/>
      <c r="T14" s="19"/>
      <c r="U14" s="19"/>
    </row>
    <row r="15" spans="1:21" x14ac:dyDescent="0.3">
      <c r="A15" s="21" t="s">
        <v>208</v>
      </c>
      <c r="B15" s="90" t="s">
        <v>210</v>
      </c>
      <c r="C15" s="23">
        <v>19491</v>
      </c>
      <c r="D15" s="13"/>
      <c r="E15" s="30">
        <v>4000</v>
      </c>
      <c r="F15" s="15">
        <f>E15</f>
        <v>4000</v>
      </c>
      <c r="G15" s="15"/>
      <c r="H15" s="16"/>
      <c r="I15" s="16"/>
      <c r="J15" s="16"/>
      <c r="K15" s="16"/>
      <c r="L15" s="16"/>
      <c r="M15" s="134"/>
      <c r="N15" s="16"/>
      <c r="O15" s="16"/>
      <c r="P15" s="17"/>
      <c r="Q15" s="18"/>
      <c r="R15" s="18"/>
      <c r="S15" s="19"/>
      <c r="T15" s="19"/>
      <c r="U15" s="19"/>
    </row>
    <row r="16" spans="1:21" ht="16.2" thickBot="1" x14ac:dyDescent="0.35">
      <c r="A16" s="127"/>
      <c r="B16" s="155"/>
      <c r="C16" s="109"/>
      <c r="D16" s="156">
        <v>100000</v>
      </c>
      <c r="E16" s="160">
        <f>SUM(E7:E15)</f>
        <v>22140</v>
      </c>
      <c r="F16" s="156">
        <f t="shared" ref="F16:U16" si="0">SUM(F7:F15)</f>
        <v>4000</v>
      </c>
      <c r="G16" s="156">
        <f t="shared" si="0"/>
        <v>0</v>
      </c>
      <c r="H16" s="156">
        <f t="shared" si="0"/>
        <v>0</v>
      </c>
      <c r="I16" s="156">
        <f t="shared" si="0"/>
        <v>12000</v>
      </c>
      <c r="J16" s="156">
        <f t="shared" si="0"/>
        <v>1200</v>
      </c>
      <c r="K16" s="156">
        <f t="shared" si="0"/>
        <v>0</v>
      </c>
      <c r="L16" s="156">
        <f t="shared" si="0"/>
        <v>0</v>
      </c>
      <c r="M16" s="156">
        <f t="shared" si="0"/>
        <v>0</v>
      </c>
      <c r="N16" s="156">
        <f t="shared" si="0"/>
        <v>1600</v>
      </c>
      <c r="O16" s="156">
        <f t="shared" si="0"/>
        <v>0</v>
      </c>
      <c r="P16" s="156">
        <f t="shared" si="0"/>
        <v>0</v>
      </c>
      <c r="Q16" s="156">
        <f t="shared" si="0"/>
        <v>0</v>
      </c>
      <c r="R16" s="156">
        <f t="shared" si="0"/>
        <v>2500</v>
      </c>
      <c r="S16" s="156">
        <f t="shared" si="0"/>
        <v>0</v>
      </c>
      <c r="T16" s="156">
        <f t="shared" si="0"/>
        <v>0</v>
      </c>
      <c r="U16" s="156">
        <f t="shared" si="0"/>
        <v>840</v>
      </c>
    </row>
    <row r="17" spans="1:21" ht="16.2" thickTop="1" x14ac:dyDescent="0.3">
      <c r="A17" s="44" t="s">
        <v>43</v>
      </c>
      <c r="B17" s="35"/>
      <c r="C17" s="35"/>
      <c r="D17" s="36">
        <f>SUM(D16-E16)</f>
        <v>77860</v>
      </c>
      <c r="N17" s="201"/>
      <c r="O17" s="201"/>
      <c r="P17" s="201"/>
    </row>
    <row r="18" spans="1:21" x14ac:dyDescent="0.3">
      <c r="A18" s="44"/>
      <c r="B18" s="35"/>
      <c r="C18" s="35"/>
      <c r="D18" s="36"/>
      <c r="N18" s="39"/>
      <c r="O18" s="39"/>
      <c r="P18" s="39"/>
    </row>
    <row r="19" spans="1:21" x14ac:dyDescent="0.3">
      <c r="A19" s="44"/>
      <c r="B19" s="35"/>
      <c r="C19" s="35"/>
      <c r="D19" s="36"/>
      <c r="N19" s="39"/>
      <c r="O19" s="39"/>
      <c r="P19" s="39"/>
    </row>
    <row r="20" spans="1:21" ht="16.2" thickBot="1" x14ac:dyDescent="0.35">
      <c r="A20" s="44"/>
      <c r="B20" s="35"/>
      <c r="C20" s="35"/>
      <c r="D20" s="36"/>
      <c r="N20" s="39"/>
      <c r="O20" s="39"/>
      <c r="P20" s="39"/>
    </row>
    <row r="21" spans="1:21" ht="29.4" thickBot="1" x14ac:dyDescent="0.6">
      <c r="B21" s="40" t="s">
        <v>45</v>
      </c>
      <c r="C21" s="41"/>
      <c r="D21" s="196">
        <f>E16</f>
        <v>22140</v>
      </c>
      <c r="E21" s="197"/>
      <c r="F21" s="42"/>
      <c r="G21" s="42"/>
      <c r="H21" s="43"/>
      <c r="I21" s="43"/>
      <c r="J21" s="43"/>
      <c r="K21" s="43"/>
      <c r="L21" s="43"/>
      <c r="M21" s="158"/>
    </row>
    <row r="22" spans="1:21" x14ac:dyDescent="0.3">
      <c r="A22" s="44"/>
      <c r="B22" s="45"/>
      <c r="C22" s="45"/>
      <c r="D22" s="45"/>
      <c r="E22" s="46"/>
      <c r="F22" s="46"/>
      <c r="G22" s="46"/>
      <c r="H22" s="46"/>
      <c r="I22" s="46"/>
      <c r="J22" s="46"/>
      <c r="K22" s="46"/>
      <c r="L22" s="46"/>
      <c r="M22" s="159"/>
      <c r="N22" s="47"/>
      <c r="O22" s="5"/>
      <c r="P22" s="5"/>
    </row>
    <row r="23" spans="1:21" x14ac:dyDescent="0.3">
      <c r="A23" s="44"/>
      <c r="B23" s="45"/>
      <c r="C23" s="45"/>
      <c r="D23" s="45"/>
      <c r="E23" s="46"/>
      <c r="F23" s="46"/>
      <c r="G23" s="46"/>
      <c r="H23" s="46"/>
      <c r="I23" s="46"/>
      <c r="J23" s="46"/>
      <c r="K23" s="46"/>
      <c r="M23" s="159"/>
      <c r="N23" s="47"/>
      <c r="O23" s="5"/>
      <c r="P23" s="5"/>
    </row>
    <row r="24" spans="1:21" ht="16.2" x14ac:dyDescent="0.35">
      <c r="A24" s="48"/>
      <c r="B24" s="49"/>
      <c r="D24" s="50"/>
      <c r="E24" s="50"/>
      <c r="F24" s="50"/>
      <c r="G24" s="50"/>
      <c r="H24" s="50"/>
      <c r="J24" s="50"/>
      <c r="L24" s="51"/>
      <c r="N24" s="52"/>
      <c r="O24" s="50"/>
      <c r="Q24" s="51"/>
      <c r="S24" s="50"/>
      <c r="T24" s="50"/>
      <c r="U24" s="50"/>
    </row>
    <row r="25" spans="1:21" ht="16.2" x14ac:dyDescent="0.35">
      <c r="A25" s="48"/>
      <c r="B25" s="96" t="s">
        <v>46</v>
      </c>
      <c r="D25" s="50" t="s">
        <v>47</v>
      </c>
      <c r="E25" s="50"/>
      <c r="F25" s="50"/>
      <c r="G25" s="50"/>
      <c r="H25" s="50" t="s">
        <v>47</v>
      </c>
      <c r="I25" s="50" t="s">
        <v>47</v>
      </c>
      <c r="J25" s="50"/>
      <c r="K25" s="50"/>
      <c r="N25" s="50"/>
      <c r="P25" s="50" t="s">
        <v>48</v>
      </c>
      <c r="Q25" s="51"/>
      <c r="R25" s="52" t="s">
        <v>48</v>
      </c>
      <c r="S25" s="52"/>
      <c r="T25" s="50"/>
    </row>
    <row r="26" spans="1:21" ht="16.2" x14ac:dyDescent="0.35">
      <c r="A26" s="48"/>
      <c r="B26" s="96" t="s">
        <v>49</v>
      </c>
      <c r="D26" s="50" t="s">
        <v>50</v>
      </c>
      <c r="E26" s="50"/>
      <c r="F26" s="50"/>
      <c r="G26" s="50"/>
      <c r="H26" s="50" t="s">
        <v>51</v>
      </c>
      <c r="I26" s="50" t="s">
        <v>51</v>
      </c>
      <c r="J26" s="50"/>
      <c r="K26" s="50"/>
      <c r="N26" s="50"/>
      <c r="P26" s="50" t="s">
        <v>52</v>
      </c>
      <c r="Q26" s="51"/>
      <c r="R26" s="52" t="s">
        <v>52</v>
      </c>
      <c r="S26" s="52"/>
      <c r="T26" s="50"/>
    </row>
    <row r="27" spans="1:21" ht="16.2" x14ac:dyDescent="0.35">
      <c r="A27" s="48"/>
      <c r="B27" s="96" t="s">
        <v>172</v>
      </c>
      <c r="D27" s="50" t="s">
        <v>54</v>
      </c>
      <c r="E27" s="50"/>
      <c r="F27" s="50"/>
      <c r="G27" s="50"/>
      <c r="H27" s="50" t="s">
        <v>55</v>
      </c>
      <c r="I27" s="50" t="s">
        <v>55</v>
      </c>
      <c r="J27" s="50"/>
      <c r="K27" s="50"/>
      <c r="N27" s="50"/>
      <c r="P27" s="50" t="s">
        <v>56</v>
      </c>
      <c r="Q27" s="51"/>
      <c r="R27" s="52" t="s">
        <v>56</v>
      </c>
      <c r="S27" s="52"/>
      <c r="T27" s="50"/>
    </row>
    <row r="28" spans="1:21" ht="16.2" x14ac:dyDescent="0.35">
      <c r="A28" s="48"/>
      <c r="B28" s="96" t="s">
        <v>173</v>
      </c>
      <c r="D28" s="50" t="s">
        <v>58</v>
      </c>
      <c r="E28" s="50"/>
      <c r="F28" s="50"/>
      <c r="G28" s="50"/>
      <c r="H28" s="50" t="s">
        <v>59</v>
      </c>
      <c r="I28" s="50" t="s">
        <v>59</v>
      </c>
      <c r="J28" s="50"/>
      <c r="K28" s="50"/>
      <c r="N28" s="50"/>
      <c r="P28" s="50" t="s">
        <v>60</v>
      </c>
      <c r="Q28" s="51"/>
      <c r="R28" s="52" t="s">
        <v>60</v>
      </c>
      <c r="S28" s="52"/>
      <c r="T28" s="50"/>
    </row>
    <row r="29" spans="1:21" x14ac:dyDescent="0.3">
      <c r="A29" s="48"/>
      <c r="B29" s="48"/>
      <c r="C29" s="48"/>
      <c r="D29" s="53"/>
      <c r="E29" s="53"/>
      <c r="F29" s="53"/>
      <c r="G29" s="53"/>
      <c r="H29" s="53"/>
      <c r="I29" s="53"/>
      <c r="J29" s="53"/>
      <c r="K29" s="53"/>
      <c r="L29" s="53"/>
      <c r="N29" s="53"/>
      <c r="O29" s="53"/>
      <c r="P29" s="53"/>
      <c r="Q29" s="53"/>
      <c r="S29" s="53"/>
      <c r="T29" s="53"/>
      <c r="U29" s="53"/>
    </row>
    <row r="30" spans="1:21" x14ac:dyDescent="0.3">
      <c r="B30" s="54"/>
      <c r="C30" s="54"/>
      <c r="R30" s="53"/>
    </row>
    <row r="31" spans="1:21" x14ac:dyDescent="0.3">
      <c r="A31" s="54"/>
      <c r="B31" s="54"/>
      <c r="C31" s="54"/>
    </row>
    <row r="32" spans="1:21" x14ac:dyDescent="0.3">
      <c r="A32" s="54"/>
      <c r="B32" s="54"/>
      <c r="C32" s="54"/>
    </row>
    <row r="33" spans="1:60" x14ac:dyDescent="0.3">
      <c r="A33" s="54"/>
      <c r="B33" s="54"/>
      <c r="C33" s="54"/>
    </row>
    <row r="34" spans="1:60" x14ac:dyDescent="0.3">
      <c r="A34" s="54"/>
      <c r="B34" s="54"/>
      <c r="C34" s="54"/>
    </row>
    <row r="35" spans="1:60" x14ac:dyDescent="0.3">
      <c r="A35" s="54"/>
      <c r="B35" s="54"/>
      <c r="C35" s="54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</row>
    <row r="36" spans="1:60" x14ac:dyDescent="0.3">
      <c r="A36" s="54"/>
      <c r="B36" s="54"/>
      <c r="C36" s="54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</row>
    <row r="37" spans="1:60" x14ac:dyDescent="0.3">
      <c r="A37" s="54"/>
      <c r="B37" s="54"/>
      <c r="C37" s="54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</row>
    <row r="38" spans="1:60" x14ac:dyDescent="0.3">
      <c r="A38" s="54"/>
      <c r="B38" s="54"/>
      <c r="C38" s="54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</row>
    <row r="39" spans="1:60" x14ac:dyDescent="0.3">
      <c r="A39" s="54"/>
      <c r="B39" s="54"/>
      <c r="C39" s="54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</row>
    <row r="40" spans="1:60" x14ac:dyDescent="0.3">
      <c r="A40" s="54"/>
      <c r="B40" s="54"/>
      <c r="C40" s="54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</row>
    <row r="41" spans="1:60" x14ac:dyDescent="0.3">
      <c r="A41" s="54"/>
      <c r="B41" s="54"/>
      <c r="C41" s="54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</row>
    <row r="42" spans="1:60" x14ac:dyDescent="0.3">
      <c r="A42" s="54"/>
      <c r="B42" s="54"/>
      <c r="C42" s="54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</row>
    <row r="43" spans="1:60" x14ac:dyDescent="0.3">
      <c r="A43" s="54"/>
      <c r="B43" s="54"/>
      <c r="C43" s="54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</row>
    <row r="44" spans="1:60" s="38" customFormat="1" x14ac:dyDescent="0.3">
      <c r="A44" s="54"/>
      <c r="B44" s="54"/>
      <c r="C44" s="54"/>
      <c r="D44" s="37"/>
      <c r="M44" s="157"/>
      <c r="Q44" s="5"/>
      <c r="R44" s="5"/>
      <c r="S44" s="5"/>
      <c r="T44" s="5"/>
      <c r="U44" s="5"/>
    </row>
    <row r="45" spans="1:60" s="38" customFormat="1" x14ac:dyDescent="0.3">
      <c r="A45" s="54"/>
      <c r="B45" s="54"/>
      <c r="C45" s="54"/>
      <c r="D45" s="37"/>
      <c r="M45" s="157"/>
      <c r="Q45" s="5"/>
      <c r="R45" s="5"/>
      <c r="S45" s="5"/>
      <c r="T45" s="5"/>
      <c r="U45" s="5"/>
    </row>
    <row r="46" spans="1:60" s="38" customFormat="1" x14ac:dyDescent="0.3">
      <c r="A46" s="54"/>
      <c r="B46" s="54"/>
      <c r="C46" s="54"/>
      <c r="D46" s="37"/>
      <c r="F46" s="38" t="s">
        <v>44</v>
      </c>
      <c r="M46" s="157"/>
      <c r="Q46" s="5"/>
      <c r="R46" s="5"/>
      <c r="S46" s="5"/>
      <c r="T46" s="5"/>
      <c r="U46" s="5"/>
    </row>
    <row r="47" spans="1:60" s="38" customFormat="1" x14ac:dyDescent="0.3">
      <c r="A47" s="54"/>
      <c r="B47" s="54"/>
      <c r="C47" s="54"/>
      <c r="D47" s="37"/>
      <c r="M47" s="157"/>
      <c r="Q47" s="5"/>
      <c r="R47" s="5"/>
      <c r="S47" s="5"/>
      <c r="T47" s="5"/>
      <c r="U47" s="5"/>
    </row>
    <row r="48" spans="1:60" s="38" customFormat="1" x14ac:dyDescent="0.3">
      <c r="A48" s="54"/>
      <c r="B48" s="54"/>
      <c r="C48" s="54"/>
      <c r="D48" s="37"/>
      <c r="M48" s="157"/>
      <c r="Q48" s="5"/>
      <c r="R48" s="5"/>
      <c r="S48" s="5"/>
      <c r="T48" s="5"/>
      <c r="U48" s="5"/>
    </row>
    <row r="49" spans="1:60" s="38" customFormat="1" x14ac:dyDescent="0.3">
      <c r="A49" s="54"/>
      <c r="B49" s="54"/>
      <c r="C49" s="54"/>
      <c r="D49" s="37"/>
      <c r="M49" s="157"/>
      <c r="Q49" s="5"/>
      <c r="R49" s="5"/>
      <c r="S49" s="5"/>
      <c r="T49" s="5"/>
      <c r="U49" s="5"/>
    </row>
    <row r="50" spans="1:60" s="38" customFormat="1" x14ac:dyDescent="0.3">
      <c r="A50" s="54"/>
      <c r="B50" s="54"/>
      <c r="C50" s="54"/>
      <c r="D50" s="37"/>
      <c r="M50" s="157"/>
      <c r="Q50" s="5"/>
      <c r="R50" s="5"/>
      <c r="S50" s="5"/>
      <c r="T50" s="5"/>
      <c r="U50" s="5"/>
      <c r="V50"/>
      <c r="W50"/>
      <c r="X50"/>
      <c r="Y50"/>
      <c r="Z50"/>
      <c r="AA50"/>
      <c r="AB50"/>
      <c r="AC50"/>
      <c r="AD50"/>
      <c r="AE50"/>
      <c r="AF50"/>
      <c r="AG50"/>
    </row>
    <row r="51" spans="1:60" s="38" customFormat="1" x14ac:dyDescent="0.3">
      <c r="A51" s="54"/>
      <c r="B51" s="54"/>
      <c r="C51" s="54"/>
      <c r="D51" s="37"/>
      <c r="M51" s="157"/>
      <c r="Q51" s="5"/>
      <c r="R51" s="5"/>
      <c r="S51" s="5"/>
      <c r="T51" s="5"/>
      <c r="U51" s="5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</row>
    <row r="52" spans="1:60" s="38" customFormat="1" x14ac:dyDescent="0.3">
      <c r="A52" s="54"/>
      <c r="B52" s="54"/>
      <c r="C52" s="54"/>
      <c r="D52" s="37"/>
      <c r="M52" s="157"/>
      <c r="Q52" s="5"/>
      <c r="R52" s="5"/>
      <c r="S52" s="5"/>
      <c r="T52" s="5"/>
      <c r="U52" s="5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</row>
    <row r="53" spans="1:60" s="38" customFormat="1" x14ac:dyDescent="0.3">
      <c r="A53" s="54"/>
      <c r="B53" s="54"/>
      <c r="C53" s="54"/>
      <c r="D53" s="37"/>
      <c r="M53" s="157"/>
      <c r="Q53" s="5"/>
      <c r="R53" s="5"/>
      <c r="S53" s="5"/>
      <c r="T53" s="5"/>
      <c r="U53" s="5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</row>
    <row r="54" spans="1:60" s="38" customFormat="1" x14ac:dyDescent="0.3">
      <c r="A54" s="54"/>
      <c r="B54" s="54"/>
      <c r="C54" s="54"/>
      <c r="D54" s="37"/>
      <c r="M54" s="157"/>
      <c r="Q54" s="5"/>
      <c r="R54" s="5"/>
      <c r="S54" s="5"/>
      <c r="T54" s="5"/>
      <c r="U54" s="5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</row>
    <row r="55" spans="1:60" s="38" customFormat="1" x14ac:dyDescent="0.3">
      <c r="A55" s="54"/>
      <c r="B55" s="54"/>
      <c r="C55" s="54"/>
      <c r="D55" s="37"/>
      <c r="M55" s="157"/>
      <c r="Q55" s="5"/>
      <c r="R55" s="5"/>
      <c r="S55" s="5"/>
      <c r="T55" s="5"/>
      <c r="U55" s="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</row>
    <row r="56" spans="1:60" s="38" customFormat="1" x14ac:dyDescent="0.3">
      <c r="A56" s="54"/>
      <c r="B56" s="54"/>
      <c r="C56" s="54"/>
      <c r="D56" s="37"/>
      <c r="M56" s="157"/>
      <c r="Q56" s="5"/>
      <c r="R56" s="5"/>
      <c r="S56" s="5"/>
      <c r="T56" s="5"/>
      <c r="U56" s="5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</row>
    <row r="57" spans="1:60" s="38" customFormat="1" x14ac:dyDescent="0.3">
      <c r="A57" s="54"/>
      <c r="B57" s="54"/>
      <c r="C57" s="54"/>
      <c r="D57" s="37"/>
      <c r="M57" s="157"/>
      <c r="Q57" s="5"/>
      <c r="R57" s="5"/>
      <c r="S57" s="5"/>
      <c r="T57" s="5"/>
      <c r="U57" s="5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</row>
    <row r="58" spans="1:60" s="38" customFormat="1" x14ac:dyDescent="0.3">
      <c r="A58" s="54"/>
      <c r="B58" s="54"/>
      <c r="C58" s="54"/>
      <c r="D58" s="37"/>
      <c r="M58" s="157"/>
      <c r="Q58" s="5"/>
      <c r="R58" s="5"/>
      <c r="S58" s="5"/>
      <c r="T58" s="5"/>
      <c r="U58" s="5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</row>
  </sheetData>
  <mergeCells count="8">
    <mergeCell ref="N17:P17"/>
    <mergeCell ref="D21:E21"/>
    <mergeCell ref="H3:P3"/>
    <mergeCell ref="A4:A5"/>
    <mergeCell ref="B4:B5"/>
    <mergeCell ref="C4:C5"/>
    <mergeCell ref="D4:D5"/>
    <mergeCell ref="E4:U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B8FF-8BEE-4A70-B15F-66FE21A6174F}">
  <dimension ref="A1:BH65"/>
  <sheetViews>
    <sheetView workbookViewId="0">
      <selection activeCell="B16" sqref="B16"/>
    </sheetView>
  </sheetViews>
  <sheetFormatPr defaultRowHeight="15.6" x14ac:dyDescent="0.3"/>
  <cols>
    <col min="1" max="1" width="12.88671875" style="37" customWidth="1"/>
    <col min="2" max="2" width="45.88671875" style="37" customWidth="1"/>
    <col min="3" max="3" width="10.6640625" style="37" bestFit="1" customWidth="1"/>
    <col min="4" max="4" width="12.6640625" style="37" customWidth="1"/>
    <col min="5" max="6" width="10.5546875" style="38" bestFit="1" customWidth="1"/>
    <col min="7" max="7" width="11" style="38" customWidth="1"/>
    <col min="8" max="8" width="13.33203125" style="38" hidden="1" customWidth="1"/>
    <col min="9" max="9" width="14.88671875" style="38" hidden="1" customWidth="1"/>
    <col min="10" max="10" width="10.5546875" style="38" customWidth="1"/>
    <col min="11" max="11" width="9.5546875" style="38" bestFit="1" customWidth="1"/>
    <col min="12" max="12" width="12.5546875" style="38" hidden="1" customWidth="1"/>
    <col min="13" max="13" width="10.109375" style="157" bestFit="1" customWidth="1"/>
    <col min="14" max="14" width="9.44140625" style="38" bestFit="1" customWidth="1"/>
    <col min="15" max="15" width="9.109375" style="38" hidden="1" customWidth="1"/>
    <col min="16" max="16" width="9.6640625" style="38" hidden="1" customWidth="1"/>
    <col min="17" max="17" width="10.88671875" style="5" hidden="1" customWidth="1"/>
    <col min="18" max="19" width="14.109375" style="5" customWidth="1"/>
    <col min="20" max="20" width="8.5546875" style="5" hidden="1" customWidth="1"/>
    <col min="21" max="21" width="9.5546875" style="5" bestFit="1" customWidth="1"/>
  </cols>
  <sheetData>
    <row r="1" spans="1:21" ht="29.4" x14ac:dyDescent="0.45">
      <c r="A1" s="1" t="s">
        <v>0</v>
      </c>
      <c r="B1" s="2"/>
      <c r="C1" s="2"/>
      <c r="D1" s="3"/>
      <c r="E1" s="3"/>
      <c r="F1" s="3"/>
      <c r="G1" s="3"/>
      <c r="H1" s="3"/>
      <c r="I1" s="3" t="s">
        <v>1</v>
      </c>
      <c r="K1" s="4"/>
      <c r="L1" s="4"/>
      <c r="M1" s="131"/>
      <c r="N1" s="4"/>
      <c r="O1" s="4"/>
      <c r="P1" s="4"/>
    </row>
    <row r="2" spans="1:21" ht="29.4" x14ac:dyDescent="0.45">
      <c r="A2" s="1" t="s">
        <v>2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132"/>
      <c r="N2" s="7"/>
      <c r="O2" s="7"/>
      <c r="P2" s="7"/>
    </row>
    <row r="3" spans="1:21" ht="20.399999999999999" x14ac:dyDescent="0.3">
      <c r="A3" s="6"/>
      <c r="B3" s="6"/>
      <c r="C3" s="6"/>
      <c r="D3" s="7"/>
      <c r="E3" s="7"/>
      <c r="F3" s="7"/>
      <c r="G3" s="7"/>
      <c r="H3" s="198"/>
      <c r="I3" s="198" t="s">
        <v>62</v>
      </c>
      <c r="J3" s="198"/>
      <c r="K3" s="198"/>
      <c r="L3" s="198"/>
      <c r="M3" s="198"/>
      <c r="N3" s="198"/>
      <c r="O3" s="198"/>
      <c r="P3" s="198"/>
    </row>
    <row r="4" spans="1:21" ht="15" customHeight="1" x14ac:dyDescent="0.3">
      <c r="A4" s="199" t="s">
        <v>4</v>
      </c>
      <c r="B4" s="202" t="s">
        <v>5</v>
      </c>
      <c r="C4" s="200" t="s">
        <v>6</v>
      </c>
      <c r="D4" s="200" t="s">
        <v>7</v>
      </c>
      <c r="E4" s="200" t="s">
        <v>149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</row>
    <row r="5" spans="1:21" ht="48.75" customHeight="1" x14ac:dyDescent="0.3">
      <c r="A5" s="199"/>
      <c r="B5" s="202"/>
      <c r="C5" s="200"/>
      <c r="D5" s="200"/>
      <c r="E5" s="9" t="s">
        <v>8</v>
      </c>
      <c r="F5" s="133" t="s">
        <v>10</v>
      </c>
      <c r="G5" s="9" t="s">
        <v>9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133" t="s">
        <v>16</v>
      </c>
      <c r="N5" s="9" t="s">
        <v>86</v>
      </c>
      <c r="O5" s="9" t="s">
        <v>143</v>
      </c>
      <c r="P5" s="9" t="s">
        <v>19</v>
      </c>
      <c r="Q5" s="9" t="s">
        <v>12</v>
      </c>
      <c r="R5" s="9" t="s">
        <v>129</v>
      </c>
      <c r="S5" s="9" t="s">
        <v>182</v>
      </c>
      <c r="T5" s="9" t="s">
        <v>65</v>
      </c>
      <c r="U5" s="9" t="s">
        <v>63</v>
      </c>
    </row>
    <row r="6" spans="1:21" x14ac:dyDescent="0.3">
      <c r="A6" s="21"/>
      <c r="B6" s="67"/>
      <c r="C6" s="79"/>
      <c r="D6" s="13"/>
      <c r="E6" s="29"/>
      <c r="F6" s="15"/>
      <c r="G6" s="15"/>
      <c r="H6" s="16"/>
      <c r="I6" s="16"/>
      <c r="J6" s="16"/>
      <c r="K6" s="16"/>
      <c r="L6" s="16"/>
      <c r="M6" s="134"/>
      <c r="N6" s="16"/>
      <c r="O6" s="16"/>
      <c r="P6" s="17"/>
      <c r="Q6" s="18"/>
      <c r="R6" s="18"/>
      <c r="S6" s="19"/>
      <c r="T6" s="19"/>
      <c r="U6" s="19"/>
    </row>
    <row r="7" spans="1:21" x14ac:dyDescent="0.3">
      <c r="A7" s="21" t="s">
        <v>183</v>
      </c>
      <c r="B7" s="67" t="s">
        <v>184</v>
      </c>
      <c r="C7" s="79">
        <v>19467</v>
      </c>
      <c r="D7" s="13"/>
      <c r="E7" s="30">
        <v>1100</v>
      </c>
      <c r="F7" s="15"/>
      <c r="G7" s="15"/>
      <c r="H7" s="16"/>
      <c r="I7" s="16"/>
      <c r="J7" s="16"/>
      <c r="K7" s="16"/>
      <c r="L7" s="16"/>
      <c r="M7" s="134"/>
      <c r="N7" s="16"/>
      <c r="O7" s="16"/>
      <c r="P7" s="17"/>
      <c r="Q7" s="18"/>
      <c r="R7" s="29">
        <f>E7</f>
        <v>1100</v>
      </c>
      <c r="S7" s="19"/>
      <c r="T7" s="19"/>
      <c r="U7" s="19"/>
    </row>
    <row r="8" spans="1:21" x14ac:dyDescent="0.3">
      <c r="A8" s="21" t="s">
        <v>185</v>
      </c>
      <c r="B8" s="90" t="s">
        <v>186</v>
      </c>
      <c r="C8" s="79">
        <v>19468</v>
      </c>
      <c r="D8" s="13"/>
      <c r="E8" s="30">
        <v>720</v>
      </c>
      <c r="F8" s="15"/>
      <c r="G8" s="15"/>
      <c r="H8" s="16"/>
      <c r="I8" s="16"/>
      <c r="J8" s="16">
        <f>E8</f>
        <v>720</v>
      </c>
      <c r="K8" s="16"/>
      <c r="L8" s="16"/>
      <c r="M8" s="134"/>
      <c r="N8" s="16"/>
      <c r="O8" s="16"/>
      <c r="P8" s="17"/>
      <c r="Q8" s="18"/>
      <c r="R8" s="18"/>
      <c r="S8" s="19"/>
      <c r="T8" s="19"/>
      <c r="U8" s="19"/>
    </row>
    <row r="9" spans="1:21" x14ac:dyDescent="0.3">
      <c r="A9" s="21" t="s">
        <v>185</v>
      </c>
      <c r="B9" s="67" t="s">
        <v>187</v>
      </c>
      <c r="C9" s="79">
        <v>19469</v>
      </c>
      <c r="D9" s="13"/>
      <c r="E9" s="30">
        <v>1500</v>
      </c>
      <c r="F9" s="15"/>
      <c r="G9" s="15"/>
      <c r="H9" s="16"/>
      <c r="I9" s="16"/>
      <c r="J9" s="16"/>
      <c r="K9" s="16">
        <f>E9</f>
        <v>1500</v>
      </c>
      <c r="L9" s="16"/>
      <c r="M9" s="134"/>
      <c r="N9" s="16"/>
      <c r="O9" s="16"/>
      <c r="P9" s="17"/>
      <c r="Q9" s="18"/>
      <c r="R9" s="18"/>
      <c r="S9" s="19"/>
      <c r="T9" s="19"/>
      <c r="U9" s="19"/>
    </row>
    <row r="10" spans="1:21" x14ac:dyDescent="0.3">
      <c r="A10" s="21" t="s">
        <v>188</v>
      </c>
      <c r="B10" s="90" t="s">
        <v>186</v>
      </c>
      <c r="C10" s="79">
        <v>19470</v>
      </c>
      <c r="D10" s="13"/>
      <c r="E10" s="30">
        <v>2400</v>
      </c>
      <c r="F10" s="15"/>
      <c r="G10" s="15"/>
      <c r="H10" s="16"/>
      <c r="I10" s="16"/>
      <c r="J10" s="16">
        <f>E10</f>
        <v>2400</v>
      </c>
      <c r="K10" s="16"/>
      <c r="L10" s="16"/>
      <c r="M10" s="134"/>
      <c r="N10" s="16"/>
      <c r="O10" s="16"/>
      <c r="P10" s="17"/>
      <c r="Q10" s="18"/>
      <c r="R10" s="18"/>
      <c r="S10" s="19"/>
      <c r="T10" s="19"/>
      <c r="U10" s="19"/>
    </row>
    <row r="11" spans="1:21" x14ac:dyDescent="0.3">
      <c r="A11" s="21" t="s">
        <v>188</v>
      </c>
      <c r="B11" s="67" t="s">
        <v>189</v>
      </c>
      <c r="C11" s="79">
        <v>19471</v>
      </c>
      <c r="D11" s="13"/>
      <c r="E11" s="30">
        <v>400</v>
      </c>
      <c r="F11" s="15"/>
      <c r="G11" s="15"/>
      <c r="H11" s="16"/>
      <c r="I11" s="16"/>
      <c r="J11" s="16"/>
      <c r="K11" s="16"/>
      <c r="L11" s="16"/>
      <c r="M11" s="134"/>
      <c r="N11" s="16"/>
      <c r="O11" s="16"/>
      <c r="P11" s="17"/>
      <c r="Q11" s="18"/>
      <c r="R11" s="18"/>
      <c r="S11" s="19">
        <f>E11</f>
        <v>400</v>
      </c>
      <c r="T11" s="19"/>
      <c r="U11" s="19"/>
    </row>
    <row r="12" spans="1:21" x14ac:dyDescent="0.3">
      <c r="A12" s="21" t="s">
        <v>188</v>
      </c>
      <c r="B12" s="67" t="s">
        <v>190</v>
      </c>
      <c r="C12" s="79">
        <v>19472</v>
      </c>
      <c r="D12" s="13"/>
      <c r="E12" s="30">
        <v>2000</v>
      </c>
      <c r="F12" s="15"/>
      <c r="G12" s="15"/>
      <c r="H12" s="16"/>
      <c r="I12" s="16"/>
      <c r="J12" s="16"/>
      <c r="K12" s="16"/>
      <c r="L12" s="16"/>
      <c r="M12" s="134"/>
      <c r="N12" s="16"/>
      <c r="O12" s="16"/>
      <c r="P12" s="17"/>
      <c r="Q12" s="18"/>
      <c r="R12" s="18">
        <f>E12</f>
        <v>2000</v>
      </c>
      <c r="S12" s="19"/>
      <c r="T12" s="19"/>
      <c r="U12" s="19"/>
    </row>
    <row r="13" spans="1:21" x14ac:dyDescent="0.3">
      <c r="A13" s="21" t="s">
        <v>191</v>
      </c>
      <c r="B13" s="67" t="s">
        <v>192</v>
      </c>
      <c r="C13" s="79">
        <v>19473</v>
      </c>
      <c r="D13" s="13"/>
      <c r="E13" s="30">
        <v>200</v>
      </c>
      <c r="F13" s="15"/>
      <c r="G13" s="15"/>
      <c r="H13" s="16"/>
      <c r="I13" s="16"/>
      <c r="J13" s="16"/>
      <c r="K13" s="16"/>
      <c r="L13" s="16"/>
      <c r="M13" s="134"/>
      <c r="N13" s="16"/>
      <c r="O13" s="16"/>
      <c r="P13" s="17"/>
      <c r="Q13" s="18"/>
      <c r="R13" s="18"/>
      <c r="S13" s="19">
        <f>E13</f>
        <v>200</v>
      </c>
      <c r="T13" s="19"/>
      <c r="U13" s="19"/>
    </row>
    <row r="14" spans="1:21" x14ac:dyDescent="0.3">
      <c r="A14" s="21" t="s">
        <v>193</v>
      </c>
      <c r="B14" s="67" t="s">
        <v>194</v>
      </c>
      <c r="C14" s="79">
        <v>19474</v>
      </c>
      <c r="D14" s="13"/>
      <c r="E14" s="30">
        <v>250</v>
      </c>
      <c r="F14" s="15"/>
      <c r="G14" s="15"/>
      <c r="H14" s="16"/>
      <c r="I14" s="16"/>
      <c r="J14" s="16"/>
      <c r="K14" s="16"/>
      <c r="L14" s="16"/>
      <c r="M14" s="134">
        <f>E14</f>
        <v>250</v>
      </c>
      <c r="N14" s="16"/>
      <c r="O14" s="16"/>
      <c r="P14" s="17"/>
      <c r="Q14" s="18"/>
      <c r="R14" s="18"/>
      <c r="S14" s="19"/>
      <c r="T14" s="19"/>
      <c r="U14" s="19"/>
    </row>
    <row r="15" spans="1:21" x14ac:dyDescent="0.3">
      <c r="A15" s="21" t="s">
        <v>193</v>
      </c>
      <c r="B15" s="90" t="s">
        <v>195</v>
      </c>
      <c r="C15" s="23">
        <v>19475</v>
      </c>
      <c r="D15" s="13"/>
      <c r="E15" s="30">
        <v>7760</v>
      </c>
      <c r="F15" s="15"/>
      <c r="G15" s="15">
        <f>E15</f>
        <v>7760</v>
      </c>
      <c r="H15" s="16"/>
      <c r="I15" s="16"/>
      <c r="J15" s="16"/>
      <c r="K15" s="16"/>
      <c r="L15" s="16"/>
      <c r="M15" s="134"/>
      <c r="N15" s="16"/>
      <c r="O15" s="16"/>
      <c r="P15" s="17"/>
      <c r="Q15" s="18"/>
      <c r="R15" s="18"/>
      <c r="S15" s="19"/>
      <c r="T15" s="19"/>
      <c r="U15" s="19"/>
    </row>
    <row r="16" spans="1:21" x14ac:dyDescent="0.3">
      <c r="A16" s="21" t="s">
        <v>196</v>
      </c>
      <c r="B16" s="90" t="s">
        <v>186</v>
      </c>
      <c r="C16" s="23">
        <v>19476</v>
      </c>
      <c r="D16" s="13"/>
      <c r="E16" s="30">
        <v>1200</v>
      </c>
      <c r="F16" s="15"/>
      <c r="G16" s="15"/>
      <c r="H16" s="16"/>
      <c r="I16" s="16"/>
      <c r="J16" s="16">
        <f>E16</f>
        <v>1200</v>
      </c>
      <c r="K16" s="16"/>
      <c r="L16" s="16"/>
      <c r="M16" s="134"/>
      <c r="N16" s="16"/>
      <c r="O16" s="16"/>
      <c r="P16" s="17"/>
      <c r="Q16" s="18"/>
      <c r="R16" s="18"/>
      <c r="S16" s="19"/>
      <c r="T16" s="19"/>
      <c r="U16" s="19"/>
    </row>
    <row r="17" spans="1:60" x14ac:dyDescent="0.3">
      <c r="A17" s="102" t="s">
        <v>196</v>
      </c>
      <c r="B17" s="135" t="s">
        <v>190</v>
      </c>
      <c r="C17" s="104">
        <v>19477</v>
      </c>
      <c r="D17" s="136"/>
      <c r="E17" s="137">
        <v>2000</v>
      </c>
      <c r="F17" s="138"/>
      <c r="G17" s="138"/>
      <c r="H17" s="139"/>
      <c r="I17" s="139"/>
      <c r="J17" s="139"/>
      <c r="K17" s="139"/>
      <c r="L17" s="139"/>
      <c r="M17" s="140"/>
      <c r="N17" s="139"/>
      <c r="O17" s="139"/>
      <c r="P17" s="141"/>
      <c r="Q17" s="142"/>
      <c r="R17" s="142">
        <f>E17</f>
        <v>2000</v>
      </c>
      <c r="S17" s="143"/>
      <c r="T17" s="143"/>
      <c r="U17" s="143"/>
    </row>
    <row r="18" spans="1:60" s="150" customFormat="1" x14ac:dyDescent="0.3">
      <c r="A18" s="102" t="s">
        <v>196</v>
      </c>
      <c r="B18" s="144" t="s">
        <v>186</v>
      </c>
      <c r="C18" s="104">
        <v>19478</v>
      </c>
      <c r="D18" s="105"/>
      <c r="E18" s="145">
        <v>1200</v>
      </c>
      <c r="F18" s="146"/>
      <c r="G18" s="146"/>
      <c r="H18" s="147"/>
      <c r="I18" s="147"/>
      <c r="J18" s="147">
        <f>E18</f>
        <v>1200</v>
      </c>
      <c r="K18" s="147"/>
      <c r="L18" s="147"/>
      <c r="M18" s="148"/>
      <c r="N18" s="147"/>
      <c r="O18" s="147"/>
      <c r="P18" s="149"/>
      <c r="Q18" s="142"/>
      <c r="R18" s="142"/>
      <c r="S18" s="142"/>
      <c r="T18" s="142"/>
      <c r="U18" s="142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</row>
    <row r="19" spans="1:60" s="107" customFormat="1" x14ac:dyDescent="0.3">
      <c r="A19" s="102" t="s">
        <v>196</v>
      </c>
      <c r="B19" s="90" t="s">
        <v>197</v>
      </c>
      <c r="C19" s="23">
        <v>19479</v>
      </c>
      <c r="D19" s="13"/>
      <c r="E19" s="29">
        <v>4700</v>
      </c>
      <c r="F19" s="56">
        <f>E19</f>
        <v>4700</v>
      </c>
      <c r="G19" s="56"/>
      <c r="H19" s="99"/>
      <c r="I19" s="99"/>
      <c r="J19" s="99"/>
      <c r="K19" s="99"/>
      <c r="L19" s="99"/>
      <c r="M19" s="151"/>
      <c r="N19" s="99"/>
      <c r="O19" s="99"/>
      <c r="P19" s="152"/>
      <c r="Q19" s="18"/>
      <c r="R19" s="18"/>
      <c r="S19" s="18"/>
      <c r="T19" s="18"/>
      <c r="U19" s="18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</row>
    <row r="20" spans="1:60" s="107" customFormat="1" x14ac:dyDescent="0.3">
      <c r="A20" s="102" t="s">
        <v>196</v>
      </c>
      <c r="B20" s="90" t="s">
        <v>198</v>
      </c>
      <c r="C20" s="23">
        <v>19480</v>
      </c>
      <c r="D20" s="13"/>
      <c r="E20" s="29">
        <v>1600</v>
      </c>
      <c r="F20" s="56">
        <f>E20</f>
        <v>1600</v>
      </c>
      <c r="G20" s="56"/>
      <c r="H20" s="99"/>
      <c r="I20" s="99"/>
      <c r="J20" s="99"/>
      <c r="K20" s="99"/>
      <c r="L20" s="99"/>
      <c r="M20" s="151"/>
      <c r="N20" s="99"/>
      <c r="O20" s="99"/>
      <c r="P20" s="152"/>
      <c r="Q20" s="18"/>
      <c r="R20" s="18"/>
      <c r="S20" s="18"/>
      <c r="T20" s="18"/>
      <c r="U20" s="18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</row>
    <row r="21" spans="1:60" s="107" customFormat="1" x14ac:dyDescent="0.3">
      <c r="A21" s="102" t="s">
        <v>196</v>
      </c>
      <c r="B21" s="90" t="s">
        <v>199</v>
      </c>
      <c r="C21" s="23">
        <v>19481</v>
      </c>
      <c r="D21" s="13"/>
      <c r="E21" s="29">
        <v>500</v>
      </c>
      <c r="F21" s="56"/>
      <c r="G21" s="56"/>
      <c r="H21" s="99"/>
      <c r="I21" s="99"/>
      <c r="J21" s="99"/>
      <c r="K21" s="99"/>
      <c r="L21" s="99"/>
      <c r="M21" s="151"/>
      <c r="N21" s="99"/>
      <c r="O21" s="99"/>
      <c r="P21" s="152"/>
      <c r="Q21" s="18"/>
      <c r="R21" s="18"/>
      <c r="S21" s="18"/>
      <c r="T21" s="18"/>
      <c r="U21" s="18">
        <f>E21</f>
        <v>500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  <row r="22" spans="1:60" s="107" customFormat="1" x14ac:dyDescent="0.3">
      <c r="A22" s="21" t="s">
        <v>196</v>
      </c>
      <c r="B22" s="67" t="s">
        <v>200</v>
      </c>
      <c r="C22" s="23">
        <v>19482</v>
      </c>
      <c r="D22" s="153"/>
      <c r="E22" s="18">
        <v>100</v>
      </c>
      <c r="F22" s="29"/>
      <c r="G22" s="29"/>
      <c r="H22" s="29"/>
      <c r="I22" s="29"/>
      <c r="J22" s="29"/>
      <c r="K22" s="29"/>
      <c r="L22" s="29"/>
      <c r="M22" s="154"/>
      <c r="N22" s="29">
        <f>E22</f>
        <v>100</v>
      </c>
      <c r="O22" s="29"/>
      <c r="P22" s="29"/>
      <c r="Q22" s="29"/>
      <c r="R22" s="29"/>
      <c r="S22" s="29"/>
      <c r="T22" s="29"/>
      <c r="U22" s="29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</row>
    <row r="23" spans="1:60" ht="16.2" thickBot="1" x14ac:dyDescent="0.35">
      <c r="A23" s="127"/>
      <c r="B23" s="155"/>
      <c r="C23" s="109"/>
      <c r="D23" s="156">
        <v>100000</v>
      </c>
      <c r="E23" s="156">
        <f>SUM(E7:E22)</f>
        <v>27630</v>
      </c>
      <c r="F23" s="156">
        <f t="shared" ref="F23:U23" si="0">SUM(F7:F22)</f>
        <v>6300</v>
      </c>
      <c r="G23" s="156">
        <f t="shared" si="0"/>
        <v>7760</v>
      </c>
      <c r="H23" s="156">
        <f t="shared" si="0"/>
        <v>0</v>
      </c>
      <c r="I23" s="156">
        <f t="shared" si="0"/>
        <v>0</v>
      </c>
      <c r="J23" s="156">
        <f t="shared" si="0"/>
        <v>5520</v>
      </c>
      <c r="K23" s="156">
        <f t="shared" si="0"/>
        <v>1500</v>
      </c>
      <c r="L23" s="156">
        <f t="shared" si="0"/>
        <v>0</v>
      </c>
      <c r="M23" s="156">
        <f t="shared" si="0"/>
        <v>250</v>
      </c>
      <c r="N23" s="156">
        <f t="shared" si="0"/>
        <v>100</v>
      </c>
      <c r="O23" s="156">
        <f t="shared" si="0"/>
        <v>0</v>
      </c>
      <c r="P23" s="156">
        <f t="shared" si="0"/>
        <v>0</v>
      </c>
      <c r="Q23" s="156">
        <f t="shared" si="0"/>
        <v>0</v>
      </c>
      <c r="R23" s="156">
        <f t="shared" si="0"/>
        <v>5100</v>
      </c>
      <c r="S23" s="156">
        <f t="shared" si="0"/>
        <v>600</v>
      </c>
      <c r="T23" s="156">
        <f t="shared" si="0"/>
        <v>0</v>
      </c>
      <c r="U23" s="156">
        <f t="shared" si="0"/>
        <v>500</v>
      </c>
    </row>
    <row r="24" spans="1:60" ht="16.2" thickTop="1" x14ac:dyDescent="0.3">
      <c r="A24" s="44" t="s">
        <v>43</v>
      </c>
      <c r="B24" s="35"/>
      <c r="C24" s="35"/>
      <c r="D24" s="36">
        <f>SUM(D23-E23)</f>
        <v>72370</v>
      </c>
      <c r="N24" s="201"/>
      <c r="O24" s="201"/>
      <c r="P24" s="201"/>
    </row>
    <row r="25" spans="1:60" x14ac:dyDescent="0.3">
      <c r="A25" s="44"/>
      <c r="B25" s="35"/>
      <c r="C25" s="35"/>
      <c r="D25" s="36"/>
      <c r="N25" s="39"/>
      <c r="O25" s="39"/>
      <c r="P25" s="39"/>
    </row>
    <row r="26" spans="1:60" x14ac:dyDescent="0.3">
      <c r="A26" s="44"/>
      <c r="B26" s="35"/>
      <c r="C26" s="35"/>
      <c r="D26" s="36"/>
      <c r="N26" s="39"/>
      <c r="O26" s="39"/>
      <c r="P26" s="39"/>
    </row>
    <row r="27" spans="1:60" ht="16.2" thickBot="1" x14ac:dyDescent="0.35">
      <c r="A27" s="44"/>
      <c r="B27" s="35"/>
      <c r="C27" s="35"/>
      <c r="D27" s="36"/>
      <c r="N27" s="39"/>
      <c r="O27" s="39"/>
      <c r="P27" s="39"/>
    </row>
    <row r="28" spans="1:60" ht="29.4" thickBot="1" x14ac:dyDescent="0.6">
      <c r="B28" s="40" t="s">
        <v>45</v>
      </c>
      <c r="C28" s="41"/>
      <c r="D28" s="196">
        <f>E23</f>
        <v>27630</v>
      </c>
      <c r="E28" s="197"/>
      <c r="F28" s="42"/>
      <c r="G28" s="42"/>
      <c r="H28" s="43"/>
      <c r="I28" s="43"/>
      <c r="J28" s="43"/>
      <c r="K28" s="43"/>
      <c r="L28" s="43"/>
      <c r="M28" s="158"/>
    </row>
    <row r="29" spans="1:60" x14ac:dyDescent="0.3">
      <c r="A29" s="44"/>
      <c r="B29" s="45"/>
      <c r="C29" s="45"/>
      <c r="D29" s="45"/>
      <c r="E29" s="46"/>
      <c r="F29" s="46"/>
      <c r="G29" s="46"/>
      <c r="H29" s="46"/>
      <c r="I29" s="46"/>
      <c r="J29" s="46"/>
      <c r="K29" s="46"/>
      <c r="L29" s="46"/>
      <c r="M29" s="159"/>
      <c r="N29" s="47"/>
      <c r="O29" s="5"/>
      <c r="P29" s="5"/>
    </row>
    <row r="30" spans="1:60" x14ac:dyDescent="0.3">
      <c r="A30" s="44"/>
      <c r="B30" s="45"/>
      <c r="C30" s="45"/>
      <c r="D30" s="45"/>
      <c r="E30" s="46"/>
      <c r="F30" s="46"/>
      <c r="G30" s="46"/>
      <c r="H30" s="46"/>
      <c r="I30" s="46"/>
      <c r="J30" s="46"/>
      <c r="K30" s="46"/>
      <c r="M30" s="159"/>
      <c r="N30" s="47"/>
      <c r="O30" s="5"/>
      <c r="P30" s="5"/>
    </row>
    <row r="31" spans="1:60" ht="16.2" x14ac:dyDescent="0.35">
      <c r="A31" s="48"/>
      <c r="B31" s="49"/>
      <c r="D31" s="50"/>
      <c r="E31" s="50"/>
      <c r="F31" s="50"/>
      <c r="G31" s="50"/>
      <c r="H31" s="50"/>
      <c r="J31" s="50"/>
      <c r="L31" s="51"/>
      <c r="N31" s="52"/>
      <c r="O31" s="50"/>
      <c r="Q31" s="51"/>
      <c r="S31" s="50"/>
      <c r="T31" s="50"/>
      <c r="U31" s="50"/>
    </row>
    <row r="32" spans="1:60" ht="16.2" x14ac:dyDescent="0.35">
      <c r="A32" s="48"/>
      <c r="B32" s="96" t="s">
        <v>46</v>
      </c>
      <c r="D32" s="50" t="s">
        <v>47</v>
      </c>
      <c r="E32" s="50"/>
      <c r="F32" s="50"/>
      <c r="G32" s="50"/>
      <c r="H32" s="50" t="s">
        <v>47</v>
      </c>
      <c r="I32" s="50" t="s">
        <v>47</v>
      </c>
      <c r="J32" s="50" t="s">
        <v>47</v>
      </c>
      <c r="K32" s="50"/>
      <c r="N32" s="50"/>
      <c r="P32" s="50" t="s">
        <v>48</v>
      </c>
      <c r="Q32" s="51"/>
      <c r="R32" s="52" t="s">
        <v>48</v>
      </c>
      <c r="S32" s="52"/>
      <c r="T32" s="50"/>
    </row>
    <row r="33" spans="1:60" ht="16.2" x14ac:dyDescent="0.35">
      <c r="A33" s="48"/>
      <c r="B33" s="96" t="s">
        <v>49</v>
      </c>
      <c r="D33" s="50" t="s">
        <v>50</v>
      </c>
      <c r="E33" s="50"/>
      <c r="F33" s="50"/>
      <c r="G33" s="50"/>
      <c r="H33" s="50" t="s">
        <v>51</v>
      </c>
      <c r="I33" s="50" t="s">
        <v>51</v>
      </c>
      <c r="J33" s="50" t="s">
        <v>51</v>
      </c>
      <c r="K33" s="50"/>
      <c r="N33" s="50"/>
      <c r="P33" s="50" t="s">
        <v>52</v>
      </c>
      <c r="Q33" s="51"/>
      <c r="R33" s="52" t="s">
        <v>52</v>
      </c>
      <c r="S33" s="52"/>
      <c r="T33" s="50"/>
    </row>
    <row r="34" spans="1:60" ht="16.2" x14ac:dyDescent="0.35">
      <c r="A34" s="48"/>
      <c r="B34" s="96" t="s">
        <v>172</v>
      </c>
      <c r="D34" s="50" t="s">
        <v>54</v>
      </c>
      <c r="E34" s="50"/>
      <c r="F34" s="50"/>
      <c r="G34" s="50"/>
      <c r="H34" s="50" t="s">
        <v>55</v>
      </c>
      <c r="I34" s="50" t="s">
        <v>55</v>
      </c>
      <c r="J34" s="50" t="s">
        <v>55</v>
      </c>
      <c r="K34" s="50"/>
      <c r="N34" s="50"/>
      <c r="P34" s="50" t="s">
        <v>56</v>
      </c>
      <c r="Q34" s="51"/>
      <c r="R34" s="52" t="s">
        <v>56</v>
      </c>
      <c r="S34" s="52"/>
      <c r="T34" s="50"/>
    </row>
    <row r="35" spans="1:60" ht="16.2" x14ac:dyDescent="0.35">
      <c r="A35" s="48"/>
      <c r="B35" s="96" t="s">
        <v>173</v>
      </c>
      <c r="D35" s="50" t="s">
        <v>58</v>
      </c>
      <c r="E35" s="50"/>
      <c r="F35" s="50"/>
      <c r="G35" s="50"/>
      <c r="H35" s="50" t="s">
        <v>59</v>
      </c>
      <c r="I35" s="50" t="s">
        <v>59</v>
      </c>
      <c r="J35" s="50" t="s">
        <v>59</v>
      </c>
      <c r="K35" s="50"/>
      <c r="N35" s="50"/>
      <c r="P35" s="50" t="s">
        <v>60</v>
      </c>
      <c r="Q35" s="51"/>
      <c r="R35" s="52" t="s">
        <v>60</v>
      </c>
      <c r="S35" s="52"/>
      <c r="T35" s="50"/>
    </row>
    <row r="36" spans="1:60" x14ac:dyDescent="0.3">
      <c r="A36" s="48"/>
      <c r="B36" s="48"/>
      <c r="C36" s="48"/>
      <c r="D36" s="53"/>
      <c r="E36" s="53"/>
      <c r="F36" s="53"/>
      <c r="G36" s="53"/>
      <c r="H36" s="53"/>
      <c r="I36" s="53"/>
      <c r="J36" s="53"/>
      <c r="K36" s="53"/>
      <c r="L36" s="53"/>
      <c r="N36" s="53"/>
      <c r="O36" s="53"/>
      <c r="P36" s="53"/>
      <c r="Q36" s="53"/>
      <c r="S36" s="53"/>
      <c r="T36" s="53"/>
      <c r="U36" s="53"/>
    </row>
    <row r="37" spans="1:60" x14ac:dyDescent="0.3">
      <c r="B37" s="54"/>
      <c r="C37" s="54"/>
      <c r="R37" s="53"/>
    </row>
    <row r="38" spans="1:60" x14ac:dyDescent="0.3">
      <c r="A38" s="54"/>
      <c r="B38" s="54"/>
      <c r="C38" s="54"/>
    </row>
    <row r="39" spans="1:60" x14ac:dyDescent="0.3">
      <c r="A39" s="54"/>
      <c r="B39" s="54"/>
      <c r="C39" s="54"/>
    </row>
    <row r="40" spans="1:60" x14ac:dyDescent="0.3">
      <c r="A40" s="54"/>
      <c r="B40" s="54"/>
      <c r="C40" s="54"/>
    </row>
    <row r="41" spans="1:60" x14ac:dyDescent="0.3">
      <c r="A41" s="54"/>
      <c r="B41" s="54"/>
      <c r="C41" s="54"/>
    </row>
    <row r="42" spans="1:60" x14ac:dyDescent="0.3">
      <c r="A42" s="54"/>
      <c r="B42" s="54"/>
      <c r="C42" s="54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</row>
    <row r="43" spans="1:60" x14ac:dyDescent="0.3">
      <c r="A43" s="54"/>
      <c r="B43" s="54"/>
      <c r="C43" s="54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</row>
    <row r="44" spans="1:60" x14ac:dyDescent="0.3">
      <c r="A44" s="54"/>
      <c r="B44" s="54"/>
      <c r="C44" s="54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</row>
    <row r="45" spans="1:60" x14ac:dyDescent="0.3">
      <c r="A45" s="54"/>
      <c r="B45" s="54"/>
      <c r="C45" s="54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</row>
    <row r="46" spans="1:60" x14ac:dyDescent="0.3">
      <c r="A46" s="54"/>
      <c r="B46" s="54"/>
      <c r="C46" s="54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</row>
    <row r="47" spans="1:60" x14ac:dyDescent="0.3">
      <c r="A47" s="54"/>
      <c r="B47" s="54"/>
      <c r="C47" s="54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</row>
    <row r="48" spans="1:60" x14ac:dyDescent="0.3">
      <c r="A48" s="54"/>
      <c r="B48" s="54"/>
      <c r="C48" s="54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</row>
    <row r="49" spans="1:60" x14ac:dyDescent="0.3">
      <c r="A49" s="54"/>
      <c r="B49" s="54"/>
      <c r="C49" s="54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</row>
    <row r="50" spans="1:60" x14ac:dyDescent="0.3">
      <c r="A50" s="54"/>
      <c r="B50" s="54"/>
      <c r="C50" s="54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</row>
    <row r="51" spans="1:60" s="38" customFormat="1" x14ac:dyDescent="0.3">
      <c r="A51" s="54"/>
      <c r="B51" s="54"/>
      <c r="C51" s="54"/>
      <c r="D51" s="37"/>
      <c r="M51" s="157"/>
      <c r="Q51" s="5"/>
      <c r="R51" s="5"/>
      <c r="S51" s="5"/>
      <c r="T51" s="5"/>
      <c r="U51" s="5"/>
    </row>
    <row r="52" spans="1:60" s="38" customFormat="1" x14ac:dyDescent="0.3">
      <c r="A52" s="54"/>
      <c r="B52" s="54"/>
      <c r="C52" s="54"/>
      <c r="D52" s="37"/>
      <c r="M52" s="157"/>
      <c r="Q52" s="5"/>
      <c r="R52" s="5"/>
      <c r="S52" s="5"/>
      <c r="T52" s="5"/>
      <c r="U52" s="5"/>
    </row>
    <row r="53" spans="1:60" s="38" customFormat="1" x14ac:dyDescent="0.3">
      <c r="A53" s="54"/>
      <c r="B53" s="54"/>
      <c r="C53" s="54"/>
      <c r="D53" s="37"/>
      <c r="F53" s="38" t="s">
        <v>44</v>
      </c>
      <c r="M53" s="157"/>
      <c r="Q53" s="5"/>
      <c r="R53" s="5"/>
      <c r="S53" s="5"/>
      <c r="T53" s="5"/>
      <c r="U53" s="5"/>
    </row>
    <row r="54" spans="1:60" s="38" customFormat="1" x14ac:dyDescent="0.3">
      <c r="A54" s="54"/>
      <c r="B54" s="54"/>
      <c r="C54" s="54"/>
      <c r="D54" s="37"/>
      <c r="M54" s="157"/>
      <c r="Q54" s="5"/>
      <c r="R54" s="5"/>
      <c r="S54" s="5"/>
      <c r="T54" s="5"/>
      <c r="U54" s="5"/>
    </row>
    <row r="55" spans="1:60" s="38" customFormat="1" x14ac:dyDescent="0.3">
      <c r="A55" s="54"/>
      <c r="B55" s="54"/>
      <c r="C55" s="54"/>
      <c r="D55" s="37"/>
      <c r="M55" s="157"/>
      <c r="Q55" s="5"/>
      <c r="R55" s="5"/>
      <c r="S55" s="5"/>
      <c r="T55" s="5"/>
      <c r="U55" s="5"/>
    </row>
    <row r="56" spans="1:60" s="38" customFormat="1" x14ac:dyDescent="0.3">
      <c r="A56" s="54"/>
      <c r="B56" s="54"/>
      <c r="C56" s="54"/>
      <c r="D56" s="37"/>
      <c r="M56" s="157"/>
      <c r="Q56" s="5"/>
      <c r="R56" s="5"/>
      <c r="S56" s="5"/>
      <c r="T56" s="5"/>
      <c r="U56" s="5"/>
    </row>
    <row r="57" spans="1:60" s="38" customFormat="1" x14ac:dyDescent="0.3">
      <c r="A57" s="54"/>
      <c r="B57" s="54"/>
      <c r="C57" s="54"/>
      <c r="D57" s="37"/>
      <c r="M57" s="157"/>
      <c r="Q57" s="5"/>
      <c r="R57" s="5"/>
      <c r="S57" s="5"/>
      <c r="T57" s="5"/>
      <c r="U57" s="5"/>
      <c r="V57"/>
      <c r="W57"/>
      <c r="X57"/>
      <c r="Y57"/>
      <c r="Z57"/>
      <c r="AA57"/>
      <c r="AB57"/>
      <c r="AC57"/>
      <c r="AD57"/>
      <c r="AE57"/>
      <c r="AF57"/>
      <c r="AG57"/>
    </row>
    <row r="58" spans="1:60" s="38" customFormat="1" x14ac:dyDescent="0.3">
      <c r="A58" s="54"/>
      <c r="B58" s="54"/>
      <c r="C58" s="54"/>
      <c r="D58" s="37"/>
      <c r="M58" s="157"/>
      <c r="Q58" s="5"/>
      <c r="R58" s="5"/>
      <c r="S58" s="5"/>
      <c r="T58" s="5"/>
      <c r="U58" s="5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</row>
    <row r="59" spans="1:60" s="38" customFormat="1" x14ac:dyDescent="0.3">
      <c r="A59" s="54"/>
      <c r="B59" s="54"/>
      <c r="C59" s="54"/>
      <c r="D59" s="37"/>
      <c r="M59" s="157"/>
      <c r="Q59" s="5"/>
      <c r="R59" s="5"/>
      <c r="S59" s="5"/>
      <c r="T59" s="5"/>
      <c r="U59" s="5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</row>
    <row r="60" spans="1:60" s="38" customFormat="1" x14ac:dyDescent="0.3">
      <c r="A60" s="54"/>
      <c r="B60" s="54"/>
      <c r="C60" s="54"/>
      <c r="D60" s="37"/>
      <c r="M60" s="157"/>
      <c r="Q60" s="5"/>
      <c r="R60" s="5"/>
      <c r="S60" s="5"/>
      <c r="T60" s="5"/>
      <c r="U60" s="5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</row>
    <row r="61" spans="1:60" s="38" customFormat="1" x14ac:dyDescent="0.3">
      <c r="A61" s="54"/>
      <c r="B61" s="54"/>
      <c r="C61" s="54"/>
      <c r="D61" s="37"/>
      <c r="M61" s="157"/>
      <c r="Q61" s="5"/>
      <c r="R61" s="5"/>
      <c r="S61" s="5"/>
      <c r="T61" s="5"/>
      <c r="U61" s="5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</row>
    <row r="62" spans="1:60" s="38" customFormat="1" x14ac:dyDescent="0.3">
      <c r="A62" s="54"/>
      <c r="B62" s="54"/>
      <c r="C62" s="54"/>
      <c r="D62" s="37"/>
      <c r="M62" s="157"/>
      <c r="Q62" s="5"/>
      <c r="R62" s="5"/>
      <c r="S62" s="5"/>
      <c r="T62" s="5"/>
      <c r="U62" s="5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</row>
    <row r="63" spans="1:60" s="38" customFormat="1" x14ac:dyDescent="0.3">
      <c r="A63" s="54"/>
      <c r="B63" s="54"/>
      <c r="C63" s="54"/>
      <c r="D63" s="37"/>
      <c r="M63" s="157"/>
      <c r="Q63" s="5"/>
      <c r="R63" s="5"/>
      <c r="S63" s="5"/>
      <c r="T63" s="5"/>
      <c r="U63" s="5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</row>
    <row r="64" spans="1:60" s="38" customFormat="1" x14ac:dyDescent="0.3">
      <c r="A64" s="54"/>
      <c r="B64" s="54"/>
      <c r="C64" s="54"/>
      <c r="D64" s="37"/>
      <c r="M64" s="157"/>
      <c r="Q64" s="5"/>
      <c r="R64" s="5"/>
      <c r="S64" s="5"/>
      <c r="T64" s="5"/>
      <c r="U64" s="5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</row>
    <row r="65" spans="1:60" s="38" customFormat="1" x14ac:dyDescent="0.3">
      <c r="A65" s="54"/>
      <c r="B65" s="54"/>
      <c r="C65" s="54"/>
      <c r="D65" s="37"/>
      <c r="M65" s="157"/>
      <c r="Q65" s="5"/>
      <c r="R65" s="5"/>
      <c r="S65" s="5"/>
      <c r="T65" s="5"/>
      <c r="U65" s="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</row>
  </sheetData>
  <mergeCells count="8">
    <mergeCell ref="N24:P24"/>
    <mergeCell ref="D28:E28"/>
    <mergeCell ref="H3:P3"/>
    <mergeCell ref="A4:A5"/>
    <mergeCell ref="B4:B5"/>
    <mergeCell ref="C4:C5"/>
    <mergeCell ref="D4:D5"/>
    <mergeCell ref="E4:U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E177-CEC9-4C3E-804A-77A9A75D3971}">
  <dimension ref="A1:AR54"/>
  <sheetViews>
    <sheetView workbookViewId="0">
      <selection activeCell="B14" sqref="B14"/>
    </sheetView>
  </sheetViews>
  <sheetFormatPr defaultRowHeight="15.6" x14ac:dyDescent="0.3"/>
  <cols>
    <col min="1" max="1" width="9.6640625" style="37" customWidth="1"/>
    <col min="2" max="2" width="41.5546875" style="124" customWidth="1"/>
    <col min="3" max="3" width="8.88671875" style="37" customWidth="1"/>
    <col min="4" max="4" width="9.109375" style="37"/>
    <col min="5" max="5" width="11.6640625" style="38" customWidth="1"/>
    <col min="6" max="6" width="9.5546875" style="38" hidden="1" customWidth="1"/>
    <col min="7" max="7" width="9.6640625" style="38" hidden="1" customWidth="1"/>
    <col min="8" max="8" width="12.88671875" style="38" hidden="1" customWidth="1"/>
    <col min="9" max="9" width="13.109375" style="38" customWidth="1"/>
    <col min="10" max="10" width="10.6640625" style="38" customWidth="1"/>
    <col min="11" max="11" width="6.33203125" style="38" hidden="1" customWidth="1"/>
    <col min="12" max="12" width="13" style="38" customWidth="1"/>
    <col min="13" max="13" width="13.33203125" style="38" hidden="1" customWidth="1"/>
    <col min="14" max="14" width="9.44140625" style="38" hidden="1" customWidth="1"/>
    <col min="15" max="15" width="9.109375" style="38" hidden="1" customWidth="1"/>
    <col min="16" max="16" width="13" style="38" hidden="1" customWidth="1"/>
    <col min="17" max="17" width="14" style="5" hidden="1" customWidth="1"/>
    <col min="18" max="18" width="10" style="5" customWidth="1"/>
    <col min="19" max="19" width="8.6640625" style="5" customWidth="1"/>
    <col min="20" max="20" width="10.5546875" style="5" hidden="1" customWidth="1"/>
    <col min="21" max="21" width="5.109375" customWidth="1"/>
  </cols>
  <sheetData>
    <row r="1" spans="1:44" ht="27.6" x14ac:dyDescent="0.45">
      <c r="A1" s="125" t="s">
        <v>0</v>
      </c>
      <c r="B1" s="97"/>
      <c r="C1" s="2"/>
      <c r="D1" s="3"/>
      <c r="E1" s="3"/>
      <c r="F1" s="3"/>
      <c r="G1" s="3"/>
      <c r="H1" s="3"/>
      <c r="I1" s="3" t="s">
        <v>1</v>
      </c>
      <c r="K1" s="4"/>
      <c r="L1" s="4"/>
      <c r="M1" s="4"/>
      <c r="N1" s="4"/>
      <c r="O1" s="4"/>
      <c r="P1" s="4"/>
    </row>
    <row r="2" spans="1:44" ht="24.6" x14ac:dyDescent="0.4">
      <c r="A2" s="126" t="s">
        <v>2</v>
      </c>
      <c r="B2" s="98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44" ht="20.399999999999999" x14ac:dyDescent="0.3">
      <c r="A3" s="6"/>
      <c r="B3" s="98"/>
      <c r="C3" s="6"/>
      <c r="D3" s="7"/>
      <c r="E3" s="7"/>
      <c r="F3" s="7"/>
      <c r="G3" s="7"/>
      <c r="H3" s="198"/>
      <c r="I3" s="198" t="s">
        <v>62</v>
      </c>
      <c r="J3" s="198"/>
      <c r="K3" s="198"/>
      <c r="L3" s="198"/>
      <c r="M3" s="198"/>
      <c r="N3" s="198"/>
      <c r="O3" s="198"/>
      <c r="P3" s="198"/>
    </row>
    <row r="4" spans="1:44" ht="15" customHeight="1" x14ac:dyDescent="0.3">
      <c r="A4" s="199" t="s">
        <v>4</v>
      </c>
      <c r="B4" s="200" t="s">
        <v>5</v>
      </c>
      <c r="C4" s="200" t="s">
        <v>6</v>
      </c>
      <c r="D4" s="200" t="s">
        <v>7</v>
      </c>
      <c r="E4" s="200" t="s">
        <v>149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</row>
    <row r="5" spans="1:44" ht="48.75" customHeight="1" x14ac:dyDescent="0.3">
      <c r="A5" s="199"/>
      <c r="B5" s="200"/>
      <c r="C5" s="200"/>
      <c r="D5" s="200"/>
      <c r="E5" s="9" t="s">
        <v>8</v>
      </c>
      <c r="F5" s="9" t="s">
        <v>10</v>
      </c>
      <c r="G5" s="9" t="s">
        <v>9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86</v>
      </c>
      <c r="O5" s="9" t="s">
        <v>143</v>
      </c>
      <c r="P5" s="9" t="s">
        <v>19</v>
      </c>
      <c r="Q5" s="9" t="s">
        <v>12</v>
      </c>
      <c r="R5" s="9" t="s">
        <v>129</v>
      </c>
      <c r="S5" s="9" t="s">
        <v>179</v>
      </c>
      <c r="T5" s="9" t="s">
        <v>63</v>
      </c>
    </row>
    <row r="6" spans="1:44" x14ac:dyDescent="0.3">
      <c r="A6" s="21"/>
      <c r="B6" s="82"/>
      <c r="C6" s="79"/>
      <c r="D6" s="13"/>
      <c r="E6" s="2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</row>
    <row r="7" spans="1:44" x14ac:dyDescent="0.3">
      <c r="A7" s="21">
        <v>45491</v>
      </c>
      <c r="B7" s="82" t="s">
        <v>77</v>
      </c>
      <c r="C7" s="79">
        <v>19460</v>
      </c>
      <c r="D7" s="13"/>
      <c r="E7" s="29">
        <v>960</v>
      </c>
      <c r="F7" s="99"/>
      <c r="G7" s="99"/>
      <c r="H7" s="99"/>
      <c r="I7" s="99"/>
      <c r="J7" s="99">
        <f>E7</f>
        <v>960</v>
      </c>
      <c r="K7" s="99"/>
      <c r="L7" s="99"/>
      <c r="M7" s="99"/>
      <c r="N7" s="99"/>
      <c r="O7" s="99"/>
      <c r="P7" s="99"/>
      <c r="Q7" s="99"/>
      <c r="R7" s="99"/>
      <c r="S7" s="99"/>
      <c r="T7" s="99"/>
    </row>
    <row r="8" spans="1:44" x14ac:dyDescent="0.3">
      <c r="A8" s="21">
        <v>45491</v>
      </c>
      <c r="B8" s="82" t="s">
        <v>177</v>
      </c>
      <c r="C8" s="79">
        <v>19461</v>
      </c>
      <c r="D8" s="13"/>
      <c r="E8" s="29">
        <v>6500</v>
      </c>
      <c r="F8" s="99"/>
      <c r="G8" s="99"/>
      <c r="H8" s="99"/>
      <c r="I8" s="99"/>
      <c r="J8" s="99"/>
      <c r="K8" s="99"/>
      <c r="L8" s="99">
        <f>E8</f>
        <v>6500</v>
      </c>
      <c r="M8" s="99"/>
      <c r="N8" s="99"/>
      <c r="O8" s="99"/>
      <c r="P8" s="99"/>
      <c r="Q8" s="99"/>
      <c r="R8" s="99"/>
      <c r="S8" s="99"/>
      <c r="T8" s="99"/>
    </row>
    <row r="9" spans="1:44" x14ac:dyDescent="0.3">
      <c r="A9" s="21">
        <v>45491</v>
      </c>
      <c r="B9" s="82" t="s">
        <v>180</v>
      </c>
      <c r="C9" s="79">
        <v>19462</v>
      </c>
      <c r="D9" s="13"/>
      <c r="E9" s="29">
        <v>480</v>
      </c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>
        <f>E9</f>
        <v>480</v>
      </c>
      <c r="T9" s="99"/>
    </row>
    <row r="10" spans="1:44" ht="31.2" x14ac:dyDescent="0.3">
      <c r="A10" s="21">
        <v>45492</v>
      </c>
      <c r="B10" s="82" t="s">
        <v>71</v>
      </c>
      <c r="C10" s="79">
        <v>19463</v>
      </c>
      <c r="D10" s="13"/>
      <c r="E10" s="29">
        <v>2500</v>
      </c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>
        <f>E10</f>
        <v>2500</v>
      </c>
      <c r="S10" s="99"/>
      <c r="T10" s="99"/>
    </row>
    <row r="11" spans="1:44" x14ac:dyDescent="0.3">
      <c r="A11" s="21">
        <v>45495</v>
      </c>
      <c r="B11" s="82" t="s">
        <v>181</v>
      </c>
      <c r="C11" s="79">
        <v>19464</v>
      </c>
      <c r="D11" s="13"/>
      <c r="E11" s="29">
        <v>300</v>
      </c>
      <c r="F11" s="99"/>
      <c r="G11" s="99"/>
      <c r="H11" s="99"/>
      <c r="I11" s="99">
        <f>E11</f>
        <v>300</v>
      </c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</row>
    <row r="12" spans="1:44" x14ac:dyDescent="0.3">
      <c r="A12" s="21">
        <v>45495</v>
      </c>
      <c r="B12" s="82" t="s">
        <v>77</v>
      </c>
      <c r="C12" s="79">
        <v>19465</v>
      </c>
      <c r="D12" s="13"/>
      <c r="E12" s="29">
        <v>480</v>
      </c>
      <c r="F12" s="99"/>
      <c r="G12" s="99"/>
      <c r="H12" s="99"/>
      <c r="I12" s="99"/>
      <c r="J12" s="99">
        <f>E12</f>
        <v>480</v>
      </c>
      <c r="K12" s="99"/>
      <c r="L12" s="99"/>
      <c r="M12" s="99"/>
      <c r="N12" s="99"/>
      <c r="O12" s="99"/>
      <c r="P12" s="99"/>
      <c r="Q12" s="99"/>
      <c r="R12" s="99"/>
      <c r="S12" s="99"/>
      <c r="T12" s="99"/>
    </row>
    <row r="13" spans="1:44" x14ac:dyDescent="0.3">
      <c r="A13" s="21">
        <v>45495</v>
      </c>
      <c r="B13" s="82" t="s">
        <v>181</v>
      </c>
      <c r="C13" s="79">
        <v>19466</v>
      </c>
      <c r="D13" s="13"/>
      <c r="E13" s="29">
        <v>200</v>
      </c>
      <c r="F13" s="99"/>
      <c r="G13" s="99"/>
      <c r="H13" s="99"/>
      <c r="I13" s="99">
        <f>E13</f>
        <v>200</v>
      </c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</row>
    <row r="14" spans="1:44" s="107" customFormat="1" ht="16.2" thickBot="1" x14ac:dyDescent="0.35">
      <c r="A14" s="127"/>
      <c r="B14" s="108"/>
      <c r="C14" s="109"/>
      <c r="D14" s="87">
        <v>60000</v>
      </c>
      <c r="E14" s="106">
        <f>SUM(E6:E13)</f>
        <v>11420</v>
      </c>
      <c r="F14" s="106">
        <f t="shared" ref="F14:T14" si="0">SUM(F6:F13)</f>
        <v>0</v>
      </c>
      <c r="G14" s="106">
        <f t="shared" si="0"/>
        <v>0</v>
      </c>
      <c r="H14" s="106">
        <f t="shared" si="0"/>
        <v>0</v>
      </c>
      <c r="I14" s="106">
        <f t="shared" si="0"/>
        <v>500</v>
      </c>
      <c r="J14" s="106">
        <f t="shared" si="0"/>
        <v>1440</v>
      </c>
      <c r="K14" s="106">
        <f t="shared" si="0"/>
        <v>0</v>
      </c>
      <c r="L14" s="106">
        <f t="shared" si="0"/>
        <v>6500</v>
      </c>
      <c r="M14" s="106">
        <f t="shared" si="0"/>
        <v>0</v>
      </c>
      <c r="N14" s="106">
        <f t="shared" si="0"/>
        <v>0</v>
      </c>
      <c r="O14" s="106">
        <f t="shared" si="0"/>
        <v>0</v>
      </c>
      <c r="P14" s="106">
        <f t="shared" si="0"/>
        <v>0</v>
      </c>
      <c r="Q14" s="106">
        <f t="shared" si="0"/>
        <v>0</v>
      </c>
      <c r="R14" s="106">
        <f t="shared" si="0"/>
        <v>2500</v>
      </c>
      <c r="S14" s="106">
        <f t="shared" si="0"/>
        <v>480</v>
      </c>
      <c r="T14" s="106">
        <f t="shared" si="0"/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ht="16.2" thickTop="1" x14ac:dyDescent="0.3">
      <c r="A15" s="44" t="s">
        <v>43</v>
      </c>
      <c r="B15" s="108"/>
      <c r="C15" s="109"/>
      <c r="D15" s="110">
        <f>SUM(D14-E14)</f>
        <v>48580</v>
      </c>
      <c r="E15" s="111"/>
      <c r="F15" s="112"/>
      <c r="G15" s="112"/>
      <c r="H15" s="113"/>
      <c r="I15" s="113"/>
      <c r="J15" s="113"/>
      <c r="K15" s="113"/>
      <c r="L15" s="113"/>
      <c r="M15" s="113"/>
      <c r="N15" s="113"/>
      <c r="O15" s="113"/>
      <c r="P15" s="114"/>
      <c r="Q15" s="115"/>
      <c r="R15" s="115"/>
      <c r="S15" s="115"/>
      <c r="T15" s="115"/>
    </row>
    <row r="16" spans="1:44" ht="16.2" thickBot="1" x14ac:dyDescent="0.35">
      <c r="B16" s="116"/>
      <c r="C16" s="35"/>
      <c r="D16" s="36"/>
      <c r="N16" s="201"/>
      <c r="O16" s="201"/>
      <c r="P16" s="201"/>
    </row>
    <row r="17" spans="1:20" ht="29.4" thickBot="1" x14ac:dyDescent="0.6">
      <c r="A17" s="195" t="s">
        <v>45</v>
      </c>
      <c r="B17" s="195"/>
      <c r="C17" s="203"/>
      <c r="D17" s="196">
        <f>E14</f>
        <v>11420</v>
      </c>
      <c r="E17" s="197"/>
      <c r="F17" s="42"/>
      <c r="G17" s="42"/>
      <c r="H17" s="43"/>
      <c r="I17" s="43"/>
      <c r="J17" s="43"/>
      <c r="K17" s="43"/>
      <c r="L17" s="43"/>
      <c r="M17" s="43"/>
    </row>
    <row r="18" spans="1:20" x14ac:dyDescent="0.3">
      <c r="A18" s="44"/>
      <c r="B18" s="117"/>
      <c r="C18" s="45"/>
      <c r="D18" s="45"/>
      <c r="E18" s="46" t="s">
        <v>44</v>
      </c>
      <c r="F18" s="46"/>
      <c r="G18" s="46"/>
      <c r="H18" s="46"/>
      <c r="I18" s="46"/>
      <c r="J18" s="46"/>
      <c r="K18" s="46"/>
      <c r="L18" s="46"/>
      <c r="M18" s="46"/>
      <c r="N18" s="47"/>
      <c r="O18" s="5"/>
      <c r="P18" s="5"/>
    </row>
    <row r="19" spans="1:20" x14ac:dyDescent="0.3">
      <c r="A19" s="44"/>
      <c r="B19" s="117"/>
      <c r="C19" s="45"/>
      <c r="D19" s="45"/>
      <c r="E19" s="46"/>
      <c r="F19" s="46"/>
      <c r="G19" s="46"/>
      <c r="H19" s="46"/>
      <c r="I19" s="46"/>
      <c r="J19" s="46"/>
      <c r="K19" s="46"/>
      <c r="L19" s="46"/>
      <c r="M19" s="46"/>
      <c r="N19" s="47"/>
      <c r="O19" s="5"/>
      <c r="P19" s="5"/>
    </row>
    <row r="20" spans="1:20" ht="16.2" x14ac:dyDescent="0.35">
      <c r="A20" s="48"/>
      <c r="B20" s="118"/>
      <c r="D20" s="50"/>
      <c r="E20" s="50"/>
      <c r="F20" s="50"/>
      <c r="G20" s="50"/>
      <c r="H20" s="50"/>
      <c r="J20" s="50"/>
      <c r="L20" s="51"/>
      <c r="M20" s="50"/>
      <c r="N20" s="52"/>
      <c r="O20" s="50"/>
      <c r="Q20" s="51"/>
      <c r="R20" s="50"/>
      <c r="S20" s="50"/>
      <c r="T20" s="50"/>
    </row>
    <row r="21" spans="1:20" ht="14.4" x14ac:dyDescent="0.3">
      <c r="A21" s="48"/>
      <c r="B21" s="128" t="s">
        <v>46</v>
      </c>
      <c r="C21"/>
      <c r="D21" s="129" t="s">
        <v>47</v>
      </c>
      <c r="E21" s="129"/>
      <c r="F21" s="129"/>
      <c r="G21" s="129"/>
      <c r="H21" s="129" t="s">
        <v>47</v>
      </c>
      <c r="I21" s="129"/>
      <c r="J21" s="129" t="s">
        <v>47</v>
      </c>
      <c r="K21" s="129"/>
      <c r="L21" s="5"/>
      <c r="M21" s="129"/>
      <c r="N21" s="129"/>
      <c r="O21" s="5"/>
      <c r="P21" s="129" t="s">
        <v>48</v>
      </c>
      <c r="Q21" s="130"/>
      <c r="S21" s="129" t="s">
        <v>48</v>
      </c>
    </row>
    <row r="22" spans="1:20" ht="14.4" x14ac:dyDescent="0.3">
      <c r="A22" s="48"/>
      <c r="B22" s="128" t="s">
        <v>49</v>
      </c>
      <c r="C22"/>
      <c r="D22" s="129" t="s">
        <v>50</v>
      </c>
      <c r="E22" s="129"/>
      <c r="F22" s="129"/>
      <c r="G22" s="129"/>
      <c r="H22" s="129" t="s">
        <v>51</v>
      </c>
      <c r="I22" s="129"/>
      <c r="J22" s="129" t="s">
        <v>51</v>
      </c>
      <c r="K22" s="129"/>
      <c r="L22" s="5"/>
      <c r="M22" s="129"/>
      <c r="N22" s="129"/>
      <c r="O22" s="5"/>
      <c r="P22" s="129" t="s">
        <v>52</v>
      </c>
      <c r="Q22" s="130"/>
      <c r="S22" s="129" t="s">
        <v>52</v>
      </c>
    </row>
    <row r="23" spans="1:20" ht="14.4" x14ac:dyDescent="0.3">
      <c r="A23" s="48"/>
      <c r="B23" s="128" t="s">
        <v>105</v>
      </c>
      <c r="C23"/>
      <c r="D23" s="129" t="s">
        <v>54</v>
      </c>
      <c r="E23" s="129"/>
      <c r="F23" s="129"/>
      <c r="G23" s="129"/>
      <c r="H23" s="129" t="s">
        <v>55</v>
      </c>
      <c r="I23" s="129"/>
      <c r="J23" s="129" t="s">
        <v>55</v>
      </c>
      <c r="K23" s="129"/>
      <c r="L23" s="5"/>
      <c r="M23" s="129"/>
      <c r="N23" s="129"/>
      <c r="O23" s="5"/>
      <c r="P23" s="129" t="s">
        <v>56</v>
      </c>
      <c r="Q23" s="130"/>
      <c r="S23" s="129" t="s">
        <v>56</v>
      </c>
    </row>
    <row r="24" spans="1:20" ht="14.4" x14ac:dyDescent="0.3">
      <c r="A24" s="48"/>
      <c r="B24" s="128" t="s">
        <v>106</v>
      </c>
      <c r="C24"/>
      <c r="D24" s="129" t="s">
        <v>58</v>
      </c>
      <c r="E24" s="129"/>
      <c r="F24" s="129"/>
      <c r="G24" s="129"/>
      <c r="H24" s="129" t="s">
        <v>59</v>
      </c>
      <c r="I24" s="129"/>
      <c r="J24" s="129" t="s">
        <v>59</v>
      </c>
      <c r="K24" s="129"/>
      <c r="L24" s="5"/>
      <c r="M24" s="129"/>
      <c r="N24" s="129"/>
      <c r="O24" s="5"/>
      <c r="P24" s="129" t="s">
        <v>60</v>
      </c>
      <c r="Q24" s="130"/>
      <c r="S24" s="129" t="s">
        <v>60</v>
      </c>
    </row>
    <row r="25" spans="1:20" ht="14.4" x14ac:dyDescent="0.3">
      <c r="A25" s="48"/>
      <c r="B25" s="121"/>
      <c r="C25" s="48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</row>
    <row r="26" spans="1:20" x14ac:dyDescent="0.3">
      <c r="B26" s="122"/>
      <c r="C26" s="54"/>
    </row>
    <row r="27" spans="1:20" x14ac:dyDescent="0.3">
      <c r="A27" s="54"/>
      <c r="B27" s="122"/>
      <c r="C27" s="54"/>
    </row>
    <row r="28" spans="1:20" x14ac:dyDescent="0.3">
      <c r="A28" s="54"/>
      <c r="B28" s="122"/>
      <c r="C28" s="54"/>
    </row>
    <row r="29" spans="1:20" x14ac:dyDescent="0.3">
      <c r="A29" s="54"/>
      <c r="B29" s="122"/>
      <c r="C29" s="54"/>
    </row>
    <row r="30" spans="1:20" x14ac:dyDescent="0.3">
      <c r="A30" s="54"/>
      <c r="B30" s="122"/>
      <c r="C30" s="54"/>
    </row>
    <row r="31" spans="1:20" x14ac:dyDescent="0.3">
      <c r="A31" s="54"/>
      <c r="B31" s="122"/>
      <c r="C31" s="54"/>
    </row>
    <row r="32" spans="1:20" x14ac:dyDescent="0.3">
      <c r="A32" s="54"/>
      <c r="B32" s="122"/>
      <c r="C32" s="54"/>
    </row>
    <row r="33" spans="1:44" x14ac:dyDescent="0.3">
      <c r="A33" s="54"/>
      <c r="B33" s="122"/>
      <c r="C33" s="54"/>
    </row>
    <row r="34" spans="1:44" x14ac:dyDescent="0.3">
      <c r="A34" s="54"/>
      <c r="B34" s="122"/>
      <c r="C34" s="54"/>
    </row>
    <row r="35" spans="1:44" x14ac:dyDescent="0.3">
      <c r="A35" s="54"/>
      <c r="B35" s="122"/>
      <c r="C35" s="54"/>
    </row>
    <row r="36" spans="1:44" x14ac:dyDescent="0.3">
      <c r="A36" s="54"/>
      <c r="B36" s="122"/>
      <c r="C36" s="54"/>
    </row>
    <row r="37" spans="1:44" x14ac:dyDescent="0.3">
      <c r="A37" s="54"/>
      <c r="B37" s="122"/>
      <c r="C37" s="54"/>
    </row>
    <row r="38" spans="1:44" x14ac:dyDescent="0.3">
      <c r="A38" s="54"/>
      <c r="B38" s="122"/>
      <c r="C38" s="54"/>
    </row>
    <row r="39" spans="1:44" x14ac:dyDescent="0.3">
      <c r="A39" s="54"/>
      <c r="B39" s="122"/>
      <c r="C39" s="54"/>
    </row>
    <row r="40" spans="1:44" s="38" customFormat="1" x14ac:dyDescent="0.3">
      <c r="A40" s="54"/>
      <c r="B40" s="122"/>
      <c r="C40" s="54"/>
      <c r="D40" s="37"/>
      <c r="Q40" s="5"/>
      <c r="R40" s="5"/>
      <c r="S40" s="5"/>
      <c r="T40" s="5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</row>
    <row r="41" spans="1:44" s="38" customFormat="1" x14ac:dyDescent="0.3">
      <c r="A41" s="54"/>
      <c r="B41" s="122"/>
      <c r="C41" s="54"/>
      <c r="D41" s="37"/>
      <c r="Q41" s="5"/>
      <c r="R41" s="5"/>
      <c r="S41" s="5"/>
      <c r="T41" s="5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</row>
    <row r="42" spans="1:44" s="38" customFormat="1" x14ac:dyDescent="0.3">
      <c r="A42" s="54"/>
      <c r="B42" s="122"/>
      <c r="C42" s="54"/>
      <c r="D42" s="37"/>
      <c r="F42" s="38" t="s">
        <v>44</v>
      </c>
      <c r="Q42" s="5"/>
      <c r="R42" s="5"/>
      <c r="S42" s="5"/>
      <c r="T42" s="5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</row>
    <row r="43" spans="1:44" s="38" customFormat="1" x14ac:dyDescent="0.3">
      <c r="A43" s="54"/>
      <c r="B43" s="122"/>
      <c r="C43" s="54"/>
      <c r="D43" s="37"/>
      <c r="Q43" s="5"/>
      <c r="R43" s="5"/>
      <c r="S43" s="5"/>
      <c r="T43" s="5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</row>
    <row r="44" spans="1:44" s="38" customFormat="1" x14ac:dyDescent="0.3">
      <c r="A44" s="54"/>
      <c r="B44" s="122"/>
      <c r="C44" s="54"/>
      <c r="D44" s="37"/>
      <c r="Q44" s="5"/>
      <c r="R44" s="5"/>
      <c r="S44" s="5"/>
      <c r="T44" s="5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</row>
    <row r="45" spans="1:44" s="38" customFormat="1" x14ac:dyDescent="0.3">
      <c r="A45" s="54"/>
      <c r="B45" s="122"/>
      <c r="C45" s="54"/>
      <c r="D45" s="37"/>
      <c r="Q45" s="5"/>
      <c r="R45" s="5"/>
      <c r="S45" s="5"/>
      <c r="T45" s="5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</row>
    <row r="46" spans="1:44" s="38" customFormat="1" x14ac:dyDescent="0.3">
      <c r="A46" s="54"/>
      <c r="B46" s="122"/>
      <c r="C46" s="54"/>
      <c r="D46" s="37"/>
      <c r="Q46" s="5"/>
      <c r="R46" s="5"/>
      <c r="S46" s="5"/>
      <c r="T46" s="5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</row>
    <row r="47" spans="1:44" s="38" customFormat="1" x14ac:dyDescent="0.3">
      <c r="A47" s="54"/>
      <c r="B47" s="122"/>
      <c r="C47" s="54"/>
      <c r="D47" s="37"/>
      <c r="Q47" s="5"/>
      <c r="R47" s="5"/>
      <c r="S47" s="5"/>
      <c r="T47" s="5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</row>
    <row r="48" spans="1:44" s="38" customFormat="1" x14ac:dyDescent="0.3">
      <c r="A48" s="54"/>
      <c r="B48" s="122"/>
      <c r="C48" s="54"/>
      <c r="D48" s="37"/>
      <c r="Q48" s="5"/>
      <c r="R48" s="5"/>
      <c r="S48" s="5"/>
      <c r="T48" s="5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</row>
    <row r="49" spans="1:44" s="38" customFormat="1" x14ac:dyDescent="0.3">
      <c r="A49" s="54"/>
      <c r="B49" s="122"/>
      <c r="C49" s="54"/>
      <c r="D49" s="37"/>
      <c r="Q49" s="5"/>
      <c r="R49" s="5"/>
      <c r="S49" s="5"/>
      <c r="T49" s="5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</row>
    <row r="50" spans="1:44" s="38" customFormat="1" x14ac:dyDescent="0.3">
      <c r="A50" s="54"/>
      <c r="B50" s="122"/>
      <c r="C50" s="54"/>
      <c r="D50" s="37"/>
      <c r="Q50" s="5"/>
      <c r="R50" s="5"/>
      <c r="S50" s="5"/>
      <c r="T50" s="5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</row>
    <row r="51" spans="1:44" s="38" customFormat="1" x14ac:dyDescent="0.3">
      <c r="A51" s="54"/>
      <c r="B51" s="122"/>
      <c r="C51" s="54"/>
      <c r="D51" s="37"/>
      <c r="Q51" s="5"/>
      <c r="R51" s="5"/>
      <c r="S51" s="5"/>
      <c r="T51" s="5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</row>
    <row r="52" spans="1:44" s="38" customFormat="1" x14ac:dyDescent="0.3">
      <c r="A52" s="54"/>
      <c r="B52" s="122"/>
      <c r="C52" s="54"/>
      <c r="D52" s="37"/>
      <c r="Q52" s="5"/>
      <c r="R52" s="5"/>
      <c r="S52" s="5"/>
      <c r="T52" s="5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</row>
    <row r="53" spans="1:44" s="38" customFormat="1" x14ac:dyDescent="0.3">
      <c r="A53" s="54"/>
      <c r="B53" s="122"/>
      <c r="C53" s="54"/>
      <c r="D53" s="37"/>
      <c r="Q53" s="5"/>
      <c r="R53" s="5"/>
      <c r="S53" s="5"/>
      <c r="T53" s="5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</row>
    <row r="54" spans="1:44" s="38" customFormat="1" x14ac:dyDescent="0.3">
      <c r="A54" s="54"/>
      <c r="B54" s="122"/>
      <c r="C54" s="54"/>
      <c r="D54" s="37"/>
      <c r="Q54" s="5"/>
      <c r="R54" s="5"/>
      <c r="S54" s="5"/>
      <c r="T54" s="5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</row>
  </sheetData>
  <mergeCells count="9">
    <mergeCell ref="N16:P16"/>
    <mergeCell ref="A17:C17"/>
    <mergeCell ref="D17:E17"/>
    <mergeCell ref="H3:P3"/>
    <mergeCell ref="A4:A5"/>
    <mergeCell ref="B4:B5"/>
    <mergeCell ref="C4:C5"/>
    <mergeCell ref="D4:D5"/>
    <mergeCell ref="E4:T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F66A-8050-42D8-A2C6-8D31E7198B8F}">
  <dimension ref="A1:AR54"/>
  <sheetViews>
    <sheetView workbookViewId="0">
      <selection activeCell="B14" sqref="B14"/>
    </sheetView>
  </sheetViews>
  <sheetFormatPr defaultRowHeight="15.6" x14ac:dyDescent="0.3"/>
  <cols>
    <col min="1" max="1" width="10.44140625" style="37" customWidth="1"/>
    <col min="2" max="2" width="44.5546875" style="124" customWidth="1"/>
    <col min="3" max="3" width="8.88671875" style="37" customWidth="1"/>
    <col min="4" max="4" width="10.5546875" style="37" customWidth="1"/>
    <col min="5" max="5" width="15" style="38" customWidth="1"/>
    <col min="6" max="6" width="9.5546875" style="38" hidden="1" customWidth="1"/>
    <col min="7" max="7" width="9.6640625" style="38" hidden="1" customWidth="1"/>
    <col min="8" max="8" width="12.88671875" style="38" hidden="1" customWidth="1"/>
    <col min="9" max="9" width="11.33203125" style="38" hidden="1" customWidth="1"/>
    <col min="10" max="10" width="10.5546875" style="38" customWidth="1"/>
    <col min="11" max="11" width="8" style="38" hidden="1" customWidth="1"/>
    <col min="12" max="12" width="10.5546875" style="38" customWidth="1"/>
    <col min="13" max="13" width="13.33203125" style="38" hidden="1" customWidth="1"/>
    <col min="14" max="14" width="9.44140625" style="38" hidden="1" customWidth="1"/>
    <col min="15" max="15" width="9.109375" style="38" hidden="1" customWidth="1"/>
    <col min="16" max="16" width="13" style="38" hidden="1" customWidth="1"/>
    <col min="17" max="17" width="14" style="5" hidden="1" customWidth="1"/>
    <col min="18" max="18" width="10.88671875" style="5" customWidth="1"/>
    <col min="19" max="19" width="10.109375" style="5" customWidth="1"/>
    <col min="20" max="20" width="10.5546875" style="5" hidden="1" customWidth="1"/>
  </cols>
  <sheetData>
    <row r="1" spans="1:44" ht="29.4" x14ac:dyDescent="0.45">
      <c r="A1" s="1" t="s">
        <v>0</v>
      </c>
      <c r="B1" s="97"/>
      <c r="C1" s="2"/>
      <c r="D1" s="3"/>
      <c r="E1" s="3"/>
      <c r="F1" s="3"/>
      <c r="G1" s="3"/>
      <c r="H1" s="3"/>
      <c r="I1" s="3" t="s">
        <v>1</v>
      </c>
      <c r="K1" s="4"/>
      <c r="L1" s="4"/>
      <c r="M1" s="4"/>
      <c r="N1" s="4"/>
      <c r="O1" s="4"/>
      <c r="P1" s="4"/>
    </row>
    <row r="2" spans="1:44" ht="29.4" x14ac:dyDescent="0.45">
      <c r="A2" s="1" t="s">
        <v>2</v>
      </c>
      <c r="B2" s="98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44" ht="20.399999999999999" x14ac:dyDescent="0.3">
      <c r="A3" s="6"/>
      <c r="B3" s="98"/>
      <c r="C3" s="6"/>
      <c r="D3" s="7"/>
      <c r="E3" s="7"/>
      <c r="F3" s="7"/>
      <c r="G3" s="7"/>
      <c r="H3" s="198"/>
      <c r="I3" s="198" t="s">
        <v>62</v>
      </c>
      <c r="J3" s="198"/>
      <c r="K3" s="198"/>
      <c r="L3" s="198"/>
      <c r="M3" s="198"/>
      <c r="N3" s="198"/>
      <c r="O3" s="198"/>
      <c r="P3" s="198"/>
    </row>
    <row r="4" spans="1:44" ht="15" customHeight="1" x14ac:dyDescent="0.3">
      <c r="A4" s="199" t="s">
        <v>4</v>
      </c>
      <c r="B4" s="200" t="s">
        <v>5</v>
      </c>
      <c r="C4" s="200" t="s">
        <v>6</v>
      </c>
      <c r="D4" s="200" t="s">
        <v>7</v>
      </c>
      <c r="E4" s="200" t="s">
        <v>149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</row>
    <row r="5" spans="1:44" ht="48.75" customHeight="1" x14ac:dyDescent="0.3">
      <c r="A5" s="199"/>
      <c r="B5" s="200"/>
      <c r="C5" s="200"/>
      <c r="D5" s="200"/>
      <c r="E5" s="9" t="s">
        <v>8</v>
      </c>
      <c r="F5" s="9" t="s">
        <v>10</v>
      </c>
      <c r="G5" s="9" t="s">
        <v>9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86</v>
      </c>
      <c r="O5" s="9" t="s">
        <v>143</v>
      </c>
      <c r="P5" s="9" t="s">
        <v>19</v>
      </c>
      <c r="Q5" s="9" t="s">
        <v>12</v>
      </c>
      <c r="R5" s="9" t="s">
        <v>129</v>
      </c>
      <c r="S5" s="9" t="s">
        <v>65</v>
      </c>
      <c r="T5" s="9" t="s">
        <v>63</v>
      </c>
    </row>
    <row r="6" spans="1:44" x14ac:dyDescent="0.3">
      <c r="A6" s="21"/>
      <c r="B6" s="82"/>
      <c r="C6" s="79"/>
      <c r="D6" s="13"/>
      <c r="E6" s="2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</row>
    <row r="7" spans="1:44" x14ac:dyDescent="0.3">
      <c r="A7" s="21">
        <v>45479</v>
      </c>
      <c r="B7" s="82" t="s">
        <v>77</v>
      </c>
      <c r="C7" s="79">
        <v>19453</v>
      </c>
      <c r="D7" s="13"/>
      <c r="E7" s="29">
        <v>1920</v>
      </c>
      <c r="F7" s="99"/>
      <c r="G7" s="99"/>
      <c r="H7" s="99"/>
      <c r="I7" s="99"/>
      <c r="J7" s="99">
        <f>E7</f>
        <v>1920</v>
      </c>
      <c r="K7" s="99"/>
      <c r="L7" s="99"/>
      <c r="M7" s="99"/>
      <c r="N7" s="99"/>
      <c r="O7" s="99"/>
      <c r="P7" s="99"/>
      <c r="Q7" s="99"/>
      <c r="R7" s="99"/>
      <c r="S7" s="99"/>
      <c r="T7" s="99"/>
    </row>
    <row r="8" spans="1:44" x14ac:dyDescent="0.3">
      <c r="A8" s="21">
        <v>45482</v>
      </c>
      <c r="B8" s="82" t="s">
        <v>177</v>
      </c>
      <c r="C8" s="79">
        <v>19454</v>
      </c>
      <c r="D8" s="13"/>
      <c r="E8" s="29">
        <v>6500</v>
      </c>
      <c r="F8" s="99"/>
      <c r="G8" s="99"/>
      <c r="H8" s="99"/>
      <c r="I8" s="99"/>
      <c r="J8" s="99"/>
      <c r="K8" s="99"/>
      <c r="L8" s="99">
        <f>E8</f>
        <v>6500</v>
      </c>
      <c r="M8" s="99"/>
      <c r="N8" s="99"/>
      <c r="O8" s="99"/>
      <c r="P8" s="99"/>
      <c r="Q8" s="99"/>
      <c r="R8" s="99"/>
      <c r="S8" s="99"/>
      <c r="T8" s="99"/>
    </row>
    <row r="9" spans="1:44" x14ac:dyDescent="0.3">
      <c r="A9" s="21">
        <v>45482</v>
      </c>
      <c r="B9" s="82" t="s">
        <v>178</v>
      </c>
      <c r="C9" s="79">
        <v>19455</v>
      </c>
      <c r="D9" s="13"/>
      <c r="E9" s="29">
        <v>46</v>
      </c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>
        <f>E9</f>
        <v>46</v>
      </c>
      <c r="T9" s="99"/>
    </row>
    <row r="10" spans="1:44" x14ac:dyDescent="0.3">
      <c r="A10" s="21">
        <v>45482</v>
      </c>
      <c r="B10" s="82" t="s">
        <v>174</v>
      </c>
      <c r="C10" s="79">
        <v>19456</v>
      </c>
      <c r="D10" s="13"/>
      <c r="E10" s="29">
        <v>1300</v>
      </c>
      <c r="F10" s="99"/>
      <c r="G10" s="99"/>
      <c r="H10" s="99"/>
      <c r="I10" s="99"/>
      <c r="J10" s="99"/>
      <c r="K10" s="99"/>
      <c r="L10" s="99">
        <f>E10</f>
        <v>1300</v>
      </c>
      <c r="M10" s="99"/>
      <c r="N10" s="99"/>
      <c r="O10" s="99"/>
      <c r="P10" s="99"/>
      <c r="Q10" s="99"/>
      <c r="R10" s="99"/>
      <c r="S10" s="99"/>
      <c r="T10" s="99"/>
    </row>
    <row r="11" spans="1:44" x14ac:dyDescent="0.3">
      <c r="A11" s="21">
        <v>45484</v>
      </c>
      <c r="B11" s="82" t="s">
        <v>77</v>
      </c>
      <c r="C11" s="79">
        <v>19457</v>
      </c>
      <c r="D11" s="13"/>
      <c r="E11" s="29">
        <v>1920</v>
      </c>
      <c r="F11" s="99"/>
      <c r="G11" s="99"/>
      <c r="H11" s="99"/>
      <c r="I11" s="99"/>
      <c r="J11" s="99">
        <f>E11</f>
        <v>1920</v>
      </c>
      <c r="K11" s="99"/>
      <c r="L11" s="99"/>
      <c r="M11" s="99"/>
      <c r="N11" s="99"/>
      <c r="O11" s="99"/>
      <c r="P11" s="99"/>
      <c r="Q11" s="99"/>
      <c r="R11" s="99"/>
      <c r="S11" s="99"/>
      <c r="T11" s="99"/>
    </row>
    <row r="12" spans="1:44" x14ac:dyDescent="0.3">
      <c r="A12" s="21">
        <v>45485</v>
      </c>
      <c r="B12" s="82" t="s">
        <v>71</v>
      </c>
      <c r="C12" s="79">
        <v>19458</v>
      </c>
      <c r="D12" s="13"/>
      <c r="E12" s="29">
        <v>2000</v>
      </c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>
        <f>E12</f>
        <v>2000</v>
      </c>
      <c r="S12" s="99"/>
      <c r="T12" s="99"/>
    </row>
    <row r="13" spans="1:44" x14ac:dyDescent="0.3">
      <c r="A13" s="21">
        <v>45488</v>
      </c>
      <c r="B13" s="82" t="s">
        <v>175</v>
      </c>
      <c r="C13" s="79">
        <v>19459</v>
      </c>
      <c r="D13" s="13"/>
      <c r="E13" s="29">
        <v>1030</v>
      </c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</row>
    <row r="14" spans="1:44" s="107" customFormat="1" ht="16.2" thickBot="1" x14ac:dyDescent="0.35">
      <c r="A14" s="21"/>
      <c r="B14" s="100"/>
      <c r="C14" s="23"/>
      <c r="D14" s="87">
        <v>60000</v>
      </c>
      <c r="E14" s="106">
        <f t="shared" ref="E14:T14" si="0">SUM(E6:E13)</f>
        <v>14716</v>
      </c>
      <c r="F14" s="106">
        <f t="shared" si="0"/>
        <v>0</v>
      </c>
      <c r="G14" s="106">
        <f t="shared" si="0"/>
        <v>0</v>
      </c>
      <c r="H14" s="106">
        <f t="shared" si="0"/>
        <v>0</v>
      </c>
      <c r="I14" s="106">
        <f t="shared" si="0"/>
        <v>0</v>
      </c>
      <c r="J14" s="106">
        <f t="shared" si="0"/>
        <v>3840</v>
      </c>
      <c r="K14" s="106">
        <f t="shared" si="0"/>
        <v>0</v>
      </c>
      <c r="L14" s="106">
        <f t="shared" si="0"/>
        <v>7800</v>
      </c>
      <c r="M14" s="106">
        <f t="shared" si="0"/>
        <v>0</v>
      </c>
      <c r="N14" s="106">
        <f t="shared" si="0"/>
        <v>0</v>
      </c>
      <c r="O14" s="106">
        <f t="shared" si="0"/>
        <v>0</v>
      </c>
      <c r="P14" s="106">
        <f t="shared" si="0"/>
        <v>0</v>
      </c>
      <c r="Q14" s="106">
        <f t="shared" si="0"/>
        <v>0</v>
      </c>
      <c r="R14" s="106">
        <f t="shared" si="0"/>
        <v>2000</v>
      </c>
      <c r="S14" s="106">
        <f t="shared" si="0"/>
        <v>46</v>
      </c>
      <c r="T14" s="106">
        <f t="shared" si="0"/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ht="16.2" thickTop="1" x14ac:dyDescent="0.3">
      <c r="A15" s="44" t="s">
        <v>43</v>
      </c>
      <c r="B15" s="108"/>
      <c r="C15" s="109"/>
      <c r="D15" s="110">
        <f>SUM(D14-E14)</f>
        <v>45284</v>
      </c>
      <c r="E15" s="111"/>
      <c r="F15" s="112"/>
      <c r="G15" s="112"/>
      <c r="H15" s="113"/>
      <c r="I15" s="113"/>
      <c r="J15" s="113"/>
      <c r="K15" s="113"/>
      <c r="L15" s="113"/>
      <c r="M15" s="113"/>
      <c r="N15" s="113"/>
      <c r="O15" s="113"/>
      <c r="P15" s="114"/>
      <c r="Q15" s="115"/>
      <c r="R15" s="115"/>
      <c r="S15" s="115"/>
      <c r="T15" s="115"/>
    </row>
    <row r="16" spans="1:44" ht="16.2" thickBot="1" x14ac:dyDescent="0.35">
      <c r="B16" s="116"/>
      <c r="C16" s="35"/>
      <c r="D16" s="36"/>
      <c r="N16" s="201"/>
      <c r="O16" s="201"/>
      <c r="P16" s="201"/>
    </row>
    <row r="17" spans="1:20" ht="29.4" thickBot="1" x14ac:dyDescent="0.6">
      <c r="A17" s="195" t="s">
        <v>45</v>
      </c>
      <c r="B17" s="195"/>
      <c r="C17" s="203"/>
      <c r="D17" s="196">
        <f>E14</f>
        <v>14716</v>
      </c>
      <c r="E17" s="197"/>
      <c r="F17" s="42"/>
      <c r="G17" s="42"/>
      <c r="H17" s="43"/>
      <c r="I17" s="43"/>
      <c r="J17" s="43"/>
      <c r="K17" s="43"/>
      <c r="L17" s="43"/>
      <c r="M17" s="43"/>
    </row>
    <row r="18" spans="1:20" x14ac:dyDescent="0.3">
      <c r="A18" s="44"/>
      <c r="B18" s="117"/>
      <c r="C18" s="45"/>
      <c r="D18" s="45"/>
      <c r="E18" s="46" t="s">
        <v>44</v>
      </c>
      <c r="F18" s="46"/>
      <c r="G18" s="46"/>
      <c r="H18" s="46"/>
      <c r="I18" s="46"/>
      <c r="J18" s="46"/>
      <c r="K18" s="46"/>
      <c r="L18" s="46"/>
      <c r="M18" s="46"/>
      <c r="N18" s="47"/>
      <c r="O18" s="5"/>
      <c r="P18" s="5"/>
    </row>
    <row r="19" spans="1:20" x14ac:dyDescent="0.3">
      <c r="A19" s="44"/>
      <c r="B19" s="117"/>
      <c r="C19" s="45"/>
      <c r="D19" s="45"/>
      <c r="E19" s="46"/>
      <c r="F19" s="46"/>
      <c r="G19" s="46"/>
      <c r="H19" s="46"/>
      <c r="I19" s="46"/>
      <c r="J19" s="46"/>
      <c r="K19" s="46"/>
      <c r="L19" s="46"/>
      <c r="M19" s="46"/>
      <c r="N19" s="47"/>
      <c r="O19" s="5"/>
      <c r="P19" s="5"/>
    </row>
    <row r="20" spans="1:20" ht="16.2" x14ac:dyDescent="0.35">
      <c r="A20" s="48"/>
      <c r="B20" s="118"/>
      <c r="D20" s="50"/>
      <c r="E20" s="50"/>
      <c r="F20" s="50"/>
      <c r="G20" s="50"/>
      <c r="H20" s="50"/>
      <c r="J20" s="50"/>
      <c r="L20" s="51"/>
      <c r="M20" s="50"/>
      <c r="N20" s="52"/>
      <c r="O20" s="50"/>
      <c r="Q20" s="51"/>
      <c r="R20" s="50"/>
      <c r="S20" s="50"/>
      <c r="T20" s="50"/>
    </row>
    <row r="21" spans="1:20" ht="16.2" x14ac:dyDescent="0.35">
      <c r="A21" s="48"/>
      <c r="B21" s="119" t="s">
        <v>46</v>
      </c>
      <c r="D21" s="50" t="s">
        <v>47</v>
      </c>
      <c r="E21" s="50"/>
      <c r="F21" s="50"/>
      <c r="G21" s="50"/>
      <c r="H21" s="50" t="s">
        <v>47</v>
      </c>
      <c r="I21" s="50" t="s">
        <v>47</v>
      </c>
      <c r="J21" s="50" t="s">
        <v>47</v>
      </c>
      <c r="K21" s="50"/>
      <c r="M21" s="50"/>
      <c r="N21" s="50"/>
      <c r="P21" s="50" t="s">
        <v>48</v>
      </c>
      <c r="Q21" s="51"/>
      <c r="R21" s="120" t="s">
        <v>48</v>
      </c>
      <c r="S21" s="50"/>
    </row>
    <row r="22" spans="1:20" ht="16.2" x14ac:dyDescent="0.35">
      <c r="A22" s="48"/>
      <c r="B22" s="119" t="s">
        <v>49</v>
      </c>
      <c r="D22" s="50" t="s">
        <v>50</v>
      </c>
      <c r="E22" s="50"/>
      <c r="F22" s="50"/>
      <c r="G22" s="50"/>
      <c r="H22" s="50" t="s">
        <v>51</v>
      </c>
      <c r="I22" s="50" t="s">
        <v>51</v>
      </c>
      <c r="J22" s="50" t="s">
        <v>51</v>
      </c>
      <c r="K22" s="50"/>
      <c r="M22" s="50"/>
      <c r="N22" s="50"/>
      <c r="P22" s="50" t="s">
        <v>52</v>
      </c>
      <c r="Q22" s="51"/>
      <c r="R22" s="120" t="s">
        <v>52</v>
      </c>
      <c r="S22" s="50"/>
    </row>
    <row r="23" spans="1:20" ht="16.2" x14ac:dyDescent="0.35">
      <c r="A23" s="48"/>
      <c r="B23" s="119" t="s">
        <v>172</v>
      </c>
      <c r="D23" s="50" t="s">
        <v>54</v>
      </c>
      <c r="E23" s="50"/>
      <c r="F23" s="50"/>
      <c r="G23" s="50"/>
      <c r="H23" s="50" t="s">
        <v>55</v>
      </c>
      <c r="I23" s="50" t="s">
        <v>55</v>
      </c>
      <c r="J23" s="50" t="s">
        <v>55</v>
      </c>
      <c r="K23" s="50"/>
      <c r="M23" s="50"/>
      <c r="N23" s="50"/>
      <c r="P23" s="50" t="s">
        <v>56</v>
      </c>
      <c r="Q23" s="51"/>
      <c r="R23" s="120" t="s">
        <v>56</v>
      </c>
      <c r="S23" s="50"/>
    </row>
    <row r="24" spans="1:20" ht="16.2" x14ac:dyDescent="0.35">
      <c r="A24" s="48"/>
      <c r="B24" s="119" t="s">
        <v>173</v>
      </c>
      <c r="D24" s="50" t="s">
        <v>58</v>
      </c>
      <c r="E24" s="50"/>
      <c r="F24" s="50"/>
      <c r="G24" s="50"/>
      <c r="H24" s="50" t="s">
        <v>59</v>
      </c>
      <c r="I24" s="50" t="s">
        <v>59</v>
      </c>
      <c r="J24" s="50" t="s">
        <v>59</v>
      </c>
      <c r="K24" s="50"/>
      <c r="M24" s="50"/>
      <c r="N24" s="50"/>
      <c r="P24" s="50" t="s">
        <v>60</v>
      </c>
      <c r="Q24" s="51"/>
      <c r="R24" s="120" t="s">
        <v>60</v>
      </c>
      <c r="S24" s="50"/>
    </row>
    <row r="25" spans="1:20" ht="14.4" x14ac:dyDescent="0.3">
      <c r="A25" s="48"/>
      <c r="B25" s="121"/>
      <c r="C25" s="48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</row>
    <row r="26" spans="1:20" x14ac:dyDescent="0.3">
      <c r="B26" s="122"/>
      <c r="C26" s="54"/>
    </row>
    <row r="27" spans="1:20" x14ac:dyDescent="0.3">
      <c r="A27" s="54"/>
      <c r="B27" s="122"/>
      <c r="C27" s="54"/>
    </row>
    <row r="28" spans="1:20" x14ac:dyDescent="0.3">
      <c r="A28" s="54"/>
      <c r="B28" s="122"/>
      <c r="C28" s="54"/>
    </row>
    <row r="29" spans="1:20" x14ac:dyDescent="0.3">
      <c r="A29" s="54"/>
      <c r="B29" s="122"/>
      <c r="C29" s="54"/>
    </row>
    <row r="30" spans="1:20" x14ac:dyDescent="0.3">
      <c r="A30" s="54"/>
      <c r="B30" s="122"/>
      <c r="C30" s="54"/>
    </row>
    <row r="31" spans="1:20" x14ac:dyDescent="0.3">
      <c r="A31" s="54"/>
      <c r="B31" s="122"/>
      <c r="C31" s="54"/>
    </row>
    <row r="32" spans="1:20" x14ac:dyDescent="0.3">
      <c r="A32" s="54"/>
      <c r="B32" s="122"/>
      <c r="C32" s="54"/>
    </row>
    <row r="33" spans="1:44" x14ac:dyDescent="0.3">
      <c r="A33" s="54"/>
      <c r="B33" s="122"/>
      <c r="C33" s="54"/>
    </row>
    <row r="34" spans="1:44" x14ac:dyDescent="0.3">
      <c r="A34" s="54"/>
      <c r="B34" s="122"/>
      <c r="C34" s="54"/>
    </row>
    <row r="35" spans="1:44" x14ac:dyDescent="0.3">
      <c r="A35" s="54"/>
      <c r="B35" s="122"/>
      <c r="C35" s="54"/>
    </row>
    <row r="36" spans="1:44" x14ac:dyDescent="0.3">
      <c r="A36" s="54"/>
      <c r="B36" s="122"/>
      <c r="C36" s="54"/>
    </row>
    <row r="37" spans="1:44" x14ac:dyDescent="0.3">
      <c r="A37" s="54"/>
      <c r="B37" s="122"/>
      <c r="C37" s="54"/>
    </row>
    <row r="38" spans="1:44" x14ac:dyDescent="0.3">
      <c r="A38" s="54"/>
      <c r="B38" s="122"/>
      <c r="C38" s="54"/>
    </row>
    <row r="39" spans="1:44" x14ac:dyDescent="0.3">
      <c r="A39" s="54"/>
      <c r="B39" s="122"/>
      <c r="C39" s="54"/>
    </row>
    <row r="40" spans="1:44" s="38" customFormat="1" x14ac:dyDescent="0.3">
      <c r="A40" s="54"/>
      <c r="B40" s="122"/>
      <c r="C40" s="54"/>
      <c r="D40" s="37"/>
      <c r="Q40" s="5"/>
      <c r="R40" s="5"/>
      <c r="S40" s="5"/>
      <c r="T40" s="5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</row>
    <row r="41" spans="1:44" s="38" customFormat="1" x14ac:dyDescent="0.3">
      <c r="A41" s="54"/>
      <c r="B41" s="122"/>
      <c r="C41" s="54"/>
      <c r="D41" s="37"/>
      <c r="Q41" s="5"/>
      <c r="R41" s="5"/>
      <c r="S41" s="5"/>
      <c r="T41" s="5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</row>
    <row r="42" spans="1:44" s="38" customFormat="1" x14ac:dyDescent="0.3">
      <c r="A42" s="54"/>
      <c r="B42" s="122"/>
      <c r="C42" s="54"/>
      <c r="D42" s="37"/>
      <c r="F42" s="38" t="s">
        <v>44</v>
      </c>
      <c r="Q42" s="5"/>
      <c r="R42" s="5"/>
      <c r="S42" s="5"/>
      <c r="T42" s="5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</row>
    <row r="43" spans="1:44" s="38" customFormat="1" x14ac:dyDescent="0.3">
      <c r="A43" s="54"/>
      <c r="B43" s="122"/>
      <c r="C43" s="54"/>
      <c r="D43" s="37"/>
      <c r="Q43" s="5"/>
      <c r="R43" s="5"/>
      <c r="S43" s="5"/>
      <c r="T43" s="5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</row>
    <row r="44" spans="1:44" s="38" customFormat="1" x14ac:dyDescent="0.3">
      <c r="A44" s="54"/>
      <c r="B44" s="122"/>
      <c r="C44" s="54"/>
      <c r="D44" s="37"/>
      <c r="Q44" s="5"/>
      <c r="R44" s="5"/>
      <c r="S44" s="5"/>
      <c r="T44" s="5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</row>
    <row r="45" spans="1:44" s="38" customFormat="1" x14ac:dyDescent="0.3">
      <c r="A45" s="54"/>
      <c r="B45" s="122"/>
      <c r="C45" s="54"/>
      <c r="D45" s="37"/>
      <c r="Q45" s="5"/>
      <c r="R45" s="5"/>
      <c r="S45" s="5"/>
      <c r="T45" s="5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</row>
    <row r="46" spans="1:44" s="38" customFormat="1" x14ac:dyDescent="0.3">
      <c r="A46" s="54"/>
      <c r="B46" s="122"/>
      <c r="C46" s="54"/>
      <c r="D46" s="37"/>
      <c r="Q46" s="5"/>
      <c r="R46" s="5"/>
      <c r="S46" s="5"/>
      <c r="T46" s="5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</row>
    <row r="47" spans="1:44" s="38" customFormat="1" x14ac:dyDescent="0.3">
      <c r="A47" s="54"/>
      <c r="B47" s="122"/>
      <c r="C47" s="54"/>
      <c r="D47" s="37"/>
      <c r="Q47" s="5"/>
      <c r="R47" s="5"/>
      <c r="S47" s="5"/>
      <c r="T47" s="5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</row>
    <row r="48" spans="1:44" s="38" customFormat="1" x14ac:dyDescent="0.3">
      <c r="A48" s="54"/>
      <c r="B48" s="122"/>
      <c r="C48" s="54"/>
      <c r="D48" s="37"/>
      <c r="Q48" s="5"/>
      <c r="R48" s="5"/>
      <c r="S48" s="5"/>
      <c r="T48" s="5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</row>
    <row r="49" spans="1:44" s="38" customFormat="1" x14ac:dyDescent="0.3">
      <c r="A49" s="54"/>
      <c r="B49" s="122"/>
      <c r="C49" s="54"/>
      <c r="D49" s="37"/>
      <c r="Q49" s="5"/>
      <c r="R49" s="5"/>
      <c r="S49" s="5"/>
      <c r="T49" s="5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</row>
    <row r="50" spans="1:44" s="38" customFormat="1" x14ac:dyDescent="0.3">
      <c r="A50" s="54"/>
      <c r="B50" s="122"/>
      <c r="C50" s="54"/>
      <c r="D50" s="37"/>
      <c r="Q50" s="5"/>
      <c r="R50" s="5"/>
      <c r="S50" s="5"/>
      <c r="T50" s="5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</row>
    <row r="51" spans="1:44" s="38" customFormat="1" x14ac:dyDescent="0.3">
      <c r="A51" s="54"/>
      <c r="B51" s="122"/>
      <c r="C51" s="54"/>
      <c r="D51" s="37"/>
      <c r="Q51" s="5"/>
      <c r="R51" s="5"/>
      <c r="S51" s="5"/>
      <c r="T51" s="5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</row>
    <row r="52" spans="1:44" s="38" customFormat="1" x14ac:dyDescent="0.3">
      <c r="A52" s="54"/>
      <c r="B52" s="122"/>
      <c r="C52" s="54"/>
      <c r="D52" s="37"/>
      <c r="Q52" s="5"/>
      <c r="R52" s="5"/>
      <c r="S52" s="5"/>
      <c r="T52" s="5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</row>
    <row r="53" spans="1:44" s="38" customFormat="1" x14ac:dyDescent="0.3">
      <c r="A53" s="54"/>
      <c r="B53" s="122"/>
      <c r="C53" s="54"/>
      <c r="D53" s="37"/>
      <c r="Q53" s="5"/>
      <c r="R53" s="5"/>
      <c r="S53" s="5"/>
      <c r="T53" s="5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</row>
    <row r="54" spans="1:44" s="38" customFormat="1" x14ac:dyDescent="0.3">
      <c r="A54" s="54"/>
      <c r="B54" s="122"/>
      <c r="C54" s="54"/>
      <c r="D54" s="37"/>
      <c r="Q54" s="5"/>
      <c r="R54" s="5"/>
      <c r="S54" s="5"/>
      <c r="T54" s="5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</row>
  </sheetData>
  <mergeCells count="9">
    <mergeCell ref="N16:P16"/>
    <mergeCell ref="A17:C17"/>
    <mergeCell ref="D17:E17"/>
    <mergeCell ref="H3:P3"/>
    <mergeCell ref="A4:A5"/>
    <mergeCell ref="B4:B5"/>
    <mergeCell ref="C4:C5"/>
    <mergeCell ref="D4:D5"/>
    <mergeCell ref="E4:T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E856-01D1-4258-B269-DCE65E52113C}">
  <dimension ref="A1:AR59"/>
  <sheetViews>
    <sheetView workbookViewId="0">
      <selection activeCell="B17" sqref="B17"/>
    </sheetView>
  </sheetViews>
  <sheetFormatPr defaultRowHeight="15.6" x14ac:dyDescent="0.3"/>
  <cols>
    <col min="1" max="1" width="10.44140625" style="37" customWidth="1"/>
    <col min="2" max="2" width="44.5546875" style="124" customWidth="1"/>
    <col min="3" max="3" width="8.88671875" style="37" customWidth="1"/>
    <col min="4" max="4" width="10.5546875" style="37" customWidth="1"/>
    <col min="5" max="5" width="15" style="38" customWidth="1"/>
    <col min="6" max="6" width="9.5546875" style="38" customWidth="1"/>
    <col min="7" max="7" width="9.6640625" style="38" hidden="1" customWidth="1"/>
    <col min="8" max="8" width="12.88671875" style="38" hidden="1" customWidth="1"/>
    <col min="9" max="9" width="11.33203125" style="38" hidden="1" customWidth="1"/>
    <col min="10" max="10" width="10.5546875" style="38" customWidth="1"/>
    <col min="11" max="11" width="8" style="38" hidden="1" customWidth="1"/>
    <col min="12" max="12" width="10.5546875" style="38" customWidth="1"/>
    <col min="13" max="13" width="13.33203125" style="38" customWidth="1"/>
    <col min="14" max="14" width="9.44140625" style="38" hidden="1" customWidth="1"/>
    <col min="15" max="15" width="9.109375" style="38" hidden="1" customWidth="1"/>
    <col min="16" max="16" width="13" style="38" hidden="1" customWidth="1"/>
    <col min="17" max="17" width="10.88671875" style="5" hidden="1" customWidth="1"/>
    <col min="18" max="18" width="14.109375" style="5" customWidth="1"/>
    <col min="19" max="19" width="8.5546875" style="5" hidden="1" customWidth="1"/>
    <col min="20" max="20" width="10.5546875" style="5" hidden="1" customWidth="1"/>
  </cols>
  <sheetData>
    <row r="1" spans="1:20" ht="29.4" x14ac:dyDescent="0.45">
      <c r="A1" s="1" t="s">
        <v>0</v>
      </c>
      <c r="B1" s="97"/>
      <c r="C1" s="2"/>
      <c r="D1" s="3"/>
      <c r="E1" s="3"/>
      <c r="F1" s="3"/>
      <c r="G1" s="3"/>
      <c r="H1" s="3"/>
      <c r="I1" s="3" t="s">
        <v>1</v>
      </c>
      <c r="K1" s="4"/>
      <c r="L1" s="4"/>
      <c r="M1" s="4"/>
      <c r="N1" s="4"/>
      <c r="O1" s="4"/>
      <c r="P1" s="4"/>
    </row>
    <row r="2" spans="1:20" ht="29.4" x14ac:dyDescent="0.45">
      <c r="A2" s="1" t="s">
        <v>2</v>
      </c>
      <c r="B2" s="98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0" ht="20.399999999999999" x14ac:dyDescent="0.3">
      <c r="A3" s="6"/>
      <c r="B3" s="98"/>
      <c r="C3" s="6"/>
      <c r="D3" s="7"/>
      <c r="E3" s="7"/>
      <c r="F3" s="7"/>
      <c r="G3" s="7"/>
      <c r="H3" s="198"/>
      <c r="I3" s="198" t="s">
        <v>62</v>
      </c>
      <c r="J3" s="198"/>
      <c r="K3" s="198"/>
      <c r="L3" s="198"/>
      <c r="M3" s="198"/>
      <c r="N3" s="198"/>
      <c r="O3" s="198"/>
      <c r="P3" s="198"/>
    </row>
    <row r="4" spans="1:20" ht="15" customHeight="1" x14ac:dyDescent="0.3">
      <c r="A4" s="199" t="s">
        <v>4</v>
      </c>
      <c r="B4" s="200" t="s">
        <v>5</v>
      </c>
      <c r="C4" s="200" t="s">
        <v>6</v>
      </c>
      <c r="D4" s="200" t="s">
        <v>7</v>
      </c>
      <c r="E4" s="200" t="s">
        <v>149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</row>
    <row r="5" spans="1:20" ht="48.75" customHeight="1" x14ac:dyDescent="0.3">
      <c r="A5" s="199"/>
      <c r="B5" s="200"/>
      <c r="C5" s="200"/>
      <c r="D5" s="200"/>
      <c r="E5" s="9" t="s">
        <v>8</v>
      </c>
      <c r="F5" s="9" t="s">
        <v>10</v>
      </c>
      <c r="G5" s="9" t="s">
        <v>9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86</v>
      </c>
      <c r="O5" s="9" t="s">
        <v>143</v>
      </c>
      <c r="P5" s="9" t="s">
        <v>19</v>
      </c>
      <c r="Q5" s="9" t="s">
        <v>12</v>
      </c>
      <c r="R5" s="9" t="s">
        <v>129</v>
      </c>
      <c r="S5" s="9" t="s">
        <v>65</v>
      </c>
      <c r="T5" s="9" t="s">
        <v>63</v>
      </c>
    </row>
    <row r="6" spans="1:20" x14ac:dyDescent="0.3">
      <c r="A6" s="21"/>
      <c r="B6" s="82"/>
      <c r="C6" s="79"/>
      <c r="D6" s="13"/>
      <c r="E6" s="2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</row>
    <row r="7" spans="1:20" x14ac:dyDescent="0.3">
      <c r="A7" s="21">
        <v>45462</v>
      </c>
      <c r="B7" s="82" t="s">
        <v>77</v>
      </c>
      <c r="C7" s="79">
        <v>19241</v>
      </c>
      <c r="D7" s="13"/>
      <c r="E7" s="29">
        <v>1920</v>
      </c>
      <c r="F7" s="99"/>
      <c r="G7" s="99"/>
      <c r="H7" s="99"/>
      <c r="I7" s="99"/>
      <c r="J7" s="99">
        <f>E7</f>
        <v>1920</v>
      </c>
      <c r="K7" s="99"/>
      <c r="L7" s="99"/>
      <c r="M7" s="99"/>
      <c r="N7" s="99"/>
      <c r="O7" s="99"/>
      <c r="P7" s="99"/>
      <c r="Q7" s="99"/>
      <c r="R7" s="99"/>
      <c r="S7" s="99"/>
      <c r="T7" s="99"/>
    </row>
    <row r="8" spans="1:20" x14ac:dyDescent="0.3">
      <c r="A8" s="21">
        <v>45463</v>
      </c>
      <c r="B8" s="82" t="s">
        <v>71</v>
      </c>
      <c r="C8" s="79">
        <v>19242</v>
      </c>
      <c r="D8" s="13"/>
      <c r="E8" s="29">
        <v>2000</v>
      </c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>
        <f>E8</f>
        <v>2000</v>
      </c>
      <c r="S8" s="99"/>
      <c r="T8" s="99"/>
    </row>
    <row r="9" spans="1:20" x14ac:dyDescent="0.3">
      <c r="A9" s="21">
        <v>45465</v>
      </c>
      <c r="B9" s="82" t="s">
        <v>174</v>
      </c>
      <c r="C9" s="79">
        <v>19243</v>
      </c>
      <c r="D9" s="13"/>
      <c r="E9" s="29">
        <v>1100</v>
      </c>
      <c r="F9" s="99"/>
      <c r="G9" s="99"/>
      <c r="H9" s="99"/>
      <c r="I9" s="99"/>
      <c r="J9" s="99"/>
      <c r="K9" s="99"/>
      <c r="L9" s="99">
        <f>E9</f>
        <v>1100</v>
      </c>
      <c r="M9" s="99"/>
      <c r="N9" s="99"/>
      <c r="O9" s="99"/>
      <c r="P9" s="99"/>
      <c r="Q9" s="99"/>
      <c r="R9" s="99"/>
      <c r="S9" s="99"/>
      <c r="T9" s="99"/>
    </row>
    <row r="10" spans="1:20" x14ac:dyDescent="0.3">
      <c r="A10" s="21">
        <v>45469</v>
      </c>
      <c r="B10" s="82" t="s">
        <v>77</v>
      </c>
      <c r="C10" s="79">
        <v>19244</v>
      </c>
      <c r="D10" s="13"/>
      <c r="E10" s="29">
        <v>1920</v>
      </c>
      <c r="F10" s="99"/>
      <c r="G10" s="99"/>
      <c r="H10" s="99"/>
      <c r="I10" s="99"/>
      <c r="J10" s="99">
        <f>E10</f>
        <v>1920</v>
      </c>
      <c r="K10" s="99"/>
      <c r="L10" s="99"/>
      <c r="M10" s="99"/>
      <c r="N10" s="99"/>
      <c r="O10" s="99"/>
      <c r="P10" s="99"/>
      <c r="Q10" s="99"/>
      <c r="R10" s="99"/>
      <c r="S10" s="99"/>
      <c r="T10" s="99"/>
    </row>
    <row r="11" spans="1:20" x14ac:dyDescent="0.3">
      <c r="A11" s="21">
        <v>45469</v>
      </c>
      <c r="B11" s="82" t="s">
        <v>175</v>
      </c>
      <c r="C11" s="79">
        <v>19245</v>
      </c>
      <c r="D11" s="13"/>
      <c r="E11" s="29">
        <v>400</v>
      </c>
      <c r="F11" s="99">
        <f>E11</f>
        <v>400</v>
      </c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</row>
    <row r="12" spans="1:20" x14ac:dyDescent="0.3">
      <c r="A12" s="21">
        <v>45471</v>
      </c>
      <c r="B12" s="82" t="s">
        <v>71</v>
      </c>
      <c r="C12" s="79">
        <v>19246</v>
      </c>
      <c r="D12" s="13"/>
      <c r="E12" s="29">
        <v>2500</v>
      </c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>
        <f>E12</f>
        <v>2500</v>
      </c>
      <c r="S12" s="99"/>
      <c r="T12" s="99"/>
    </row>
    <row r="13" spans="1:20" x14ac:dyDescent="0.3">
      <c r="A13" s="21">
        <v>45471</v>
      </c>
      <c r="B13" s="82" t="s">
        <v>176</v>
      </c>
      <c r="C13" s="79">
        <v>19247</v>
      </c>
      <c r="D13" s="13"/>
      <c r="E13" s="29">
        <v>710</v>
      </c>
      <c r="F13" s="99"/>
      <c r="G13" s="99"/>
      <c r="H13" s="99"/>
      <c r="I13" s="99"/>
      <c r="J13" s="99"/>
      <c r="K13" s="99"/>
      <c r="L13" s="99">
        <f>E13</f>
        <v>710</v>
      </c>
      <c r="M13" s="99"/>
      <c r="N13" s="99"/>
      <c r="O13" s="99"/>
      <c r="P13" s="99"/>
      <c r="Q13" s="99"/>
      <c r="R13" s="99"/>
      <c r="S13" s="99"/>
      <c r="T13" s="99"/>
    </row>
    <row r="14" spans="1:20" x14ac:dyDescent="0.3">
      <c r="A14" s="21">
        <v>45474</v>
      </c>
      <c r="B14" s="82" t="s">
        <v>77</v>
      </c>
      <c r="C14" s="79">
        <v>19248</v>
      </c>
      <c r="D14" s="13"/>
      <c r="E14" s="29">
        <v>2400</v>
      </c>
      <c r="F14" s="99"/>
      <c r="G14" s="99"/>
      <c r="H14" s="99"/>
      <c r="I14" s="99"/>
      <c r="J14" s="99">
        <f>E14</f>
        <v>2400</v>
      </c>
      <c r="K14" s="99"/>
      <c r="L14" s="99"/>
      <c r="M14" s="99"/>
      <c r="N14" s="99"/>
      <c r="O14" s="99"/>
      <c r="P14" s="99"/>
      <c r="Q14" s="99"/>
      <c r="R14" s="99"/>
      <c r="S14" s="99"/>
      <c r="T14" s="99"/>
    </row>
    <row r="15" spans="1:20" x14ac:dyDescent="0.3">
      <c r="A15" s="21">
        <v>45474</v>
      </c>
      <c r="B15" s="82" t="s">
        <v>175</v>
      </c>
      <c r="C15" s="79">
        <v>19249</v>
      </c>
      <c r="D15" s="13"/>
      <c r="E15" s="29">
        <v>3560</v>
      </c>
      <c r="F15" s="99">
        <f>E15</f>
        <v>3560</v>
      </c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</row>
    <row r="16" spans="1:20" x14ac:dyDescent="0.3">
      <c r="A16" s="21">
        <v>45474</v>
      </c>
      <c r="B16" s="82" t="s">
        <v>101</v>
      </c>
      <c r="C16" s="79">
        <v>19250</v>
      </c>
      <c r="D16" s="13"/>
      <c r="E16" s="29">
        <v>270</v>
      </c>
      <c r="F16" s="99"/>
      <c r="G16" s="99"/>
      <c r="H16" s="99"/>
      <c r="I16" s="99"/>
      <c r="J16" s="99"/>
      <c r="K16" s="99"/>
      <c r="L16" s="99"/>
      <c r="M16" s="99">
        <f>E16</f>
        <v>270</v>
      </c>
      <c r="N16" s="99"/>
      <c r="O16" s="99"/>
      <c r="P16" s="99"/>
      <c r="Q16" s="99"/>
      <c r="R16" s="99"/>
      <c r="S16" s="99"/>
      <c r="T16" s="99"/>
    </row>
    <row r="17" spans="1:44" x14ac:dyDescent="0.3">
      <c r="A17" s="21">
        <v>45477</v>
      </c>
      <c r="B17" s="82" t="s">
        <v>174</v>
      </c>
      <c r="C17" s="79">
        <v>19451</v>
      </c>
      <c r="D17" s="13"/>
      <c r="E17" s="29">
        <v>800</v>
      </c>
      <c r="F17" s="99"/>
      <c r="G17" s="99"/>
      <c r="H17" s="99"/>
      <c r="I17" s="99"/>
      <c r="J17" s="99"/>
      <c r="K17" s="99"/>
      <c r="L17" s="99">
        <f>E17</f>
        <v>800</v>
      </c>
      <c r="M17" s="99"/>
      <c r="N17" s="99"/>
      <c r="O17" s="99"/>
      <c r="P17" s="99"/>
      <c r="Q17" s="99"/>
      <c r="R17" s="99"/>
      <c r="S17" s="99"/>
      <c r="T17" s="99"/>
    </row>
    <row r="18" spans="1:44" x14ac:dyDescent="0.3">
      <c r="A18" s="21">
        <v>45477</v>
      </c>
      <c r="B18" s="82" t="s">
        <v>71</v>
      </c>
      <c r="C18" s="79">
        <v>19452</v>
      </c>
      <c r="D18" s="13"/>
      <c r="E18" s="29">
        <v>2500</v>
      </c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>
        <f>E18</f>
        <v>2500</v>
      </c>
      <c r="S18" s="99"/>
      <c r="T18" s="99"/>
    </row>
    <row r="19" spans="1:44" s="107" customFormat="1" ht="16.2" thickBot="1" x14ac:dyDescent="0.35">
      <c r="A19" s="21"/>
      <c r="B19" s="100"/>
      <c r="C19" s="23"/>
      <c r="D19" s="87">
        <v>60000</v>
      </c>
      <c r="E19" s="106">
        <f t="shared" ref="E19:T19" si="0">SUM(E6:E18)</f>
        <v>20080</v>
      </c>
      <c r="F19" s="106">
        <f t="shared" si="0"/>
        <v>3960</v>
      </c>
      <c r="G19" s="106">
        <f t="shared" si="0"/>
        <v>0</v>
      </c>
      <c r="H19" s="106">
        <f t="shared" si="0"/>
        <v>0</v>
      </c>
      <c r="I19" s="106">
        <f t="shared" si="0"/>
        <v>0</v>
      </c>
      <c r="J19" s="106">
        <f t="shared" si="0"/>
        <v>6240</v>
      </c>
      <c r="K19" s="106">
        <f t="shared" si="0"/>
        <v>0</v>
      </c>
      <c r="L19" s="106">
        <f t="shared" si="0"/>
        <v>2610</v>
      </c>
      <c r="M19" s="106">
        <f t="shared" si="0"/>
        <v>270</v>
      </c>
      <c r="N19" s="106">
        <f t="shared" si="0"/>
        <v>0</v>
      </c>
      <c r="O19" s="106">
        <f t="shared" si="0"/>
        <v>0</v>
      </c>
      <c r="P19" s="106">
        <f t="shared" si="0"/>
        <v>0</v>
      </c>
      <c r="Q19" s="106">
        <f t="shared" si="0"/>
        <v>0</v>
      </c>
      <c r="R19" s="106">
        <f t="shared" si="0"/>
        <v>7000</v>
      </c>
      <c r="S19" s="106">
        <f t="shared" si="0"/>
        <v>0</v>
      </c>
      <c r="T19" s="106">
        <f t="shared" si="0"/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ht="16.2" thickTop="1" x14ac:dyDescent="0.3">
      <c r="A20" s="44" t="s">
        <v>43</v>
      </c>
      <c r="B20" s="108"/>
      <c r="C20" s="109"/>
      <c r="D20" s="110">
        <f>SUM(D19-E19)</f>
        <v>39920</v>
      </c>
      <c r="E20" s="111"/>
      <c r="F20" s="112"/>
      <c r="G20" s="112"/>
      <c r="H20" s="113"/>
      <c r="I20" s="113"/>
      <c r="J20" s="113"/>
      <c r="K20" s="113"/>
      <c r="L20" s="113"/>
      <c r="M20" s="113"/>
      <c r="N20" s="113"/>
      <c r="O20" s="113"/>
      <c r="P20" s="114"/>
      <c r="Q20" s="115"/>
      <c r="R20" s="115"/>
      <c r="S20" s="115"/>
      <c r="T20" s="115"/>
    </row>
    <row r="21" spans="1:44" ht="16.2" thickBot="1" x14ac:dyDescent="0.35">
      <c r="B21" s="116"/>
      <c r="C21" s="35"/>
      <c r="D21" s="36"/>
      <c r="N21" s="201"/>
      <c r="O21" s="201"/>
      <c r="P21" s="201"/>
    </row>
    <row r="22" spans="1:44" ht="29.4" thickBot="1" x14ac:dyDescent="0.6">
      <c r="A22" s="195" t="s">
        <v>45</v>
      </c>
      <c r="B22" s="195"/>
      <c r="C22" s="203"/>
      <c r="D22" s="196">
        <f>E19</f>
        <v>20080</v>
      </c>
      <c r="E22" s="197"/>
      <c r="F22" s="42"/>
      <c r="G22" s="42"/>
      <c r="H22" s="43"/>
      <c r="I22" s="43"/>
      <c r="J22" s="43"/>
      <c r="K22" s="43"/>
      <c r="L22" s="43"/>
      <c r="M22" s="43"/>
    </row>
    <row r="23" spans="1:44" x14ac:dyDescent="0.3">
      <c r="A23" s="44"/>
      <c r="B23" s="117"/>
      <c r="C23" s="45"/>
      <c r="D23" s="45"/>
      <c r="E23" s="46" t="s">
        <v>44</v>
      </c>
      <c r="F23" s="46"/>
      <c r="G23" s="46"/>
      <c r="H23" s="46"/>
      <c r="I23" s="46"/>
      <c r="J23" s="46"/>
      <c r="K23" s="46"/>
      <c r="L23" s="46"/>
      <c r="M23" s="46"/>
      <c r="N23" s="47"/>
      <c r="O23" s="5"/>
      <c r="P23" s="5"/>
    </row>
    <row r="24" spans="1:44" x14ac:dyDescent="0.3">
      <c r="A24" s="44"/>
      <c r="B24" s="117"/>
      <c r="C24" s="45"/>
      <c r="D24" s="45"/>
      <c r="E24" s="46"/>
      <c r="F24" s="46"/>
      <c r="G24" s="46"/>
      <c r="H24" s="46"/>
      <c r="I24" s="46"/>
      <c r="J24" s="46"/>
      <c r="K24" s="46"/>
      <c r="L24" s="46"/>
      <c r="M24" s="46"/>
      <c r="N24" s="47"/>
      <c r="O24" s="5"/>
      <c r="P24" s="5"/>
    </row>
    <row r="25" spans="1:44" ht="16.2" x14ac:dyDescent="0.35">
      <c r="A25" s="48"/>
      <c r="B25" s="118"/>
      <c r="D25" s="50"/>
      <c r="E25" s="50"/>
      <c r="F25" s="50"/>
      <c r="G25" s="50"/>
      <c r="H25" s="50"/>
      <c r="J25" s="50"/>
      <c r="L25" s="51"/>
      <c r="M25" s="50"/>
      <c r="N25" s="52"/>
      <c r="O25" s="50"/>
      <c r="Q25" s="51"/>
      <c r="R25" s="50"/>
      <c r="S25" s="50"/>
      <c r="T25" s="50"/>
    </row>
    <row r="26" spans="1:44" ht="16.2" x14ac:dyDescent="0.35">
      <c r="A26" s="48"/>
      <c r="B26" s="119" t="s">
        <v>46</v>
      </c>
      <c r="D26" s="50" t="s">
        <v>47</v>
      </c>
      <c r="E26" s="50"/>
      <c r="F26" s="50"/>
      <c r="G26" s="50"/>
      <c r="H26" s="50" t="s">
        <v>47</v>
      </c>
      <c r="I26" s="50" t="s">
        <v>47</v>
      </c>
      <c r="J26" s="50" t="s">
        <v>47</v>
      </c>
      <c r="K26" s="50"/>
      <c r="M26" s="50"/>
      <c r="N26" s="50"/>
      <c r="P26" s="50" t="s">
        <v>48</v>
      </c>
      <c r="Q26" s="51"/>
      <c r="R26" s="120" t="s">
        <v>48</v>
      </c>
      <c r="S26" s="50"/>
    </row>
    <row r="27" spans="1:44" ht="16.2" x14ac:dyDescent="0.35">
      <c r="A27" s="48"/>
      <c r="B27" s="119" t="s">
        <v>49</v>
      </c>
      <c r="D27" s="50" t="s">
        <v>50</v>
      </c>
      <c r="E27" s="50"/>
      <c r="F27" s="50"/>
      <c r="G27" s="50"/>
      <c r="H27" s="50" t="s">
        <v>51</v>
      </c>
      <c r="I27" s="50" t="s">
        <v>51</v>
      </c>
      <c r="J27" s="50" t="s">
        <v>51</v>
      </c>
      <c r="K27" s="50"/>
      <c r="M27" s="50"/>
      <c r="N27" s="50"/>
      <c r="P27" s="50" t="s">
        <v>52</v>
      </c>
      <c r="Q27" s="51"/>
      <c r="R27" s="120" t="s">
        <v>52</v>
      </c>
      <c r="S27" s="50"/>
    </row>
    <row r="28" spans="1:44" ht="16.2" x14ac:dyDescent="0.35">
      <c r="A28" s="48"/>
      <c r="B28" s="119" t="s">
        <v>172</v>
      </c>
      <c r="D28" s="50" t="s">
        <v>54</v>
      </c>
      <c r="E28" s="50"/>
      <c r="F28" s="50"/>
      <c r="G28" s="50"/>
      <c r="H28" s="50" t="s">
        <v>55</v>
      </c>
      <c r="I28" s="50" t="s">
        <v>55</v>
      </c>
      <c r="J28" s="50" t="s">
        <v>55</v>
      </c>
      <c r="K28" s="50"/>
      <c r="M28" s="50"/>
      <c r="N28" s="50"/>
      <c r="P28" s="50" t="s">
        <v>56</v>
      </c>
      <c r="Q28" s="51"/>
      <c r="R28" s="120" t="s">
        <v>56</v>
      </c>
      <c r="S28" s="50"/>
    </row>
    <row r="29" spans="1:44" ht="16.2" x14ac:dyDescent="0.35">
      <c r="A29" s="48"/>
      <c r="B29" s="119" t="s">
        <v>173</v>
      </c>
      <c r="D29" s="50" t="s">
        <v>58</v>
      </c>
      <c r="E29" s="50"/>
      <c r="F29" s="50"/>
      <c r="G29" s="50"/>
      <c r="H29" s="50" t="s">
        <v>59</v>
      </c>
      <c r="I29" s="50" t="s">
        <v>59</v>
      </c>
      <c r="J29" s="50" t="s">
        <v>59</v>
      </c>
      <c r="K29" s="50"/>
      <c r="M29" s="50"/>
      <c r="N29" s="50"/>
      <c r="P29" s="50" t="s">
        <v>60</v>
      </c>
      <c r="Q29" s="51"/>
      <c r="R29" s="120" t="s">
        <v>60</v>
      </c>
      <c r="S29" s="50"/>
    </row>
    <row r="30" spans="1:44" ht="14.4" x14ac:dyDescent="0.3">
      <c r="A30" s="48"/>
      <c r="B30" s="121"/>
      <c r="C30" s="48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</row>
    <row r="31" spans="1:44" x14ac:dyDescent="0.3">
      <c r="B31" s="122"/>
      <c r="C31" s="54"/>
    </row>
    <row r="32" spans="1:44" x14ac:dyDescent="0.3">
      <c r="A32" s="54"/>
      <c r="B32" s="122"/>
      <c r="C32" s="54"/>
    </row>
    <row r="33" spans="1:44" x14ac:dyDescent="0.3">
      <c r="A33" s="54"/>
      <c r="B33" s="122"/>
      <c r="C33" s="54"/>
    </row>
    <row r="34" spans="1:44" x14ac:dyDescent="0.3">
      <c r="A34" s="54"/>
      <c r="B34" s="122"/>
      <c r="C34" s="54"/>
    </row>
    <row r="35" spans="1:44" x14ac:dyDescent="0.3">
      <c r="A35" s="54"/>
      <c r="B35" s="122"/>
      <c r="C35" s="54"/>
    </row>
    <row r="36" spans="1:44" x14ac:dyDescent="0.3">
      <c r="A36" s="54"/>
      <c r="B36" s="122"/>
      <c r="C36" s="54"/>
    </row>
    <row r="37" spans="1:44" x14ac:dyDescent="0.3">
      <c r="A37" s="54"/>
      <c r="B37" s="122"/>
      <c r="C37" s="54"/>
    </row>
    <row r="38" spans="1:44" x14ac:dyDescent="0.3">
      <c r="A38" s="54"/>
      <c r="B38" s="122"/>
      <c r="C38" s="54"/>
    </row>
    <row r="39" spans="1:44" x14ac:dyDescent="0.3">
      <c r="A39" s="54"/>
      <c r="B39" s="122"/>
      <c r="C39" s="54"/>
    </row>
    <row r="40" spans="1:44" x14ac:dyDescent="0.3">
      <c r="A40" s="54"/>
      <c r="B40" s="122"/>
      <c r="C40" s="54"/>
    </row>
    <row r="41" spans="1:44" x14ac:dyDescent="0.3">
      <c r="A41" s="54"/>
      <c r="B41" s="122"/>
      <c r="C41" s="54"/>
    </row>
    <row r="42" spans="1:44" x14ac:dyDescent="0.3">
      <c r="A42" s="54"/>
      <c r="B42" s="122"/>
      <c r="C42" s="54"/>
    </row>
    <row r="43" spans="1:44" x14ac:dyDescent="0.3">
      <c r="A43" s="54"/>
      <c r="B43" s="122"/>
      <c r="C43" s="54"/>
    </row>
    <row r="44" spans="1:44" x14ac:dyDescent="0.3">
      <c r="A44" s="54"/>
      <c r="B44" s="122"/>
      <c r="C44" s="54"/>
    </row>
    <row r="45" spans="1:44" s="38" customFormat="1" x14ac:dyDescent="0.3">
      <c r="A45" s="54"/>
      <c r="B45" s="122"/>
      <c r="C45" s="54"/>
      <c r="D45" s="37"/>
      <c r="Q45" s="5"/>
      <c r="R45" s="5"/>
      <c r="S45" s="5"/>
      <c r="T45" s="5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</row>
    <row r="46" spans="1:44" s="38" customFormat="1" x14ac:dyDescent="0.3">
      <c r="A46" s="54"/>
      <c r="B46" s="122"/>
      <c r="C46" s="54"/>
      <c r="D46" s="37"/>
      <c r="Q46" s="5"/>
      <c r="R46" s="5"/>
      <c r="S46" s="5"/>
      <c r="T46" s="5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</row>
    <row r="47" spans="1:44" s="38" customFormat="1" x14ac:dyDescent="0.3">
      <c r="A47" s="54"/>
      <c r="B47" s="122"/>
      <c r="C47" s="54"/>
      <c r="D47" s="37"/>
      <c r="F47" s="38" t="s">
        <v>44</v>
      </c>
      <c r="Q47" s="5"/>
      <c r="R47" s="5"/>
      <c r="S47" s="5"/>
      <c r="T47" s="5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</row>
    <row r="48" spans="1:44" s="38" customFormat="1" x14ac:dyDescent="0.3">
      <c r="A48" s="54"/>
      <c r="B48" s="122"/>
      <c r="C48" s="54"/>
      <c r="D48" s="37"/>
      <c r="Q48" s="5"/>
      <c r="R48" s="5"/>
      <c r="S48" s="5"/>
      <c r="T48" s="5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</row>
    <row r="49" spans="1:44" s="38" customFormat="1" x14ac:dyDescent="0.3">
      <c r="A49" s="54"/>
      <c r="B49" s="122"/>
      <c r="C49" s="54"/>
      <c r="D49" s="37"/>
      <c r="Q49" s="5"/>
      <c r="R49" s="5"/>
      <c r="S49" s="5"/>
      <c r="T49" s="5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</row>
    <row r="50" spans="1:44" s="38" customFormat="1" x14ac:dyDescent="0.3">
      <c r="A50" s="54"/>
      <c r="B50" s="122"/>
      <c r="C50" s="54"/>
      <c r="D50" s="37"/>
      <c r="Q50" s="5"/>
      <c r="R50" s="5"/>
      <c r="S50" s="5"/>
      <c r="T50" s="5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</row>
    <row r="51" spans="1:44" s="38" customFormat="1" x14ac:dyDescent="0.3">
      <c r="A51" s="54"/>
      <c r="B51" s="122"/>
      <c r="C51" s="54"/>
      <c r="D51" s="37"/>
      <c r="Q51" s="5"/>
      <c r="R51" s="5"/>
      <c r="S51" s="5"/>
      <c r="T51" s="5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</row>
    <row r="52" spans="1:44" s="38" customFormat="1" x14ac:dyDescent="0.3">
      <c r="A52" s="54"/>
      <c r="B52" s="122"/>
      <c r="C52" s="54"/>
      <c r="D52" s="37"/>
      <c r="Q52" s="5"/>
      <c r="R52" s="5"/>
      <c r="S52" s="5"/>
      <c r="T52" s="5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</row>
    <row r="53" spans="1:44" s="38" customFormat="1" x14ac:dyDescent="0.3">
      <c r="A53" s="54"/>
      <c r="B53" s="122"/>
      <c r="C53" s="54"/>
      <c r="D53" s="37"/>
      <c r="Q53" s="5"/>
      <c r="R53" s="5"/>
      <c r="S53" s="5"/>
      <c r="T53" s="5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</row>
    <row r="54" spans="1:44" s="38" customFormat="1" x14ac:dyDescent="0.3">
      <c r="A54" s="54"/>
      <c r="B54" s="122"/>
      <c r="C54" s="54"/>
      <c r="D54" s="37"/>
      <c r="Q54" s="5"/>
      <c r="R54" s="5"/>
      <c r="S54" s="5"/>
      <c r="T54" s="5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</row>
    <row r="55" spans="1:44" s="38" customFormat="1" x14ac:dyDescent="0.3">
      <c r="A55" s="54"/>
      <c r="B55" s="122"/>
      <c r="C55" s="54"/>
      <c r="D55" s="37"/>
      <c r="Q55" s="5"/>
      <c r="R55" s="5"/>
      <c r="S55" s="5"/>
      <c r="T55" s="5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</row>
    <row r="56" spans="1:44" s="38" customFormat="1" x14ac:dyDescent="0.3">
      <c r="A56" s="54"/>
      <c r="B56" s="122"/>
      <c r="C56" s="54"/>
      <c r="D56" s="37"/>
      <c r="Q56" s="5"/>
      <c r="R56" s="5"/>
      <c r="S56" s="5"/>
      <c r="T56" s="5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</row>
    <row r="57" spans="1:44" s="38" customFormat="1" x14ac:dyDescent="0.3">
      <c r="A57" s="54"/>
      <c r="B57" s="122"/>
      <c r="C57" s="54"/>
      <c r="D57" s="37"/>
      <c r="Q57" s="5"/>
      <c r="R57" s="5"/>
      <c r="S57" s="5"/>
      <c r="T57" s="5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</row>
    <row r="58" spans="1:44" s="38" customFormat="1" x14ac:dyDescent="0.3">
      <c r="A58" s="54"/>
      <c r="B58" s="122"/>
      <c r="C58" s="54"/>
      <c r="D58" s="37"/>
      <c r="Q58" s="5"/>
      <c r="R58" s="5"/>
      <c r="S58" s="5"/>
      <c r="T58" s="5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</row>
    <row r="59" spans="1:44" s="38" customFormat="1" x14ac:dyDescent="0.3">
      <c r="A59" s="54"/>
      <c r="B59" s="122"/>
      <c r="C59" s="54"/>
      <c r="D59" s="37"/>
      <c r="Q59" s="5"/>
      <c r="R59" s="5"/>
      <c r="S59" s="5"/>
      <c r="T59" s="5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</row>
  </sheetData>
  <mergeCells count="9">
    <mergeCell ref="N21:P21"/>
    <mergeCell ref="A22:C22"/>
    <mergeCell ref="D22:E22"/>
    <mergeCell ref="H3:P3"/>
    <mergeCell ref="A4:A5"/>
    <mergeCell ref="B4:B5"/>
    <mergeCell ref="C4:C5"/>
    <mergeCell ref="D4:D5"/>
    <mergeCell ref="E4:T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BA05-7814-40F8-9DF7-385DB265A888}">
  <dimension ref="A1:AR59"/>
  <sheetViews>
    <sheetView workbookViewId="0">
      <selection activeCell="B7" sqref="B7"/>
    </sheetView>
  </sheetViews>
  <sheetFormatPr defaultRowHeight="15.6" x14ac:dyDescent="0.3"/>
  <cols>
    <col min="1" max="1" width="10.44140625" style="37" customWidth="1"/>
    <col min="2" max="2" width="44.5546875" style="124" customWidth="1"/>
    <col min="3" max="3" width="8.88671875" style="37" customWidth="1"/>
    <col min="4" max="4" width="10.5546875" style="37" customWidth="1"/>
    <col min="5" max="5" width="15" style="38" customWidth="1"/>
    <col min="6" max="6" width="9.5546875" style="38" customWidth="1"/>
    <col min="7" max="7" width="9.6640625" style="38" hidden="1" customWidth="1"/>
    <col min="8" max="8" width="12.88671875" style="38" hidden="1" customWidth="1"/>
    <col min="9" max="9" width="11.33203125" style="38" hidden="1" customWidth="1"/>
    <col min="10" max="10" width="10.5546875" style="38" customWidth="1"/>
    <col min="11" max="11" width="8" style="38" bestFit="1" customWidth="1"/>
    <col min="12" max="12" width="10.5546875" style="38" hidden="1" customWidth="1"/>
    <col min="13" max="13" width="13.33203125" style="38" customWidth="1"/>
    <col min="14" max="14" width="9.44140625" style="38" hidden="1" customWidth="1"/>
    <col min="15" max="15" width="9.109375" style="38" hidden="1" customWidth="1"/>
    <col min="16" max="16" width="13" style="38" hidden="1" customWidth="1"/>
    <col min="17" max="17" width="10.88671875" style="5" hidden="1" customWidth="1"/>
    <col min="18" max="18" width="14.109375" style="5" customWidth="1"/>
    <col min="19" max="19" width="8.5546875" style="5" hidden="1" customWidth="1"/>
    <col min="20" max="20" width="10.5546875" style="5" customWidth="1"/>
  </cols>
  <sheetData>
    <row r="1" spans="1:20" ht="29.4" x14ac:dyDescent="0.45">
      <c r="A1" s="1" t="s">
        <v>0</v>
      </c>
      <c r="B1" s="97"/>
      <c r="C1" s="2"/>
      <c r="D1" s="3"/>
      <c r="E1" s="3"/>
      <c r="F1" s="3"/>
      <c r="G1" s="3"/>
      <c r="H1" s="3"/>
      <c r="I1" s="3" t="s">
        <v>1</v>
      </c>
      <c r="K1" s="4"/>
      <c r="L1" s="4"/>
      <c r="M1" s="4"/>
      <c r="N1" s="4"/>
      <c r="O1" s="4"/>
      <c r="P1" s="4"/>
    </row>
    <row r="2" spans="1:20" ht="29.4" x14ac:dyDescent="0.45">
      <c r="A2" s="1" t="s">
        <v>2</v>
      </c>
      <c r="B2" s="98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0" ht="20.399999999999999" x14ac:dyDescent="0.3">
      <c r="A3" s="6"/>
      <c r="B3" s="98"/>
      <c r="C3" s="6"/>
      <c r="D3" s="7"/>
      <c r="E3" s="7"/>
      <c r="F3" s="7"/>
      <c r="G3" s="7"/>
      <c r="H3" s="198"/>
      <c r="I3" s="198" t="s">
        <v>62</v>
      </c>
      <c r="J3" s="198"/>
      <c r="K3" s="198"/>
      <c r="L3" s="198"/>
      <c r="M3" s="198"/>
      <c r="N3" s="198"/>
      <c r="O3" s="198"/>
      <c r="P3" s="198"/>
    </row>
    <row r="4" spans="1:20" ht="15" customHeight="1" x14ac:dyDescent="0.3">
      <c r="A4" s="199" t="s">
        <v>4</v>
      </c>
      <c r="B4" s="200" t="s">
        <v>5</v>
      </c>
      <c r="C4" s="200" t="s">
        <v>6</v>
      </c>
      <c r="D4" s="200" t="s">
        <v>7</v>
      </c>
      <c r="E4" s="200" t="s">
        <v>149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</row>
    <row r="5" spans="1:20" ht="48.75" customHeight="1" x14ac:dyDescent="0.3">
      <c r="A5" s="199"/>
      <c r="B5" s="200"/>
      <c r="C5" s="200"/>
      <c r="D5" s="200"/>
      <c r="E5" s="9" t="s">
        <v>8</v>
      </c>
      <c r="F5" s="9" t="s">
        <v>10</v>
      </c>
      <c r="G5" s="9" t="s">
        <v>9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86</v>
      </c>
      <c r="O5" s="9" t="s">
        <v>143</v>
      </c>
      <c r="P5" s="9" t="s">
        <v>19</v>
      </c>
      <c r="Q5" s="9" t="s">
        <v>12</v>
      </c>
      <c r="R5" s="9" t="s">
        <v>129</v>
      </c>
      <c r="S5" s="9" t="s">
        <v>65</v>
      </c>
      <c r="T5" s="9" t="s">
        <v>63</v>
      </c>
    </row>
    <row r="6" spans="1:20" x14ac:dyDescent="0.3">
      <c r="A6" s="21" t="s">
        <v>158</v>
      </c>
      <c r="B6" s="82" t="s">
        <v>159</v>
      </c>
      <c r="C6" s="79">
        <v>19218</v>
      </c>
      <c r="D6" s="13"/>
      <c r="E6" s="29">
        <v>2500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>
        <f>E6</f>
        <v>2500</v>
      </c>
      <c r="S6" s="99"/>
      <c r="T6" s="99"/>
    </row>
    <row r="7" spans="1:20" x14ac:dyDescent="0.3">
      <c r="A7" s="21" t="s">
        <v>158</v>
      </c>
      <c r="B7" s="82" t="s">
        <v>160</v>
      </c>
      <c r="C7" s="79">
        <v>19219</v>
      </c>
      <c r="D7" s="13"/>
      <c r="E7" s="29">
        <v>280</v>
      </c>
      <c r="F7" s="99">
        <f>E7</f>
        <v>280</v>
      </c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</row>
    <row r="8" spans="1:20" x14ac:dyDescent="0.3">
      <c r="A8" s="21" t="s">
        <v>158</v>
      </c>
      <c r="B8" s="100" t="s">
        <v>161</v>
      </c>
      <c r="C8" s="79">
        <v>19220</v>
      </c>
      <c r="D8" s="13"/>
      <c r="E8" s="29">
        <v>1220</v>
      </c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>
        <f>E8</f>
        <v>1220</v>
      </c>
    </row>
    <row r="9" spans="1:20" x14ac:dyDescent="0.3">
      <c r="A9" s="21" t="s">
        <v>162</v>
      </c>
      <c r="B9" s="82" t="s">
        <v>163</v>
      </c>
      <c r="C9" s="79">
        <v>19221</v>
      </c>
      <c r="D9" s="13"/>
      <c r="E9" s="29">
        <v>2160</v>
      </c>
      <c r="F9" s="99"/>
      <c r="G9" s="99"/>
      <c r="H9" s="99"/>
      <c r="I9" s="99"/>
      <c r="J9" s="99">
        <f>E9</f>
        <v>2160</v>
      </c>
      <c r="K9" s="99"/>
      <c r="L9" s="99"/>
      <c r="M9" s="99"/>
      <c r="N9" s="99"/>
      <c r="O9" s="99"/>
      <c r="P9" s="99"/>
      <c r="Q9" s="99"/>
      <c r="R9" s="99"/>
      <c r="S9" s="99"/>
      <c r="T9" s="99"/>
    </row>
    <row r="10" spans="1:20" x14ac:dyDescent="0.3">
      <c r="A10" s="21" t="s">
        <v>162</v>
      </c>
      <c r="B10" s="82" t="s">
        <v>160</v>
      </c>
      <c r="C10" s="79">
        <v>19222</v>
      </c>
      <c r="D10" s="13"/>
      <c r="E10" s="29">
        <v>1050</v>
      </c>
      <c r="F10" s="99">
        <f>E10</f>
        <v>1050</v>
      </c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</row>
    <row r="11" spans="1:20" ht="15.75" customHeight="1" x14ac:dyDescent="0.3">
      <c r="A11" s="21" t="s">
        <v>164</v>
      </c>
      <c r="B11" s="82" t="s">
        <v>165</v>
      </c>
      <c r="C11" s="79">
        <v>19223</v>
      </c>
      <c r="D11" s="13"/>
      <c r="E11" s="29">
        <v>350</v>
      </c>
      <c r="F11" s="99"/>
      <c r="G11" s="99"/>
      <c r="H11" s="99"/>
      <c r="I11" s="99"/>
      <c r="J11" s="99"/>
      <c r="K11" s="99"/>
      <c r="L11" s="99"/>
      <c r="M11" s="99">
        <f>E11</f>
        <v>350</v>
      </c>
      <c r="N11" s="99"/>
      <c r="O11" s="99"/>
      <c r="P11" s="99"/>
      <c r="Q11" s="99"/>
      <c r="R11" s="99"/>
      <c r="S11" s="99"/>
      <c r="T11" s="99"/>
    </row>
    <row r="12" spans="1:20" x14ac:dyDescent="0.3">
      <c r="A12" s="21" t="s">
        <v>166</v>
      </c>
      <c r="B12" s="82" t="s">
        <v>160</v>
      </c>
      <c r="C12" s="79">
        <v>19224</v>
      </c>
      <c r="D12" s="13"/>
      <c r="E12" s="29">
        <v>535</v>
      </c>
      <c r="F12" s="99">
        <f>E12</f>
        <v>535</v>
      </c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</row>
    <row r="13" spans="1:20" x14ac:dyDescent="0.3">
      <c r="A13" s="21" t="s">
        <v>167</v>
      </c>
      <c r="B13" s="82" t="s">
        <v>163</v>
      </c>
      <c r="C13" s="79">
        <v>19225</v>
      </c>
      <c r="D13" s="13"/>
      <c r="E13" s="29">
        <v>2160</v>
      </c>
      <c r="F13" s="99"/>
      <c r="G13" s="99"/>
      <c r="H13" s="99"/>
      <c r="I13" s="99"/>
      <c r="J13" s="99">
        <f>E13</f>
        <v>2160</v>
      </c>
      <c r="K13" s="99"/>
      <c r="L13" s="99"/>
      <c r="M13" s="99"/>
      <c r="N13" s="99"/>
      <c r="O13" s="99"/>
      <c r="P13" s="99"/>
      <c r="Q13" s="99"/>
      <c r="R13" s="99"/>
      <c r="S13" s="99"/>
      <c r="T13" s="99"/>
    </row>
    <row r="14" spans="1:20" x14ac:dyDescent="0.3">
      <c r="A14" s="21" t="s">
        <v>167</v>
      </c>
      <c r="B14" s="82" t="s">
        <v>160</v>
      </c>
      <c r="C14" s="79">
        <v>19226</v>
      </c>
      <c r="D14" s="13"/>
      <c r="E14" s="29">
        <v>1050</v>
      </c>
      <c r="F14" s="99">
        <f>E14</f>
        <v>1050</v>
      </c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</row>
    <row r="15" spans="1:20" x14ac:dyDescent="0.3">
      <c r="A15" s="21" t="s">
        <v>167</v>
      </c>
      <c r="B15" s="100" t="s">
        <v>168</v>
      </c>
      <c r="C15" s="23">
        <v>19227</v>
      </c>
      <c r="D15" s="13"/>
      <c r="E15" s="29">
        <v>330</v>
      </c>
      <c r="F15" s="99"/>
      <c r="G15" s="99"/>
      <c r="H15" s="99"/>
      <c r="I15" s="99"/>
      <c r="J15" s="99"/>
      <c r="K15" s="99">
        <f>E15</f>
        <v>330</v>
      </c>
      <c r="L15" s="99"/>
      <c r="M15" s="99"/>
      <c r="N15" s="99"/>
      <c r="O15" s="99"/>
      <c r="P15" s="99"/>
      <c r="Q15" s="99"/>
      <c r="R15" s="99"/>
      <c r="S15" s="99"/>
      <c r="T15" s="99"/>
    </row>
    <row r="16" spans="1:20" x14ac:dyDescent="0.3">
      <c r="A16" s="21" t="s">
        <v>169</v>
      </c>
      <c r="B16" s="82" t="s">
        <v>159</v>
      </c>
      <c r="C16" s="23">
        <v>19228</v>
      </c>
      <c r="D16" s="13"/>
      <c r="E16" s="29">
        <v>2500</v>
      </c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>
        <f>E16</f>
        <v>2500</v>
      </c>
      <c r="S16" s="99"/>
      <c r="T16" s="99"/>
    </row>
    <row r="17" spans="1:44" ht="31.2" x14ac:dyDescent="0.3">
      <c r="A17" s="21" t="s">
        <v>169</v>
      </c>
      <c r="B17" s="82" t="s">
        <v>170</v>
      </c>
      <c r="C17" s="23">
        <v>19229</v>
      </c>
      <c r="D17" s="13"/>
      <c r="E17" s="101">
        <v>400</v>
      </c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>
        <f>E17</f>
        <v>400</v>
      </c>
    </row>
    <row r="18" spans="1:44" x14ac:dyDescent="0.3">
      <c r="A18" s="102" t="s">
        <v>169</v>
      </c>
      <c r="B18" s="103" t="s">
        <v>171</v>
      </c>
      <c r="C18" s="104">
        <v>19230</v>
      </c>
      <c r="D18" s="105"/>
      <c r="E18" s="29">
        <v>220</v>
      </c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>
        <f>E18</f>
        <v>220</v>
      </c>
    </row>
    <row r="19" spans="1:44" s="107" customFormat="1" ht="16.2" thickBot="1" x14ac:dyDescent="0.35">
      <c r="A19" s="21"/>
      <c r="B19" s="100"/>
      <c r="C19" s="23"/>
      <c r="D19" s="87">
        <v>60000</v>
      </c>
      <c r="E19" s="106">
        <f>SUM(E6:E18)</f>
        <v>14755</v>
      </c>
      <c r="F19" s="106">
        <f t="shared" ref="F19:T19" si="0">SUM(F6:F18)</f>
        <v>2915</v>
      </c>
      <c r="G19" s="106">
        <f t="shared" si="0"/>
        <v>0</v>
      </c>
      <c r="H19" s="106">
        <f t="shared" si="0"/>
        <v>0</v>
      </c>
      <c r="I19" s="106">
        <f t="shared" si="0"/>
        <v>0</v>
      </c>
      <c r="J19" s="106">
        <f t="shared" si="0"/>
        <v>4320</v>
      </c>
      <c r="K19" s="106">
        <f t="shared" si="0"/>
        <v>330</v>
      </c>
      <c r="L19" s="106">
        <f t="shared" si="0"/>
        <v>0</v>
      </c>
      <c r="M19" s="106">
        <f t="shared" si="0"/>
        <v>350</v>
      </c>
      <c r="N19" s="106">
        <f t="shared" si="0"/>
        <v>0</v>
      </c>
      <c r="O19" s="106">
        <f t="shared" si="0"/>
        <v>0</v>
      </c>
      <c r="P19" s="106">
        <f t="shared" si="0"/>
        <v>0</v>
      </c>
      <c r="Q19" s="106">
        <f t="shared" si="0"/>
        <v>0</v>
      </c>
      <c r="R19" s="106">
        <f t="shared" si="0"/>
        <v>5000</v>
      </c>
      <c r="S19" s="106">
        <f t="shared" si="0"/>
        <v>0</v>
      </c>
      <c r="T19" s="106">
        <f t="shared" si="0"/>
        <v>1840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ht="16.2" thickTop="1" x14ac:dyDescent="0.3">
      <c r="A20" s="44" t="s">
        <v>43</v>
      </c>
      <c r="B20" s="108"/>
      <c r="C20" s="109"/>
      <c r="D20" s="110">
        <f>SUM(D19-E19)</f>
        <v>45245</v>
      </c>
      <c r="E20" s="111"/>
      <c r="F20" s="112"/>
      <c r="G20" s="112"/>
      <c r="H20" s="113"/>
      <c r="I20" s="113"/>
      <c r="J20" s="113"/>
      <c r="K20" s="113"/>
      <c r="L20" s="113"/>
      <c r="M20" s="113"/>
      <c r="N20" s="113"/>
      <c r="O20" s="113"/>
      <c r="P20" s="114"/>
      <c r="Q20" s="115"/>
      <c r="R20" s="115"/>
      <c r="S20" s="115"/>
      <c r="T20" s="115"/>
    </row>
    <row r="21" spans="1:44" ht="16.2" thickBot="1" x14ac:dyDescent="0.35">
      <c r="B21" s="116"/>
      <c r="C21" s="35"/>
      <c r="D21" s="36"/>
      <c r="N21" s="201"/>
      <c r="O21" s="201"/>
      <c r="P21" s="201"/>
    </row>
    <row r="22" spans="1:44" ht="29.4" thickBot="1" x14ac:dyDescent="0.6">
      <c r="A22" s="195" t="s">
        <v>45</v>
      </c>
      <c r="B22" s="195"/>
      <c r="C22" s="203"/>
      <c r="D22" s="196">
        <f>E19</f>
        <v>14755</v>
      </c>
      <c r="E22" s="197"/>
      <c r="F22" s="42"/>
      <c r="G22" s="42"/>
      <c r="H22" s="43"/>
      <c r="I22" s="43"/>
      <c r="J22" s="43"/>
      <c r="K22" s="43"/>
      <c r="L22" s="43"/>
      <c r="M22" s="43"/>
    </row>
    <row r="23" spans="1:44" x14ac:dyDescent="0.3">
      <c r="A23" s="44"/>
      <c r="B23" s="117"/>
      <c r="C23" s="45"/>
      <c r="D23" s="45"/>
      <c r="E23" s="46" t="s">
        <v>44</v>
      </c>
      <c r="F23" s="46"/>
      <c r="G23" s="46"/>
      <c r="H23" s="46"/>
      <c r="I23" s="46"/>
      <c r="J23" s="46"/>
      <c r="K23" s="46"/>
      <c r="L23" s="46"/>
      <c r="M23" s="46"/>
      <c r="N23" s="47"/>
      <c r="O23" s="5"/>
      <c r="P23" s="5"/>
    </row>
    <row r="24" spans="1:44" x14ac:dyDescent="0.3">
      <c r="A24" s="44"/>
      <c r="B24" s="117"/>
      <c r="C24" s="45"/>
      <c r="D24" s="45"/>
      <c r="E24" s="46"/>
      <c r="F24" s="46"/>
      <c r="G24" s="46"/>
      <c r="H24" s="46"/>
      <c r="I24" s="46"/>
      <c r="J24" s="46"/>
      <c r="K24" s="46"/>
      <c r="L24" s="46"/>
      <c r="M24" s="46"/>
      <c r="N24" s="47"/>
      <c r="O24" s="5"/>
      <c r="P24" s="5"/>
    </row>
    <row r="25" spans="1:44" ht="16.2" x14ac:dyDescent="0.35">
      <c r="A25" s="48"/>
      <c r="B25" s="118"/>
      <c r="D25" s="50"/>
      <c r="E25" s="50"/>
      <c r="F25" s="50"/>
      <c r="G25" s="50"/>
      <c r="H25" s="50"/>
      <c r="J25" s="50"/>
      <c r="L25" s="51"/>
      <c r="M25" s="50"/>
      <c r="N25" s="52"/>
      <c r="O25" s="50"/>
      <c r="Q25" s="51"/>
      <c r="R25" s="50"/>
      <c r="S25" s="50"/>
      <c r="T25" s="50"/>
    </row>
    <row r="26" spans="1:44" ht="16.2" x14ac:dyDescent="0.35">
      <c r="A26" s="48"/>
      <c r="B26" s="119" t="s">
        <v>46</v>
      </c>
      <c r="D26" s="50" t="s">
        <v>47</v>
      </c>
      <c r="E26" s="50"/>
      <c r="F26" s="50"/>
      <c r="G26" s="50"/>
      <c r="H26" s="50" t="s">
        <v>47</v>
      </c>
      <c r="I26" s="50" t="s">
        <v>47</v>
      </c>
      <c r="J26" s="50" t="s">
        <v>47</v>
      </c>
      <c r="K26" s="50"/>
      <c r="M26" s="50"/>
      <c r="N26" s="50"/>
      <c r="P26" s="50" t="s">
        <v>48</v>
      </c>
      <c r="Q26" s="51"/>
      <c r="R26" s="120" t="s">
        <v>48</v>
      </c>
      <c r="S26" s="50"/>
    </row>
    <row r="27" spans="1:44" ht="16.2" x14ac:dyDescent="0.35">
      <c r="A27" s="48"/>
      <c r="B27" s="119" t="s">
        <v>49</v>
      </c>
      <c r="D27" s="50" t="s">
        <v>50</v>
      </c>
      <c r="E27" s="50"/>
      <c r="F27" s="50"/>
      <c r="G27" s="50"/>
      <c r="H27" s="50" t="s">
        <v>51</v>
      </c>
      <c r="I27" s="50" t="s">
        <v>51</v>
      </c>
      <c r="J27" s="50" t="s">
        <v>51</v>
      </c>
      <c r="K27" s="50"/>
      <c r="M27" s="50"/>
      <c r="N27" s="50"/>
      <c r="P27" s="50" t="s">
        <v>52</v>
      </c>
      <c r="Q27" s="51"/>
      <c r="R27" s="120" t="s">
        <v>52</v>
      </c>
      <c r="S27" s="50"/>
    </row>
    <row r="28" spans="1:44" ht="16.2" x14ac:dyDescent="0.35">
      <c r="A28" s="48"/>
      <c r="B28" s="119" t="s">
        <v>172</v>
      </c>
      <c r="D28" s="50" t="s">
        <v>54</v>
      </c>
      <c r="E28" s="50"/>
      <c r="F28" s="50"/>
      <c r="G28" s="50"/>
      <c r="H28" s="50" t="s">
        <v>55</v>
      </c>
      <c r="I28" s="50" t="s">
        <v>55</v>
      </c>
      <c r="J28" s="50" t="s">
        <v>55</v>
      </c>
      <c r="K28" s="50"/>
      <c r="M28" s="50"/>
      <c r="N28" s="50"/>
      <c r="P28" s="50" t="s">
        <v>56</v>
      </c>
      <c r="Q28" s="51"/>
      <c r="R28" s="120" t="s">
        <v>56</v>
      </c>
      <c r="S28" s="50"/>
    </row>
    <row r="29" spans="1:44" ht="16.2" x14ac:dyDescent="0.35">
      <c r="A29" s="48"/>
      <c r="B29" s="119" t="s">
        <v>173</v>
      </c>
      <c r="D29" s="50" t="s">
        <v>58</v>
      </c>
      <c r="E29" s="50"/>
      <c r="F29" s="50"/>
      <c r="G29" s="50"/>
      <c r="H29" s="50" t="s">
        <v>59</v>
      </c>
      <c r="I29" s="50" t="s">
        <v>59</v>
      </c>
      <c r="J29" s="50" t="s">
        <v>59</v>
      </c>
      <c r="K29" s="50"/>
      <c r="M29" s="50"/>
      <c r="N29" s="50"/>
      <c r="P29" s="50" t="s">
        <v>60</v>
      </c>
      <c r="Q29" s="51"/>
      <c r="R29" s="120" t="s">
        <v>60</v>
      </c>
      <c r="S29" s="50"/>
    </row>
    <row r="30" spans="1:44" ht="14.4" x14ac:dyDescent="0.3">
      <c r="A30" s="48"/>
      <c r="B30" s="121"/>
      <c r="C30" s="48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</row>
    <row r="31" spans="1:44" x14ac:dyDescent="0.3">
      <c r="B31" s="122"/>
      <c r="C31" s="54"/>
    </row>
    <row r="32" spans="1:44" x14ac:dyDescent="0.3">
      <c r="A32" s="54"/>
      <c r="B32" s="122"/>
      <c r="C32" s="54"/>
    </row>
    <row r="33" spans="1:44" x14ac:dyDescent="0.3">
      <c r="A33" s="54"/>
      <c r="B33" s="122"/>
      <c r="C33" s="54"/>
    </row>
    <row r="34" spans="1:44" x14ac:dyDescent="0.3">
      <c r="A34" s="54"/>
      <c r="B34" s="122"/>
      <c r="C34" s="54"/>
    </row>
    <row r="35" spans="1:44" x14ac:dyDescent="0.3">
      <c r="A35" s="54"/>
      <c r="B35" s="122"/>
      <c r="C35" s="54"/>
    </row>
    <row r="36" spans="1:44" x14ac:dyDescent="0.3">
      <c r="A36" s="54"/>
      <c r="B36" s="122"/>
      <c r="C36" s="54"/>
    </row>
    <row r="37" spans="1:44" x14ac:dyDescent="0.3">
      <c r="A37" s="54"/>
      <c r="B37" s="122"/>
      <c r="C37" s="54"/>
    </row>
    <row r="38" spans="1:44" x14ac:dyDescent="0.3">
      <c r="A38" s="54"/>
      <c r="B38" s="122"/>
      <c r="C38" s="54"/>
    </row>
    <row r="39" spans="1:44" x14ac:dyDescent="0.3">
      <c r="A39" s="54"/>
      <c r="B39" s="122"/>
      <c r="C39" s="54"/>
    </row>
    <row r="40" spans="1:44" x14ac:dyDescent="0.3">
      <c r="A40" s="54"/>
      <c r="B40" s="122"/>
      <c r="C40" s="54"/>
    </row>
    <row r="41" spans="1:44" x14ac:dyDescent="0.3">
      <c r="A41" s="54"/>
      <c r="B41" s="122"/>
      <c r="C41" s="54"/>
    </row>
    <row r="42" spans="1:44" x14ac:dyDescent="0.3">
      <c r="A42" s="54"/>
      <c r="B42" s="122"/>
      <c r="C42" s="54"/>
    </row>
    <row r="43" spans="1:44" x14ac:dyDescent="0.3">
      <c r="A43" s="54"/>
      <c r="B43" s="122"/>
      <c r="C43" s="54"/>
    </row>
    <row r="44" spans="1:44" x14ac:dyDescent="0.3">
      <c r="A44" s="54"/>
      <c r="B44" s="122"/>
      <c r="C44" s="54"/>
    </row>
    <row r="45" spans="1:44" s="38" customFormat="1" x14ac:dyDescent="0.3">
      <c r="A45" s="54"/>
      <c r="B45" s="122"/>
      <c r="C45" s="54"/>
      <c r="D45" s="37"/>
      <c r="Q45" s="5"/>
      <c r="R45" s="5"/>
      <c r="S45" s="5"/>
      <c r="T45" s="5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</row>
    <row r="46" spans="1:44" s="38" customFormat="1" x14ac:dyDescent="0.3">
      <c r="A46" s="54"/>
      <c r="B46" s="122"/>
      <c r="C46" s="54"/>
      <c r="D46" s="37"/>
      <c r="Q46" s="5"/>
      <c r="R46" s="5"/>
      <c r="S46" s="5"/>
      <c r="T46" s="5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</row>
    <row r="47" spans="1:44" s="38" customFormat="1" x14ac:dyDescent="0.3">
      <c r="A47" s="54"/>
      <c r="B47" s="122"/>
      <c r="C47" s="54"/>
      <c r="D47" s="37"/>
      <c r="F47" s="38" t="s">
        <v>44</v>
      </c>
      <c r="Q47" s="5"/>
      <c r="R47" s="5"/>
      <c r="S47" s="5"/>
      <c r="T47" s="5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</row>
    <row r="48" spans="1:44" s="38" customFormat="1" x14ac:dyDescent="0.3">
      <c r="A48" s="54"/>
      <c r="B48" s="122"/>
      <c r="C48" s="54"/>
      <c r="D48" s="37"/>
      <c r="Q48" s="5"/>
      <c r="R48" s="5"/>
      <c r="S48" s="5"/>
      <c r="T48" s="5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</row>
    <row r="49" spans="1:44" s="38" customFormat="1" x14ac:dyDescent="0.3">
      <c r="A49" s="54"/>
      <c r="B49" s="122"/>
      <c r="C49" s="54"/>
      <c r="D49" s="37"/>
      <c r="Q49" s="5"/>
      <c r="R49" s="5"/>
      <c r="S49" s="5"/>
      <c r="T49" s="5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</row>
    <row r="50" spans="1:44" s="38" customFormat="1" x14ac:dyDescent="0.3">
      <c r="A50" s="54"/>
      <c r="B50" s="122"/>
      <c r="C50" s="54"/>
      <c r="D50" s="37"/>
      <c r="Q50" s="5"/>
      <c r="R50" s="5"/>
      <c r="S50" s="5"/>
      <c r="T50" s="5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</row>
    <row r="51" spans="1:44" s="38" customFormat="1" x14ac:dyDescent="0.3">
      <c r="A51" s="54"/>
      <c r="B51" s="122"/>
      <c r="C51" s="54"/>
      <c r="D51" s="37"/>
      <c r="Q51" s="5"/>
      <c r="R51" s="5"/>
      <c r="S51" s="5"/>
      <c r="T51" s="5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</row>
    <row r="52" spans="1:44" s="38" customFormat="1" x14ac:dyDescent="0.3">
      <c r="A52" s="54"/>
      <c r="B52" s="122"/>
      <c r="C52" s="54"/>
      <c r="D52" s="37"/>
      <c r="Q52" s="5"/>
      <c r="R52" s="5"/>
      <c r="S52" s="5"/>
      <c r="T52" s="5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</row>
    <row r="53" spans="1:44" s="38" customFormat="1" x14ac:dyDescent="0.3">
      <c r="A53" s="54"/>
      <c r="B53" s="122"/>
      <c r="C53" s="54"/>
      <c r="D53" s="37"/>
      <c r="Q53" s="5"/>
      <c r="R53" s="5"/>
      <c r="S53" s="5"/>
      <c r="T53" s="5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</row>
    <row r="54" spans="1:44" s="38" customFormat="1" x14ac:dyDescent="0.3">
      <c r="A54" s="54"/>
      <c r="B54" s="122"/>
      <c r="C54" s="54"/>
      <c r="D54" s="37"/>
      <c r="Q54" s="5"/>
      <c r="R54" s="5"/>
      <c r="S54" s="5"/>
      <c r="T54" s="5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</row>
    <row r="55" spans="1:44" s="38" customFormat="1" x14ac:dyDescent="0.3">
      <c r="A55" s="54"/>
      <c r="B55" s="122"/>
      <c r="C55" s="54"/>
      <c r="D55" s="37"/>
      <c r="Q55" s="5"/>
      <c r="R55" s="5"/>
      <c r="S55" s="5"/>
      <c r="T55" s="5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</row>
    <row r="56" spans="1:44" s="38" customFormat="1" x14ac:dyDescent="0.3">
      <c r="A56" s="54"/>
      <c r="B56" s="122"/>
      <c r="C56" s="54"/>
      <c r="D56" s="37"/>
      <c r="Q56" s="5"/>
      <c r="R56" s="5"/>
      <c r="S56" s="5"/>
      <c r="T56" s="5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</row>
    <row r="57" spans="1:44" s="38" customFormat="1" x14ac:dyDescent="0.3">
      <c r="A57" s="54"/>
      <c r="B57" s="122"/>
      <c r="C57" s="54"/>
      <c r="D57" s="37"/>
      <c r="Q57" s="5"/>
      <c r="R57" s="5"/>
      <c r="S57" s="5"/>
      <c r="T57" s="5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</row>
    <row r="58" spans="1:44" s="38" customFormat="1" x14ac:dyDescent="0.3">
      <c r="A58" s="54"/>
      <c r="B58" s="122"/>
      <c r="C58" s="54"/>
      <c r="D58" s="37"/>
      <c r="Q58" s="5"/>
      <c r="R58" s="5"/>
      <c r="S58" s="5"/>
      <c r="T58" s="5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</row>
    <row r="59" spans="1:44" s="38" customFormat="1" x14ac:dyDescent="0.3">
      <c r="A59" s="54"/>
      <c r="B59" s="122"/>
      <c r="C59" s="54"/>
      <c r="D59" s="37"/>
      <c r="Q59" s="5"/>
      <c r="R59" s="5"/>
      <c r="S59" s="5"/>
      <c r="T59" s="5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</row>
  </sheetData>
  <mergeCells count="9">
    <mergeCell ref="N21:P21"/>
    <mergeCell ref="A22:C22"/>
    <mergeCell ref="D22:E22"/>
    <mergeCell ref="H3:P3"/>
    <mergeCell ref="A4:A5"/>
    <mergeCell ref="B4:B5"/>
    <mergeCell ref="C4:C5"/>
    <mergeCell ref="D4:D5"/>
    <mergeCell ref="E4:T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3CDE-6A4C-4825-A904-3AAF488CF6CC}">
  <dimension ref="A1:T62"/>
  <sheetViews>
    <sheetView workbookViewId="0">
      <selection activeCell="B4" sqref="B4:B5"/>
    </sheetView>
  </sheetViews>
  <sheetFormatPr defaultRowHeight="15.6" x14ac:dyDescent="0.3"/>
  <cols>
    <col min="1" max="1" width="10.44140625" style="37" customWidth="1"/>
    <col min="2" max="2" width="42.109375" style="37" customWidth="1"/>
    <col min="3" max="3" width="7.44140625" style="37" customWidth="1"/>
    <col min="4" max="4" width="10.44140625" style="37" customWidth="1"/>
    <col min="5" max="5" width="10.5546875" style="38" bestFit="1" customWidth="1"/>
    <col min="6" max="6" width="9.5546875" style="38" customWidth="1"/>
    <col min="7" max="7" width="9.6640625" style="38" customWidth="1"/>
    <col min="8" max="8" width="28.44140625" style="38" hidden="1" customWidth="1"/>
    <col min="9" max="9" width="11.33203125" style="38" customWidth="1"/>
    <col min="10" max="10" width="10.5546875" style="38" customWidth="1"/>
    <col min="11" max="11" width="8.88671875" style="38" customWidth="1"/>
    <col min="12" max="12" width="10.44140625" style="38" hidden="1" customWidth="1"/>
    <col min="13" max="13" width="10.5546875" style="38" hidden="1" customWidth="1"/>
    <col min="14" max="14" width="10.109375" style="38" hidden="1" customWidth="1"/>
    <col min="15" max="15" width="9.33203125" style="38" hidden="1" customWidth="1"/>
    <col min="16" max="16" width="0.109375" style="38" hidden="1" customWidth="1"/>
    <col min="17" max="17" width="10.88671875" style="5" hidden="1" customWidth="1"/>
    <col min="18" max="18" width="9.33203125" style="5" customWidth="1"/>
    <col min="19" max="19" width="9.88671875" style="5" customWidth="1"/>
    <col min="20" max="20" width="0.109375" style="5" customWidth="1"/>
  </cols>
  <sheetData>
    <row r="1" spans="1:20" ht="29.4" x14ac:dyDescent="0.45">
      <c r="A1" s="1" t="s">
        <v>0</v>
      </c>
      <c r="B1" s="2"/>
      <c r="C1" s="2"/>
      <c r="D1" s="3"/>
      <c r="E1" s="3"/>
      <c r="F1" s="3"/>
      <c r="G1" s="3"/>
      <c r="H1" s="3"/>
      <c r="I1" s="3" t="s">
        <v>1</v>
      </c>
      <c r="K1" s="4"/>
      <c r="L1" s="4"/>
      <c r="M1" s="4"/>
      <c r="N1" s="4"/>
      <c r="O1" s="4"/>
      <c r="P1" s="4"/>
    </row>
    <row r="2" spans="1:20" ht="29.4" x14ac:dyDescent="0.45">
      <c r="A2" s="1" t="s">
        <v>2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0" ht="20.399999999999999" x14ac:dyDescent="0.3">
      <c r="A3" s="6"/>
      <c r="B3" s="6"/>
      <c r="C3" s="6"/>
      <c r="D3" s="7"/>
      <c r="E3" s="7"/>
      <c r="F3" s="7"/>
      <c r="G3" s="7"/>
      <c r="H3" s="198"/>
      <c r="I3" s="198" t="s">
        <v>62</v>
      </c>
      <c r="J3" s="198"/>
      <c r="K3" s="198"/>
      <c r="L3" s="198"/>
      <c r="M3" s="198"/>
      <c r="N3" s="198"/>
      <c r="O3" s="198"/>
      <c r="P3" s="198"/>
    </row>
    <row r="4" spans="1:20" ht="15" customHeight="1" x14ac:dyDescent="0.3">
      <c r="A4" s="199" t="s">
        <v>4</v>
      </c>
      <c r="B4" s="202" t="s">
        <v>5</v>
      </c>
      <c r="C4" s="200" t="s">
        <v>6</v>
      </c>
      <c r="D4" s="200" t="s">
        <v>7</v>
      </c>
      <c r="E4" s="200" t="s">
        <v>149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</row>
    <row r="5" spans="1:20" ht="48.75" customHeight="1" x14ac:dyDescent="0.3">
      <c r="A5" s="199"/>
      <c r="B5" s="202"/>
      <c r="C5" s="200"/>
      <c r="D5" s="200"/>
      <c r="E5" s="9" t="s">
        <v>8</v>
      </c>
      <c r="F5" s="9" t="s">
        <v>10</v>
      </c>
      <c r="G5" s="9" t="s">
        <v>9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86</v>
      </c>
      <c r="O5" s="9" t="s">
        <v>143</v>
      </c>
      <c r="P5" s="9" t="s">
        <v>19</v>
      </c>
      <c r="Q5" s="9" t="s">
        <v>12</v>
      </c>
      <c r="R5" s="9" t="s">
        <v>129</v>
      </c>
      <c r="S5" s="9" t="s">
        <v>65</v>
      </c>
      <c r="T5" s="9" t="s">
        <v>66</v>
      </c>
    </row>
    <row r="6" spans="1:20" x14ac:dyDescent="0.3">
      <c r="A6" s="21">
        <v>45429</v>
      </c>
      <c r="B6" s="67" t="s">
        <v>150</v>
      </c>
      <c r="C6" s="79">
        <v>19203</v>
      </c>
      <c r="D6" s="13"/>
      <c r="E6" s="29">
        <v>4850</v>
      </c>
      <c r="F6" s="15"/>
      <c r="G6" s="15"/>
      <c r="H6" s="16"/>
      <c r="I6" s="16"/>
      <c r="J6" s="16">
        <f>E6</f>
        <v>4850</v>
      </c>
      <c r="K6" s="16"/>
      <c r="L6" s="16"/>
      <c r="M6" s="16"/>
      <c r="N6" s="16"/>
      <c r="O6" s="16"/>
      <c r="P6" s="17"/>
      <c r="Q6" s="18"/>
      <c r="R6" s="18"/>
      <c r="S6" s="19"/>
      <c r="T6" s="19"/>
    </row>
    <row r="7" spans="1:20" x14ac:dyDescent="0.3">
      <c r="A7" s="21">
        <v>45429</v>
      </c>
      <c r="B7" s="67" t="s">
        <v>110</v>
      </c>
      <c r="C7" s="79">
        <v>19204</v>
      </c>
      <c r="D7" s="13"/>
      <c r="E7" s="30">
        <v>1000</v>
      </c>
      <c r="F7" s="15">
        <f>E7</f>
        <v>1000</v>
      </c>
      <c r="G7" s="15"/>
      <c r="H7" s="16"/>
      <c r="I7" s="16"/>
      <c r="J7" s="16"/>
      <c r="K7" s="16"/>
      <c r="L7" s="16"/>
      <c r="M7" s="16"/>
      <c r="N7" s="16"/>
      <c r="O7" s="16"/>
      <c r="P7" s="17"/>
      <c r="Q7" s="18"/>
      <c r="R7" s="18"/>
      <c r="S7" s="19"/>
      <c r="T7" s="19"/>
    </row>
    <row r="8" spans="1:20" x14ac:dyDescent="0.3">
      <c r="A8" s="21">
        <v>45429</v>
      </c>
      <c r="B8" s="90" t="s">
        <v>71</v>
      </c>
      <c r="C8" s="79">
        <v>19205</v>
      </c>
      <c r="D8" s="13"/>
      <c r="E8" s="30">
        <v>2500</v>
      </c>
      <c r="F8" s="15"/>
      <c r="G8" s="15"/>
      <c r="H8" s="16"/>
      <c r="I8" s="16"/>
      <c r="J8" s="16"/>
      <c r="K8" s="16"/>
      <c r="L8" s="16"/>
      <c r="M8" s="16"/>
      <c r="N8" s="16"/>
      <c r="O8" s="16"/>
      <c r="P8" s="17"/>
      <c r="Q8" s="18"/>
      <c r="R8" s="18">
        <f>E8</f>
        <v>2500</v>
      </c>
      <c r="S8" s="19"/>
      <c r="T8" s="19"/>
    </row>
    <row r="9" spans="1:20" x14ac:dyDescent="0.3">
      <c r="A9" s="21">
        <v>45429</v>
      </c>
      <c r="B9" s="67" t="s">
        <v>151</v>
      </c>
      <c r="C9" s="79">
        <v>19206</v>
      </c>
      <c r="D9" s="13"/>
      <c r="E9" s="30">
        <v>370</v>
      </c>
      <c r="F9" s="15"/>
      <c r="G9" s="15"/>
      <c r="H9" s="16"/>
      <c r="I9" s="16"/>
      <c r="J9" s="16"/>
      <c r="K9" s="16"/>
      <c r="L9" s="16"/>
      <c r="M9" s="16"/>
      <c r="N9" s="16"/>
      <c r="O9" s="16"/>
      <c r="P9" s="17"/>
      <c r="Q9" s="18"/>
      <c r="R9" s="18"/>
      <c r="S9" s="19">
        <f>E9</f>
        <v>370</v>
      </c>
      <c r="T9" s="19"/>
    </row>
    <row r="10" spans="1:20" x14ac:dyDescent="0.3">
      <c r="A10" s="21">
        <v>45432</v>
      </c>
      <c r="B10" s="67" t="s">
        <v>77</v>
      </c>
      <c r="C10" s="79">
        <v>19207</v>
      </c>
      <c r="D10" s="13"/>
      <c r="E10" s="30">
        <v>2160</v>
      </c>
      <c r="F10" s="15"/>
      <c r="G10" s="15"/>
      <c r="H10" s="16"/>
      <c r="I10" s="16"/>
      <c r="J10" s="16">
        <f>E10</f>
        <v>2160</v>
      </c>
      <c r="K10" s="16"/>
      <c r="L10" s="16"/>
      <c r="M10" s="16"/>
      <c r="N10" s="16"/>
      <c r="O10" s="16"/>
      <c r="P10" s="17"/>
      <c r="Q10" s="18"/>
      <c r="R10" s="18"/>
      <c r="S10" s="19"/>
      <c r="T10" s="19"/>
    </row>
    <row r="11" spans="1:20" x14ac:dyDescent="0.3">
      <c r="A11" s="21">
        <v>45432</v>
      </c>
      <c r="B11" s="67" t="s">
        <v>152</v>
      </c>
      <c r="C11" s="79">
        <v>19208</v>
      </c>
      <c r="D11" s="13"/>
      <c r="E11" s="30">
        <v>4170</v>
      </c>
      <c r="F11" s="15"/>
      <c r="G11" s="15"/>
      <c r="H11" s="16"/>
      <c r="I11" s="16"/>
      <c r="J11" s="16"/>
      <c r="K11" s="16">
        <f>E11</f>
        <v>4170</v>
      </c>
      <c r="L11" s="16"/>
      <c r="M11" s="16"/>
      <c r="N11" s="16"/>
      <c r="O11" s="16"/>
      <c r="P11" s="17"/>
      <c r="Q11" s="18"/>
      <c r="R11" s="18"/>
      <c r="S11" s="19"/>
      <c r="T11" s="19"/>
    </row>
    <row r="12" spans="1:20" x14ac:dyDescent="0.3">
      <c r="A12" s="21">
        <v>45432</v>
      </c>
      <c r="B12" s="67" t="s">
        <v>153</v>
      </c>
      <c r="C12" s="79">
        <v>19209</v>
      </c>
      <c r="D12" s="13"/>
      <c r="E12" s="30">
        <v>250</v>
      </c>
      <c r="F12" s="15"/>
      <c r="G12" s="15"/>
      <c r="H12" s="16"/>
      <c r="I12" s="16"/>
      <c r="J12" s="16"/>
      <c r="K12" s="16"/>
      <c r="L12" s="16"/>
      <c r="M12" s="16"/>
      <c r="N12" s="16"/>
      <c r="O12" s="16"/>
      <c r="P12" s="17"/>
      <c r="Q12" s="18"/>
      <c r="R12" s="18"/>
      <c r="S12" s="19">
        <f>E12</f>
        <v>250</v>
      </c>
      <c r="T12" s="19"/>
    </row>
    <row r="13" spans="1:20" x14ac:dyDescent="0.3">
      <c r="A13" s="21">
        <v>45434</v>
      </c>
      <c r="B13" s="67" t="s">
        <v>110</v>
      </c>
      <c r="C13" s="79">
        <v>19210</v>
      </c>
      <c r="D13" s="13"/>
      <c r="E13" s="30">
        <v>1920</v>
      </c>
      <c r="F13" s="15">
        <f>E13</f>
        <v>1920</v>
      </c>
      <c r="G13" s="15"/>
      <c r="H13" s="16"/>
      <c r="I13" s="16"/>
      <c r="J13" s="16"/>
      <c r="K13" s="16"/>
      <c r="L13" s="16"/>
      <c r="M13" s="16"/>
      <c r="N13" s="16"/>
      <c r="O13" s="16"/>
      <c r="P13" s="17"/>
      <c r="Q13" s="18"/>
      <c r="R13" s="18"/>
      <c r="S13" s="19"/>
      <c r="T13" s="19"/>
    </row>
    <row r="14" spans="1:20" x14ac:dyDescent="0.3">
      <c r="A14" s="21">
        <v>45434</v>
      </c>
      <c r="B14" s="67" t="s">
        <v>154</v>
      </c>
      <c r="C14" s="79">
        <v>19211</v>
      </c>
      <c r="D14" s="13"/>
      <c r="E14" s="30">
        <v>130</v>
      </c>
      <c r="F14" s="15"/>
      <c r="G14" s="15"/>
      <c r="H14" s="16"/>
      <c r="I14" s="16"/>
      <c r="J14" s="16"/>
      <c r="K14" s="16"/>
      <c r="L14" s="16"/>
      <c r="M14" s="16"/>
      <c r="N14" s="16"/>
      <c r="O14" s="16"/>
      <c r="P14" s="17"/>
      <c r="Q14" s="18"/>
      <c r="R14" s="18"/>
      <c r="S14" s="19">
        <f>E14</f>
        <v>130</v>
      </c>
      <c r="T14" s="19"/>
    </row>
    <row r="15" spans="1:20" x14ac:dyDescent="0.3">
      <c r="A15" s="21">
        <v>45434</v>
      </c>
      <c r="B15" s="90" t="s">
        <v>71</v>
      </c>
      <c r="C15" s="23">
        <v>19212</v>
      </c>
      <c r="D15" s="13"/>
      <c r="E15" s="30">
        <v>1500</v>
      </c>
      <c r="F15" s="15"/>
      <c r="G15" s="15"/>
      <c r="H15" s="16"/>
      <c r="I15" s="16"/>
      <c r="J15" s="16"/>
      <c r="K15" s="16"/>
      <c r="L15" s="16"/>
      <c r="M15" s="16"/>
      <c r="N15" s="16"/>
      <c r="O15" s="16"/>
      <c r="P15" s="17"/>
      <c r="Q15" s="18"/>
      <c r="R15" s="18">
        <f>E15</f>
        <v>1500</v>
      </c>
      <c r="S15" s="19"/>
      <c r="T15" s="19"/>
    </row>
    <row r="16" spans="1:20" ht="31.2" x14ac:dyDescent="0.3">
      <c r="A16" s="21">
        <v>45439</v>
      </c>
      <c r="B16" s="82" t="s">
        <v>112</v>
      </c>
      <c r="C16" s="23">
        <v>19213</v>
      </c>
      <c r="D16" s="13"/>
      <c r="E16" s="30">
        <v>200</v>
      </c>
      <c r="F16" s="15"/>
      <c r="G16" s="15"/>
      <c r="H16" s="16"/>
      <c r="I16" s="16">
        <f>E16</f>
        <v>200</v>
      </c>
      <c r="J16" s="16"/>
      <c r="K16" s="16"/>
      <c r="L16" s="16"/>
      <c r="M16" s="16"/>
      <c r="N16" s="16"/>
      <c r="O16" s="16"/>
      <c r="P16" s="17"/>
      <c r="Q16" s="18"/>
      <c r="R16" s="18"/>
      <c r="S16" s="19"/>
      <c r="T16" s="19"/>
    </row>
    <row r="17" spans="1:20" x14ac:dyDescent="0.3">
      <c r="A17" s="21" t="s">
        <v>155</v>
      </c>
      <c r="B17" s="67" t="s">
        <v>110</v>
      </c>
      <c r="C17" s="23">
        <v>19214</v>
      </c>
      <c r="D17" s="13"/>
      <c r="E17" s="30">
        <v>2940</v>
      </c>
      <c r="F17" s="15">
        <f>E17</f>
        <v>2940</v>
      </c>
      <c r="G17" s="15"/>
      <c r="H17" s="16"/>
      <c r="I17" s="16"/>
      <c r="J17" s="16"/>
      <c r="K17" s="16"/>
      <c r="L17" s="16"/>
      <c r="M17" s="16"/>
      <c r="N17" s="16"/>
      <c r="O17" s="16"/>
      <c r="P17" s="17"/>
      <c r="Q17" s="18"/>
      <c r="R17" s="18"/>
      <c r="S17" s="19"/>
      <c r="T17" s="19"/>
    </row>
    <row r="18" spans="1:20" x14ac:dyDescent="0.3">
      <c r="A18" s="21">
        <v>45439</v>
      </c>
      <c r="B18" s="90" t="s">
        <v>156</v>
      </c>
      <c r="C18" s="23">
        <v>19215</v>
      </c>
      <c r="D18" s="13"/>
      <c r="E18" s="30">
        <v>325</v>
      </c>
      <c r="F18" s="15"/>
      <c r="G18" s="15"/>
      <c r="H18" s="16"/>
      <c r="I18" s="16"/>
      <c r="J18" s="16"/>
      <c r="K18" s="16">
        <f>E18</f>
        <v>325</v>
      </c>
      <c r="L18" s="16"/>
      <c r="M18" s="16"/>
      <c r="N18" s="16"/>
      <c r="O18" s="16"/>
      <c r="P18" s="17"/>
      <c r="Q18" s="18"/>
      <c r="R18" s="18"/>
      <c r="S18" s="19"/>
      <c r="T18" s="19"/>
    </row>
    <row r="19" spans="1:20" x14ac:dyDescent="0.3">
      <c r="A19" s="21">
        <v>45439</v>
      </c>
      <c r="B19" s="67" t="s">
        <v>77</v>
      </c>
      <c r="C19" s="23">
        <v>19216</v>
      </c>
      <c r="D19" s="13"/>
      <c r="E19" s="30">
        <v>1920</v>
      </c>
      <c r="F19" s="15"/>
      <c r="G19" s="15"/>
      <c r="H19" s="16"/>
      <c r="I19" s="16"/>
      <c r="J19" s="16">
        <f>E19</f>
        <v>1920</v>
      </c>
      <c r="K19" s="16"/>
      <c r="L19" s="16"/>
      <c r="M19" s="16"/>
      <c r="N19" s="16"/>
      <c r="O19" s="16"/>
      <c r="P19" s="17"/>
      <c r="Q19" s="18"/>
      <c r="R19" s="18"/>
      <c r="S19" s="19"/>
      <c r="T19" s="19"/>
    </row>
    <row r="20" spans="1:20" x14ac:dyDescent="0.3">
      <c r="A20" s="21">
        <v>45441</v>
      </c>
      <c r="B20" s="67" t="s">
        <v>157</v>
      </c>
      <c r="C20" s="23">
        <v>19217</v>
      </c>
      <c r="D20" s="13"/>
      <c r="E20" s="29">
        <v>1600</v>
      </c>
      <c r="F20" s="15"/>
      <c r="G20" s="15">
        <f>E20</f>
        <v>1600</v>
      </c>
      <c r="H20" s="16"/>
      <c r="I20" s="16"/>
      <c r="J20" s="16"/>
      <c r="K20" s="16"/>
      <c r="L20" s="16"/>
      <c r="M20" s="16"/>
      <c r="N20" s="16"/>
      <c r="O20" s="16"/>
      <c r="P20" s="17"/>
      <c r="Q20" s="18"/>
      <c r="R20" s="18"/>
      <c r="S20" s="19"/>
      <c r="T20" s="19"/>
    </row>
    <row r="21" spans="1:20" x14ac:dyDescent="0.3">
      <c r="A21" s="21"/>
      <c r="B21" s="67"/>
      <c r="C21" s="23"/>
      <c r="D21" s="13"/>
      <c r="E21" s="29"/>
      <c r="F21" s="91"/>
      <c r="G21" s="91"/>
      <c r="H21" s="92"/>
      <c r="I21" s="92"/>
      <c r="J21" s="92"/>
      <c r="K21" s="92"/>
      <c r="L21" s="92"/>
      <c r="M21" s="92"/>
      <c r="N21" s="92"/>
      <c r="O21" s="92"/>
      <c r="P21" s="93"/>
      <c r="Q21" s="94"/>
      <c r="R21" s="94"/>
      <c r="S21" s="95"/>
      <c r="T21" s="95"/>
    </row>
    <row r="22" spans="1:20" ht="15" thickBot="1" x14ac:dyDescent="0.35">
      <c r="A22" s="60"/>
      <c r="B22" s="60"/>
      <c r="C22" s="60"/>
      <c r="D22" s="87">
        <v>60000</v>
      </c>
      <c r="E22" s="65">
        <f>SUM(E6:E20)</f>
        <v>25835</v>
      </c>
      <c r="F22" s="65">
        <f t="shared" ref="F22:T22" si="0">SUM(F6:F20)</f>
        <v>5860</v>
      </c>
      <c r="G22" s="65">
        <f t="shared" si="0"/>
        <v>1600</v>
      </c>
      <c r="H22" s="65">
        <f t="shared" si="0"/>
        <v>0</v>
      </c>
      <c r="I22" s="65">
        <f t="shared" si="0"/>
        <v>200</v>
      </c>
      <c r="J22" s="65">
        <f t="shared" si="0"/>
        <v>8930</v>
      </c>
      <c r="K22" s="65">
        <f t="shared" si="0"/>
        <v>4495</v>
      </c>
      <c r="L22" s="65">
        <f t="shared" si="0"/>
        <v>0</v>
      </c>
      <c r="M22" s="65">
        <f t="shared" si="0"/>
        <v>0</v>
      </c>
      <c r="N22" s="65">
        <f t="shared" si="0"/>
        <v>0</v>
      </c>
      <c r="O22" s="65">
        <f t="shared" si="0"/>
        <v>0</v>
      </c>
      <c r="P22" s="65">
        <f t="shared" si="0"/>
        <v>0</v>
      </c>
      <c r="Q22" s="65">
        <f t="shared" si="0"/>
        <v>0</v>
      </c>
      <c r="R22" s="65">
        <f t="shared" si="0"/>
        <v>4000</v>
      </c>
      <c r="S22" s="65">
        <f t="shared" si="0"/>
        <v>750</v>
      </c>
      <c r="T22" s="65">
        <f t="shared" si="0"/>
        <v>0</v>
      </c>
    </row>
    <row r="23" spans="1:20" ht="16.2" thickTop="1" x14ac:dyDescent="0.3">
      <c r="A23" s="44" t="s">
        <v>43</v>
      </c>
      <c r="B23" s="35"/>
      <c r="C23" s="35"/>
      <c r="D23" s="36">
        <f>D22-E22</f>
        <v>34165</v>
      </c>
      <c r="N23" s="201"/>
      <c r="O23" s="201"/>
      <c r="P23" s="201"/>
    </row>
    <row r="24" spans="1:20" ht="16.2" thickBot="1" x14ac:dyDescent="0.35">
      <c r="A24" s="44"/>
      <c r="B24" s="35"/>
      <c r="C24" s="35"/>
      <c r="D24" s="36"/>
      <c r="N24" s="39"/>
      <c r="O24" s="39"/>
      <c r="P24" s="39"/>
    </row>
    <row r="25" spans="1:20" ht="29.4" thickBot="1" x14ac:dyDescent="0.6">
      <c r="B25" s="40" t="s">
        <v>45</v>
      </c>
      <c r="C25" s="41"/>
      <c r="D25" s="196">
        <f>E22</f>
        <v>25835</v>
      </c>
      <c r="E25" s="197">
        <f>SUM(E6:E23)</f>
        <v>51670</v>
      </c>
      <c r="F25" s="42"/>
      <c r="G25" s="42"/>
      <c r="H25" s="43"/>
      <c r="I25" s="43"/>
      <c r="J25" s="43"/>
      <c r="K25" s="43"/>
      <c r="L25" s="43"/>
      <c r="M25" s="43"/>
    </row>
    <row r="26" spans="1:20" x14ac:dyDescent="0.3">
      <c r="A26" s="44"/>
      <c r="B26" s="45"/>
      <c r="C26" s="45"/>
      <c r="D26" s="45"/>
      <c r="E26" s="46" t="s">
        <v>44</v>
      </c>
      <c r="F26" s="46"/>
      <c r="G26" s="46"/>
      <c r="H26" s="46"/>
      <c r="I26" s="46"/>
      <c r="J26" s="46"/>
      <c r="K26" s="46"/>
      <c r="L26" s="46"/>
      <c r="M26" s="46"/>
      <c r="N26" s="47"/>
      <c r="O26" s="5"/>
      <c r="P26" s="5"/>
    </row>
    <row r="27" spans="1:20" x14ac:dyDescent="0.3">
      <c r="A27" s="44"/>
      <c r="B27" s="45"/>
      <c r="C27" s="45"/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7"/>
      <c r="O27" s="5"/>
      <c r="P27" s="5"/>
    </row>
    <row r="28" spans="1:20" ht="16.2" x14ac:dyDescent="0.35">
      <c r="A28" s="48"/>
      <c r="B28" s="49"/>
      <c r="D28" s="50"/>
      <c r="E28" s="50"/>
      <c r="F28" s="50"/>
      <c r="G28" s="50"/>
      <c r="H28" s="50"/>
      <c r="J28" s="50"/>
      <c r="L28" s="51"/>
      <c r="M28" s="50"/>
      <c r="N28" s="52"/>
      <c r="O28" s="50"/>
      <c r="Q28" s="51"/>
      <c r="R28" s="50"/>
      <c r="S28" s="50"/>
      <c r="T28" s="50"/>
    </row>
    <row r="29" spans="1:20" ht="16.2" x14ac:dyDescent="0.35">
      <c r="A29" s="48"/>
      <c r="B29" s="96" t="s">
        <v>46</v>
      </c>
      <c r="D29" s="50" t="s">
        <v>47</v>
      </c>
      <c r="E29" s="50"/>
      <c r="F29" s="50"/>
      <c r="G29" s="50"/>
      <c r="H29" s="50" t="s">
        <v>47</v>
      </c>
      <c r="I29" s="50" t="s">
        <v>47</v>
      </c>
      <c r="J29" s="50"/>
      <c r="K29" s="50"/>
      <c r="M29" s="50"/>
      <c r="N29" s="50"/>
      <c r="P29" s="50" t="s">
        <v>48</v>
      </c>
      <c r="Q29" s="51"/>
      <c r="R29" s="52" t="s">
        <v>48</v>
      </c>
      <c r="S29" s="50"/>
      <c r="T29" s="50"/>
    </row>
    <row r="30" spans="1:20" ht="16.2" x14ac:dyDescent="0.35">
      <c r="A30" s="48"/>
      <c r="B30" s="96" t="s">
        <v>49</v>
      </c>
      <c r="D30" s="50" t="s">
        <v>50</v>
      </c>
      <c r="E30" s="50"/>
      <c r="F30" s="50"/>
      <c r="G30" s="50"/>
      <c r="H30" s="50" t="s">
        <v>51</v>
      </c>
      <c r="I30" s="50" t="s">
        <v>51</v>
      </c>
      <c r="J30" s="50"/>
      <c r="K30" s="50"/>
      <c r="M30" s="50"/>
      <c r="N30" s="50"/>
      <c r="P30" s="50" t="s">
        <v>52</v>
      </c>
      <c r="Q30" s="51"/>
      <c r="R30" s="52" t="s">
        <v>52</v>
      </c>
      <c r="S30" s="50"/>
      <c r="T30" s="50"/>
    </row>
    <row r="31" spans="1:20" ht="16.2" x14ac:dyDescent="0.35">
      <c r="A31" s="48"/>
      <c r="B31" s="96" t="s">
        <v>105</v>
      </c>
      <c r="D31" s="50" t="s">
        <v>54</v>
      </c>
      <c r="E31" s="50"/>
      <c r="F31" s="50"/>
      <c r="G31" s="50"/>
      <c r="H31" s="50" t="s">
        <v>55</v>
      </c>
      <c r="I31" s="50" t="s">
        <v>55</v>
      </c>
      <c r="J31" s="50"/>
      <c r="K31" s="50"/>
      <c r="M31" s="50"/>
      <c r="N31" s="50"/>
      <c r="P31" s="50" t="s">
        <v>56</v>
      </c>
      <c r="Q31" s="51"/>
      <c r="R31" s="52" t="s">
        <v>56</v>
      </c>
      <c r="S31" s="50"/>
      <c r="T31" s="50"/>
    </row>
    <row r="32" spans="1:20" ht="16.2" x14ac:dyDescent="0.35">
      <c r="A32" s="48"/>
      <c r="B32" s="96" t="s">
        <v>106</v>
      </c>
      <c r="D32" s="50" t="s">
        <v>58</v>
      </c>
      <c r="E32" s="50"/>
      <c r="F32" s="50"/>
      <c r="G32" s="50"/>
      <c r="H32" s="50" t="s">
        <v>59</v>
      </c>
      <c r="I32" s="50" t="s">
        <v>59</v>
      </c>
      <c r="J32" s="50"/>
      <c r="K32" s="50"/>
      <c r="M32" s="50"/>
      <c r="N32" s="50"/>
      <c r="P32" s="50" t="s">
        <v>60</v>
      </c>
      <c r="Q32" s="51"/>
      <c r="R32" s="52" t="s">
        <v>60</v>
      </c>
      <c r="S32" s="50"/>
      <c r="T32" s="50"/>
    </row>
    <row r="33" spans="1:20" ht="14.4" x14ac:dyDescent="0.3">
      <c r="A33" s="48"/>
      <c r="B33" s="48"/>
      <c r="C33" s="48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</row>
    <row r="34" spans="1:20" x14ac:dyDescent="0.3">
      <c r="B34" s="54"/>
      <c r="C34" s="54"/>
    </row>
    <row r="35" spans="1:20" x14ac:dyDescent="0.3">
      <c r="A35" s="54"/>
      <c r="B35" s="54"/>
      <c r="C35" s="54"/>
    </row>
    <row r="36" spans="1:20" x14ac:dyDescent="0.3">
      <c r="A36" s="54"/>
      <c r="B36" s="54"/>
      <c r="C36" s="54"/>
    </row>
    <row r="37" spans="1:20" x14ac:dyDescent="0.3">
      <c r="A37" s="54"/>
      <c r="B37" s="54"/>
      <c r="C37" s="54"/>
    </row>
    <row r="38" spans="1:20" x14ac:dyDescent="0.3">
      <c r="A38" s="54"/>
      <c r="B38" s="54"/>
      <c r="C38" s="54"/>
    </row>
    <row r="39" spans="1:20" x14ac:dyDescent="0.3">
      <c r="A39" s="54"/>
      <c r="B39" s="54"/>
      <c r="C39" s="54"/>
    </row>
    <row r="40" spans="1:20" x14ac:dyDescent="0.3">
      <c r="A40" s="54"/>
      <c r="B40" s="54"/>
      <c r="C40" s="54"/>
    </row>
    <row r="41" spans="1:20" x14ac:dyDescent="0.3">
      <c r="A41" s="54"/>
      <c r="B41" s="54"/>
      <c r="C41" s="54"/>
    </row>
    <row r="42" spans="1:20" x14ac:dyDescent="0.3">
      <c r="A42" s="54"/>
      <c r="B42" s="54"/>
      <c r="C42" s="54"/>
    </row>
    <row r="43" spans="1:20" x14ac:dyDescent="0.3">
      <c r="A43" s="54"/>
      <c r="B43" s="54"/>
      <c r="C43" s="54"/>
    </row>
    <row r="44" spans="1:20" x14ac:dyDescent="0.3">
      <c r="A44" s="54"/>
      <c r="B44" s="54"/>
      <c r="C44" s="54"/>
    </row>
    <row r="45" spans="1:20" x14ac:dyDescent="0.3">
      <c r="A45" s="54"/>
      <c r="B45" s="54"/>
      <c r="C45" s="54"/>
    </row>
    <row r="46" spans="1:20" x14ac:dyDescent="0.3">
      <c r="A46" s="54"/>
      <c r="B46" s="54"/>
      <c r="C46" s="54"/>
    </row>
    <row r="47" spans="1:20" x14ac:dyDescent="0.3">
      <c r="A47" s="54"/>
      <c r="B47" s="54"/>
      <c r="C47" s="54"/>
    </row>
    <row r="48" spans="1:20" s="38" customFormat="1" x14ac:dyDescent="0.3">
      <c r="A48" s="54"/>
      <c r="B48" s="54"/>
      <c r="C48" s="54"/>
      <c r="D48" s="37"/>
      <c r="Q48" s="5"/>
      <c r="R48" s="5"/>
      <c r="S48" s="5"/>
      <c r="T48" s="5"/>
    </row>
    <row r="49" spans="1:20" s="38" customFormat="1" x14ac:dyDescent="0.3">
      <c r="A49" s="54"/>
      <c r="B49" s="54"/>
      <c r="C49" s="54"/>
      <c r="D49" s="37"/>
      <c r="Q49" s="5"/>
      <c r="R49" s="5"/>
      <c r="S49" s="5"/>
      <c r="T49" s="5"/>
    </row>
    <row r="50" spans="1:20" s="38" customFormat="1" x14ac:dyDescent="0.3">
      <c r="A50" s="54"/>
      <c r="B50" s="54"/>
      <c r="C50" s="54"/>
      <c r="D50" s="37"/>
      <c r="F50" s="38" t="s">
        <v>44</v>
      </c>
      <c r="Q50" s="5"/>
      <c r="R50" s="5"/>
      <c r="S50" s="5"/>
      <c r="T50" s="5"/>
    </row>
    <row r="51" spans="1:20" s="38" customFormat="1" x14ac:dyDescent="0.3">
      <c r="A51" s="54"/>
      <c r="B51" s="54"/>
      <c r="C51" s="54"/>
      <c r="D51" s="37"/>
      <c r="Q51" s="5"/>
      <c r="R51" s="5"/>
      <c r="S51" s="5"/>
      <c r="T51" s="5"/>
    </row>
    <row r="52" spans="1:20" s="38" customFormat="1" x14ac:dyDescent="0.3">
      <c r="A52" s="54"/>
      <c r="B52" s="54"/>
      <c r="C52" s="54"/>
      <c r="D52" s="37"/>
      <c r="Q52" s="5"/>
      <c r="R52" s="5"/>
      <c r="S52" s="5"/>
      <c r="T52" s="5"/>
    </row>
    <row r="53" spans="1:20" s="38" customFormat="1" x14ac:dyDescent="0.3">
      <c r="A53" s="54"/>
      <c r="B53" s="54"/>
      <c r="C53" s="54"/>
      <c r="D53" s="37"/>
      <c r="Q53" s="5"/>
      <c r="R53" s="5"/>
      <c r="S53" s="5"/>
      <c r="T53" s="5"/>
    </row>
    <row r="54" spans="1:20" s="38" customFormat="1" x14ac:dyDescent="0.3">
      <c r="A54" s="54"/>
      <c r="B54" s="54"/>
      <c r="C54" s="54"/>
      <c r="D54" s="37"/>
      <c r="Q54" s="5"/>
      <c r="R54" s="5"/>
      <c r="S54" s="5"/>
      <c r="T54" s="5"/>
    </row>
    <row r="55" spans="1:20" s="38" customFormat="1" x14ac:dyDescent="0.3">
      <c r="A55" s="54"/>
      <c r="B55" s="54"/>
      <c r="C55" s="54"/>
      <c r="D55" s="37"/>
      <c r="Q55" s="5"/>
      <c r="R55" s="5"/>
      <c r="S55" s="5"/>
      <c r="T55" s="5"/>
    </row>
    <row r="56" spans="1:20" s="38" customFormat="1" x14ac:dyDescent="0.3">
      <c r="A56" s="54"/>
      <c r="B56" s="54"/>
      <c r="C56" s="54"/>
      <c r="D56" s="37"/>
      <c r="Q56" s="5"/>
      <c r="R56" s="5"/>
      <c r="S56" s="5"/>
      <c r="T56" s="5"/>
    </row>
    <row r="57" spans="1:20" s="38" customFormat="1" x14ac:dyDescent="0.3">
      <c r="A57" s="54"/>
      <c r="B57" s="54"/>
      <c r="C57" s="54"/>
      <c r="D57" s="37"/>
      <c r="Q57" s="5"/>
      <c r="R57" s="5"/>
      <c r="S57" s="5"/>
      <c r="T57" s="5"/>
    </row>
    <row r="58" spans="1:20" s="38" customFormat="1" x14ac:dyDescent="0.3">
      <c r="A58" s="54"/>
      <c r="B58" s="54"/>
      <c r="C58" s="54"/>
      <c r="D58" s="37"/>
      <c r="Q58" s="5"/>
      <c r="R58" s="5"/>
      <c r="S58" s="5"/>
      <c r="T58" s="5"/>
    </row>
    <row r="59" spans="1:20" s="38" customFormat="1" x14ac:dyDescent="0.3">
      <c r="A59" s="54"/>
      <c r="B59" s="54"/>
      <c r="C59" s="54"/>
      <c r="D59" s="37"/>
      <c r="Q59" s="5"/>
      <c r="R59" s="5"/>
      <c r="S59" s="5"/>
      <c r="T59" s="5"/>
    </row>
    <row r="60" spans="1:20" s="38" customFormat="1" x14ac:dyDescent="0.3">
      <c r="A60" s="54"/>
      <c r="B60" s="54"/>
      <c r="C60" s="54"/>
      <c r="D60" s="37"/>
      <c r="Q60" s="5"/>
      <c r="R60" s="5"/>
      <c r="S60" s="5"/>
      <c r="T60" s="5"/>
    </row>
    <row r="61" spans="1:20" s="38" customFormat="1" x14ac:dyDescent="0.3">
      <c r="A61" s="54"/>
      <c r="B61" s="54"/>
      <c r="C61" s="54"/>
      <c r="D61" s="37"/>
      <c r="Q61" s="5"/>
      <c r="R61" s="5"/>
      <c r="S61" s="5"/>
      <c r="T61" s="5"/>
    </row>
    <row r="62" spans="1:20" s="38" customFormat="1" x14ac:dyDescent="0.3">
      <c r="A62" s="54"/>
      <c r="B62" s="54"/>
      <c r="C62" s="54"/>
      <c r="D62" s="37"/>
      <c r="Q62" s="5"/>
      <c r="R62" s="5"/>
      <c r="S62" s="5"/>
      <c r="T62" s="5"/>
    </row>
  </sheetData>
  <mergeCells count="8">
    <mergeCell ref="N23:P23"/>
    <mergeCell ref="D25:E25"/>
    <mergeCell ref="H3:P3"/>
    <mergeCell ref="A4:A5"/>
    <mergeCell ref="B4:B5"/>
    <mergeCell ref="C4:C5"/>
    <mergeCell ref="D4:D5"/>
    <mergeCell ref="E4:T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15F9-6471-4119-BD77-4300FCFA8C2F}">
  <dimension ref="A1:T64"/>
  <sheetViews>
    <sheetView workbookViewId="0">
      <selection activeCell="B17" sqref="B17"/>
    </sheetView>
  </sheetViews>
  <sheetFormatPr defaultRowHeight="15.6" x14ac:dyDescent="0.3"/>
  <cols>
    <col min="1" max="1" width="11.109375" style="37" customWidth="1"/>
    <col min="2" max="2" width="50" style="37" customWidth="1"/>
    <col min="3" max="3" width="8.44140625" style="37" customWidth="1"/>
    <col min="4" max="4" width="11.44140625" style="37" customWidth="1"/>
    <col min="5" max="5" width="11.109375" style="38" customWidth="1"/>
    <col min="6" max="6" width="11.44140625" style="38" customWidth="1"/>
    <col min="7" max="7" width="13.109375" style="38" hidden="1" customWidth="1"/>
    <col min="8" max="8" width="13" style="38" hidden="1" customWidth="1"/>
    <col min="9" max="9" width="10.109375" style="38" hidden="1" customWidth="1"/>
    <col min="10" max="10" width="12.109375" style="38" customWidth="1"/>
    <col min="11" max="11" width="10.88671875" style="38" hidden="1" customWidth="1"/>
    <col min="12" max="12" width="10.44140625" style="38" customWidth="1"/>
    <col min="13" max="13" width="10.5546875" style="38" customWidth="1"/>
    <col min="14" max="14" width="10.109375" style="38" customWidth="1"/>
    <col min="15" max="15" width="9.33203125" style="38" customWidth="1"/>
    <col min="16" max="16" width="10.44140625" style="38" hidden="1" customWidth="1"/>
    <col min="17" max="17" width="7.6640625" style="5" hidden="1" customWidth="1"/>
    <col min="18" max="18" width="10" style="5" customWidth="1"/>
    <col min="19" max="19" width="9.88671875" style="5" customWidth="1"/>
    <col min="20" max="20" width="9.6640625" style="5" hidden="1" customWidth="1"/>
  </cols>
  <sheetData>
    <row r="1" spans="1:20" ht="29.4" x14ac:dyDescent="0.45">
      <c r="A1" s="1" t="s">
        <v>0</v>
      </c>
      <c r="B1" s="2"/>
      <c r="C1" s="2"/>
      <c r="D1" s="3"/>
      <c r="E1" s="3"/>
      <c r="F1" s="3"/>
      <c r="G1" s="3"/>
      <c r="H1" s="3"/>
      <c r="I1" s="3"/>
      <c r="J1" s="3" t="s">
        <v>1</v>
      </c>
      <c r="K1" s="4"/>
      <c r="L1" s="4"/>
      <c r="M1" s="4"/>
      <c r="N1" s="4"/>
      <c r="O1" s="4"/>
      <c r="P1" s="4"/>
    </row>
    <row r="2" spans="1:20" ht="29.4" x14ac:dyDescent="0.45">
      <c r="A2" s="1" t="s">
        <v>2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0" ht="20.399999999999999" x14ac:dyDescent="0.3">
      <c r="A3" s="6"/>
      <c r="B3" s="6"/>
      <c r="C3" s="6"/>
      <c r="D3" s="7"/>
      <c r="E3" s="7"/>
      <c r="F3" s="7"/>
      <c r="G3" s="7"/>
      <c r="H3" s="198"/>
      <c r="I3" s="198" t="s">
        <v>62</v>
      </c>
      <c r="J3" s="198"/>
      <c r="K3" s="198"/>
      <c r="L3" s="198"/>
      <c r="M3" s="198"/>
      <c r="N3" s="198"/>
      <c r="O3" s="198"/>
      <c r="P3" s="198"/>
    </row>
    <row r="4" spans="1:20" ht="15" customHeight="1" x14ac:dyDescent="0.3">
      <c r="A4" s="204" t="s">
        <v>4</v>
      </c>
      <c r="B4" s="206" t="s">
        <v>5</v>
      </c>
      <c r="C4" s="208" t="s">
        <v>6</v>
      </c>
      <c r="D4" s="208" t="s">
        <v>7</v>
      </c>
      <c r="E4" s="210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ht="48.75" customHeight="1" x14ac:dyDescent="0.3">
      <c r="A5" s="205"/>
      <c r="B5" s="207"/>
      <c r="C5" s="209"/>
      <c r="D5" s="209"/>
      <c r="E5" s="9" t="s">
        <v>8</v>
      </c>
      <c r="F5" s="9" t="s">
        <v>10</v>
      </c>
      <c r="G5" s="9" t="s">
        <v>9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86</v>
      </c>
      <c r="O5" s="9" t="s">
        <v>143</v>
      </c>
      <c r="P5" s="9" t="s">
        <v>19</v>
      </c>
      <c r="Q5" s="9" t="s">
        <v>12</v>
      </c>
      <c r="R5" s="9" t="s">
        <v>129</v>
      </c>
      <c r="S5" s="9" t="s">
        <v>65</v>
      </c>
      <c r="T5" s="9" t="s">
        <v>66</v>
      </c>
    </row>
    <row r="6" spans="1:20" ht="14.4" x14ac:dyDescent="0.3">
      <c r="A6" s="10"/>
      <c r="B6" s="11" t="s">
        <v>43</v>
      </c>
      <c r="C6" s="12"/>
      <c r="D6" s="13"/>
      <c r="E6" s="29"/>
      <c r="F6" s="15"/>
      <c r="G6" s="15"/>
      <c r="H6" s="16"/>
      <c r="I6" s="16"/>
      <c r="J6" s="16"/>
      <c r="K6" s="16"/>
      <c r="L6" s="16"/>
      <c r="M6" s="16"/>
      <c r="N6" s="16"/>
      <c r="O6" s="16"/>
      <c r="P6" s="17"/>
      <c r="Q6" s="18"/>
      <c r="R6" s="18"/>
      <c r="S6" s="19"/>
      <c r="T6" s="19"/>
    </row>
    <row r="7" spans="1:20" ht="14.4" x14ac:dyDescent="0.3">
      <c r="A7" s="10">
        <v>45418</v>
      </c>
      <c r="B7" s="11" t="s">
        <v>77</v>
      </c>
      <c r="C7" s="12">
        <v>19187</v>
      </c>
      <c r="D7" s="13"/>
      <c r="E7" s="30">
        <v>2160</v>
      </c>
      <c r="F7" s="15"/>
      <c r="G7" s="15"/>
      <c r="H7" s="16"/>
      <c r="I7" s="16"/>
      <c r="J7" s="16">
        <f>E7</f>
        <v>2160</v>
      </c>
      <c r="K7" s="16"/>
      <c r="L7" s="16"/>
      <c r="M7" s="16"/>
      <c r="N7" s="16"/>
      <c r="O7" s="16"/>
      <c r="P7" s="17"/>
      <c r="Q7" s="18"/>
      <c r="R7" s="18"/>
      <c r="S7" s="19"/>
      <c r="T7" s="19"/>
    </row>
    <row r="8" spans="1:20" ht="14.4" x14ac:dyDescent="0.3">
      <c r="A8" s="10">
        <v>45418</v>
      </c>
      <c r="B8" s="11" t="s">
        <v>102</v>
      </c>
      <c r="C8" s="12">
        <v>19188</v>
      </c>
      <c r="D8" s="13"/>
      <c r="E8" s="30">
        <v>100</v>
      </c>
      <c r="F8" s="15"/>
      <c r="G8" s="15"/>
      <c r="H8" s="16"/>
      <c r="I8" s="16"/>
      <c r="J8" s="16"/>
      <c r="K8" s="16"/>
      <c r="L8" s="16"/>
      <c r="M8" s="16"/>
      <c r="N8" s="16">
        <f>E8</f>
        <v>100</v>
      </c>
      <c r="O8" s="16"/>
      <c r="P8" s="17"/>
      <c r="Q8" s="18"/>
      <c r="R8" s="18"/>
      <c r="S8" s="19"/>
      <c r="T8" s="19"/>
    </row>
    <row r="9" spans="1:20" ht="14.4" x14ac:dyDescent="0.3">
      <c r="A9" s="10">
        <v>45420</v>
      </c>
      <c r="B9" s="11" t="s">
        <v>110</v>
      </c>
      <c r="C9" s="12">
        <v>19189</v>
      </c>
      <c r="D9" s="13"/>
      <c r="E9" s="30">
        <v>295</v>
      </c>
      <c r="F9" s="15">
        <f>E9</f>
        <v>295</v>
      </c>
      <c r="G9" s="15"/>
      <c r="H9" s="16"/>
      <c r="I9" s="16"/>
      <c r="J9" s="16"/>
      <c r="K9" s="16"/>
      <c r="L9" s="16"/>
      <c r="M9" s="16"/>
      <c r="N9" s="16"/>
      <c r="O9" s="16"/>
      <c r="P9" s="17"/>
      <c r="Q9" s="18"/>
      <c r="R9" s="18"/>
      <c r="S9" s="19"/>
      <c r="T9" s="19"/>
    </row>
    <row r="10" spans="1:20" ht="14.4" x14ac:dyDescent="0.3">
      <c r="A10" s="10">
        <v>45420</v>
      </c>
      <c r="B10" s="11" t="s">
        <v>144</v>
      </c>
      <c r="C10" s="12">
        <v>19190</v>
      </c>
      <c r="D10" s="13"/>
      <c r="E10" s="30">
        <v>700</v>
      </c>
      <c r="F10" s="15"/>
      <c r="G10" s="15"/>
      <c r="H10" s="16"/>
      <c r="I10" s="16"/>
      <c r="J10" s="16"/>
      <c r="K10" s="16"/>
      <c r="L10" s="16">
        <f>E10</f>
        <v>700</v>
      </c>
      <c r="M10" s="16"/>
      <c r="N10" s="16"/>
      <c r="O10" s="16"/>
      <c r="P10" s="17"/>
      <c r="Q10" s="18"/>
      <c r="R10" s="18"/>
      <c r="S10" s="19"/>
      <c r="T10" s="19"/>
    </row>
    <row r="11" spans="1:20" ht="14.4" x14ac:dyDescent="0.3">
      <c r="A11" s="10">
        <v>45420</v>
      </c>
      <c r="B11" s="11" t="s">
        <v>145</v>
      </c>
      <c r="C11" s="12">
        <v>19191</v>
      </c>
      <c r="D11" s="13"/>
      <c r="E11" s="30">
        <v>600</v>
      </c>
      <c r="F11" s="15"/>
      <c r="G11" s="15"/>
      <c r="H11" s="16"/>
      <c r="I11" s="16"/>
      <c r="J11" s="16"/>
      <c r="K11" s="16"/>
      <c r="L11" s="16">
        <f>E11</f>
        <v>600</v>
      </c>
      <c r="M11" s="16"/>
      <c r="N11" s="16"/>
      <c r="O11" s="16"/>
      <c r="P11" s="17"/>
      <c r="Q11" s="18"/>
      <c r="R11" s="18"/>
      <c r="S11" s="19"/>
      <c r="T11" s="19"/>
    </row>
    <row r="12" spans="1:20" ht="14.4" x14ac:dyDescent="0.3">
      <c r="A12" s="10">
        <v>45421</v>
      </c>
      <c r="B12" s="11" t="s">
        <v>146</v>
      </c>
      <c r="C12" s="12">
        <v>19192</v>
      </c>
      <c r="D12" s="13"/>
      <c r="E12" s="30">
        <v>300</v>
      </c>
      <c r="F12" s="15"/>
      <c r="G12" s="15"/>
      <c r="H12" s="16"/>
      <c r="I12" s="16"/>
      <c r="J12" s="16"/>
      <c r="K12" s="16"/>
      <c r="L12" s="16"/>
      <c r="M12" s="16"/>
      <c r="N12" s="16"/>
      <c r="O12" s="16">
        <f>E12</f>
        <v>300</v>
      </c>
      <c r="P12" s="17"/>
      <c r="Q12" s="18"/>
      <c r="R12" s="18"/>
      <c r="S12" s="19"/>
      <c r="T12" s="19"/>
    </row>
    <row r="13" spans="1:20" ht="14.4" x14ac:dyDescent="0.3">
      <c r="A13" s="10">
        <v>45422</v>
      </c>
      <c r="B13" s="11" t="s">
        <v>71</v>
      </c>
      <c r="C13" s="12">
        <v>19193</v>
      </c>
      <c r="D13" s="13"/>
      <c r="E13" s="30">
        <v>2000</v>
      </c>
      <c r="F13" s="15"/>
      <c r="G13" s="15"/>
      <c r="H13" s="16"/>
      <c r="I13" s="16"/>
      <c r="J13" s="16"/>
      <c r="K13" s="16"/>
      <c r="L13" s="16"/>
      <c r="M13" s="16"/>
      <c r="N13" s="16"/>
      <c r="O13" s="16"/>
      <c r="P13" s="17"/>
      <c r="Q13" s="18"/>
      <c r="R13" s="18">
        <f>E13</f>
        <v>2000</v>
      </c>
      <c r="S13" s="19"/>
      <c r="T13" s="19"/>
    </row>
    <row r="14" spans="1:20" ht="14.4" x14ac:dyDescent="0.3">
      <c r="A14" s="10">
        <v>45423</v>
      </c>
      <c r="B14" s="11" t="s">
        <v>77</v>
      </c>
      <c r="C14" s="12">
        <v>19194</v>
      </c>
      <c r="D14" s="13"/>
      <c r="E14" s="30">
        <v>2400</v>
      </c>
      <c r="F14" s="15"/>
      <c r="G14" s="15"/>
      <c r="H14" s="16"/>
      <c r="I14" s="16"/>
      <c r="J14" s="16">
        <f>E14</f>
        <v>2400</v>
      </c>
      <c r="K14" s="16"/>
      <c r="L14" s="16"/>
      <c r="M14" s="16"/>
      <c r="N14" s="16"/>
      <c r="O14" s="16"/>
      <c r="P14" s="17"/>
      <c r="Q14" s="18"/>
      <c r="R14" s="18"/>
      <c r="S14" s="19"/>
      <c r="T14" s="19"/>
    </row>
    <row r="15" spans="1:20" ht="14.4" x14ac:dyDescent="0.3">
      <c r="A15" s="10">
        <v>45423</v>
      </c>
      <c r="B15" s="11" t="s">
        <v>146</v>
      </c>
      <c r="C15" s="12">
        <v>19195</v>
      </c>
      <c r="D15" s="13"/>
      <c r="E15" s="30">
        <v>300</v>
      </c>
      <c r="F15" s="15"/>
      <c r="G15" s="15"/>
      <c r="H15" s="16"/>
      <c r="I15" s="16"/>
      <c r="J15" s="16"/>
      <c r="K15" s="16"/>
      <c r="L15" s="16"/>
      <c r="M15" s="16"/>
      <c r="N15" s="16"/>
      <c r="O15" s="16">
        <f>E15</f>
        <v>300</v>
      </c>
      <c r="P15" s="17"/>
      <c r="Q15" s="18"/>
      <c r="R15" s="18"/>
      <c r="S15" s="19"/>
      <c r="T15" s="19"/>
    </row>
    <row r="16" spans="1:20" ht="14.4" x14ac:dyDescent="0.3">
      <c r="A16" s="10">
        <v>45423</v>
      </c>
      <c r="B16" s="11" t="s">
        <v>147</v>
      </c>
      <c r="C16" s="12">
        <v>19196</v>
      </c>
      <c r="D16" s="13"/>
      <c r="E16" s="30">
        <v>1689</v>
      </c>
      <c r="F16" s="15"/>
      <c r="G16" s="15"/>
      <c r="H16" s="16"/>
      <c r="I16" s="16"/>
      <c r="J16" s="16"/>
      <c r="K16" s="16"/>
      <c r="L16" s="16"/>
      <c r="M16" s="16"/>
      <c r="N16" s="16"/>
      <c r="O16" s="16"/>
      <c r="P16" s="17"/>
      <c r="Q16" s="18"/>
      <c r="R16" s="18"/>
      <c r="S16" s="19">
        <f>E16</f>
        <v>1689</v>
      </c>
      <c r="T16" s="19"/>
    </row>
    <row r="17" spans="1:20" ht="14.4" x14ac:dyDescent="0.3">
      <c r="A17" s="10">
        <v>45424</v>
      </c>
      <c r="B17" s="11" t="s">
        <v>110</v>
      </c>
      <c r="C17" s="12">
        <v>19197</v>
      </c>
      <c r="D17" s="13"/>
      <c r="E17" s="30">
        <v>1080</v>
      </c>
      <c r="F17" s="15">
        <f>E17</f>
        <v>1080</v>
      </c>
      <c r="G17" s="15"/>
      <c r="H17" s="16"/>
      <c r="I17" s="16"/>
      <c r="J17" s="16"/>
      <c r="K17" s="16"/>
      <c r="L17" s="16"/>
      <c r="M17" s="16"/>
      <c r="N17" s="16"/>
      <c r="O17" s="16"/>
      <c r="P17" s="17"/>
      <c r="Q17" s="18"/>
      <c r="R17" s="18"/>
      <c r="S17" s="19"/>
      <c r="T17" s="19"/>
    </row>
    <row r="18" spans="1:20" ht="14.4" x14ac:dyDescent="0.3">
      <c r="A18" s="10">
        <v>45425</v>
      </c>
      <c r="B18" s="11" t="s">
        <v>148</v>
      </c>
      <c r="C18" s="12">
        <v>19198</v>
      </c>
      <c r="D18" s="13"/>
      <c r="E18" s="30">
        <v>1000</v>
      </c>
      <c r="F18" s="15"/>
      <c r="G18" s="15"/>
      <c r="H18" s="16"/>
      <c r="I18" s="16"/>
      <c r="J18" s="16"/>
      <c r="K18" s="16"/>
      <c r="L18" s="16">
        <f>E18</f>
        <v>1000</v>
      </c>
      <c r="M18" s="16"/>
      <c r="N18" s="16"/>
      <c r="O18" s="16"/>
      <c r="P18" s="17"/>
      <c r="Q18" s="18"/>
      <c r="R18" s="18"/>
      <c r="S18" s="19"/>
      <c r="T18" s="19"/>
    </row>
    <row r="19" spans="1:20" ht="14.4" x14ac:dyDescent="0.3">
      <c r="A19" s="10">
        <v>45425</v>
      </c>
      <c r="B19" s="11" t="s">
        <v>102</v>
      </c>
      <c r="C19" s="12">
        <v>19199</v>
      </c>
      <c r="D19" s="13"/>
      <c r="E19" s="30">
        <v>100</v>
      </c>
      <c r="F19" s="15"/>
      <c r="G19" s="15"/>
      <c r="H19" s="16"/>
      <c r="I19" s="16"/>
      <c r="J19" s="16"/>
      <c r="K19" s="16"/>
      <c r="L19" s="16"/>
      <c r="M19" s="16"/>
      <c r="N19" s="16">
        <f>E19</f>
        <v>100</v>
      </c>
      <c r="O19" s="16"/>
      <c r="P19" s="17"/>
      <c r="Q19" s="18"/>
      <c r="R19" s="18"/>
      <c r="S19" s="19"/>
      <c r="T19" s="19"/>
    </row>
    <row r="20" spans="1:20" ht="14.4" x14ac:dyDescent="0.3">
      <c r="A20" s="10">
        <v>45425</v>
      </c>
      <c r="B20" s="11" t="s">
        <v>110</v>
      </c>
      <c r="C20" s="12">
        <v>19200</v>
      </c>
      <c r="D20" s="13"/>
      <c r="E20" s="30">
        <v>2350</v>
      </c>
      <c r="F20" s="15">
        <f>E20</f>
        <v>2350</v>
      </c>
      <c r="G20" s="15"/>
      <c r="H20" s="16"/>
      <c r="I20" s="16"/>
      <c r="J20" s="16"/>
      <c r="K20" s="16"/>
      <c r="L20" s="16"/>
      <c r="M20" s="16"/>
      <c r="N20" s="16"/>
      <c r="O20" s="16"/>
      <c r="P20" s="17"/>
      <c r="Q20" s="18"/>
      <c r="R20" s="18"/>
      <c r="S20" s="19"/>
      <c r="T20" s="19"/>
    </row>
    <row r="21" spans="1:20" ht="14.4" x14ac:dyDescent="0.3">
      <c r="A21" s="10">
        <v>45425</v>
      </c>
      <c r="B21" s="11" t="s">
        <v>101</v>
      </c>
      <c r="C21" s="12">
        <v>19201</v>
      </c>
      <c r="D21" s="13"/>
      <c r="E21" s="30">
        <v>910</v>
      </c>
      <c r="F21" s="15"/>
      <c r="G21" s="15"/>
      <c r="H21" s="16"/>
      <c r="I21" s="16"/>
      <c r="J21" s="16"/>
      <c r="K21" s="16"/>
      <c r="L21" s="16"/>
      <c r="M21" s="16">
        <f>E21</f>
        <v>910</v>
      </c>
      <c r="N21" s="16"/>
      <c r="O21" s="16"/>
      <c r="P21" s="17"/>
      <c r="Q21" s="18"/>
      <c r="R21" s="18"/>
      <c r="S21" s="19"/>
      <c r="T21" s="19"/>
    </row>
    <row r="22" spans="1:20" ht="14.4" x14ac:dyDescent="0.3">
      <c r="A22" s="10">
        <v>45426</v>
      </c>
      <c r="B22" s="11" t="s">
        <v>77</v>
      </c>
      <c r="C22" s="12">
        <v>19202</v>
      </c>
      <c r="D22" s="13"/>
      <c r="E22" s="30">
        <v>1920</v>
      </c>
      <c r="F22" s="15"/>
      <c r="G22" s="15"/>
      <c r="H22" s="16"/>
      <c r="I22" s="16"/>
      <c r="J22" s="16">
        <f>E22</f>
        <v>1920</v>
      </c>
      <c r="K22" s="16"/>
      <c r="L22" s="16"/>
      <c r="M22" s="16"/>
      <c r="N22" s="16"/>
      <c r="O22" s="16"/>
      <c r="P22" s="17"/>
      <c r="Q22" s="18"/>
      <c r="R22" s="18"/>
      <c r="S22" s="19"/>
      <c r="T22" s="19"/>
    </row>
    <row r="23" spans="1:20" ht="15" thickBot="1" x14ac:dyDescent="0.35">
      <c r="A23" s="60"/>
      <c r="B23" s="60"/>
      <c r="C23" s="60"/>
      <c r="D23" s="87">
        <v>60000</v>
      </c>
      <c r="E23" s="65">
        <f>SUM(E6:E22)</f>
        <v>17904</v>
      </c>
      <c r="F23" s="65">
        <f t="shared" ref="F23:T23" si="0">SUM(F6:F22)</f>
        <v>3725</v>
      </c>
      <c r="G23" s="65">
        <f t="shared" si="0"/>
        <v>0</v>
      </c>
      <c r="H23" s="65">
        <f t="shared" si="0"/>
        <v>0</v>
      </c>
      <c r="I23" s="65">
        <f t="shared" si="0"/>
        <v>0</v>
      </c>
      <c r="J23" s="65">
        <f t="shared" si="0"/>
        <v>6480</v>
      </c>
      <c r="K23" s="65">
        <f t="shared" si="0"/>
        <v>0</v>
      </c>
      <c r="L23" s="65">
        <f t="shared" si="0"/>
        <v>2300</v>
      </c>
      <c r="M23" s="65">
        <f t="shared" si="0"/>
        <v>910</v>
      </c>
      <c r="N23" s="65">
        <f t="shared" si="0"/>
        <v>200</v>
      </c>
      <c r="O23" s="65">
        <f t="shared" si="0"/>
        <v>600</v>
      </c>
      <c r="P23" s="65">
        <f t="shared" si="0"/>
        <v>0</v>
      </c>
      <c r="Q23" s="65">
        <f t="shared" si="0"/>
        <v>0</v>
      </c>
      <c r="R23" s="65">
        <f t="shared" si="0"/>
        <v>2000</v>
      </c>
      <c r="S23" s="65">
        <f t="shared" si="0"/>
        <v>1689</v>
      </c>
      <c r="T23" s="65">
        <f t="shared" si="0"/>
        <v>0</v>
      </c>
    </row>
    <row r="24" spans="1:20" ht="16.2" thickTop="1" x14ac:dyDescent="0.3">
      <c r="A24" s="44" t="s">
        <v>43</v>
      </c>
      <c r="B24" s="35"/>
      <c r="C24" s="35"/>
      <c r="D24" s="36"/>
      <c r="N24" s="201"/>
      <c r="O24" s="201"/>
      <c r="P24" s="201"/>
    </row>
    <row r="25" spans="1:20" x14ac:dyDescent="0.3">
      <c r="A25" s="44"/>
      <c r="B25" s="35"/>
      <c r="C25" s="35"/>
      <c r="D25" s="36"/>
      <c r="N25" s="39"/>
      <c r="O25" s="39"/>
      <c r="P25" s="39"/>
    </row>
    <row r="26" spans="1:20" ht="16.2" thickBot="1" x14ac:dyDescent="0.35">
      <c r="A26" s="44"/>
      <c r="B26" s="35"/>
      <c r="C26" s="35"/>
      <c r="D26" s="36"/>
      <c r="N26" s="39"/>
      <c r="O26" s="39"/>
      <c r="P26" s="39"/>
    </row>
    <row r="27" spans="1:20" ht="29.4" thickBot="1" x14ac:dyDescent="0.6">
      <c r="B27" s="40" t="s">
        <v>45</v>
      </c>
      <c r="C27" s="41"/>
      <c r="D27" s="196">
        <f>E23</f>
        <v>17904</v>
      </c>
      <c r="E27" s="197">
        <f>SUM(E6:E24)</f>
        <v>35808</v>
      </c>
      <c r="F27" s="42"/>
      <c r="G27" s="42"/>
      <c r="H27" s="43"/>
      <c r="I27" s="43"/>
      <c r="J27" s="43"/>
      <c r="K27" s="43"/>
      <c r="L27" s="43"/>
      <c r="M27" s="43"/>
    </row>
    <row r="28" spans="1:20" x14ac:dyDescent="0.3">
      <c r="A28" s="44"/>
      <c r="B28" s="45"/>
      <c r="C28" s="45"/>
      <c r="D28" s="45"/>
      <c r="E28" s="46" t="s">
        <v>44</v>
      </c>
      <c r="F28" s="46"/>
      <c r="G28" s="46"/>
      <c r="H28" s="46"/>
      <c r="I28" s="46"/>
      <c r="J28" s="46"/>
      <c r="K28" s="46"/>
      <c r="L28" s="46"/>
      <c r="M28" s="46"/>
      <c r="N28" s="47"/>
      <c r="O28" s="5"/>
      <c r="P28" s="5"/>
    </row>
    <row r="29" spans="1:20" x14ac:dyDescent="0.3">
      <c r="A29" s="44"/>
      <c r="B29" s="45"/>
      <c r="C29" s="45"/>
      <c r="D29" s="45"/>
      <c r="E29" s="46"/>
      <c r="F29" s="46"/>
      <c r="G29" s="46"/>
      <c r="H29" s="46"/>
      <c r="I29" s="46"/>
      <c r="J29" s="46"/>
      <c r="K29" s="46"/>
      <c r="L29" s="46"/>
      <c r="M29" s="46"/>
      <c r="N29" s="47"/>
      <c r="O29" s="5"/>
      <c r="P29" s="5"/>
    </row>
    <row r="30" spans="1:20" ht="16.2" x14ac:dyDescent="0.35">
      <c r="A30" s="48"/>
      <c r="B30" s="49"/>
      <c r="D30" s="50"/>
      <c r="E30" s="50"/>
      <c r="F30" s="50"/>
      <c r="G30" s="50"/>
      <c r="H30" s="50"/>
      <c r="J30" s="50"/>
      <c r="L30" s="51"/>
      <c r="M30" s="50"/>
      <c r="N30" s="52"/>
      <c r="O30" s="50"/>
      <c r="Q30" s="51"/>
      <c r="R30" s="50"/>
      <c r="S30" s="50"/>
      <c r="T30" s="50"/>
    </row>
    <row r="31" spans="1:20" ht="16.2" x14ac:dyDescent="0.35">
      <c r="A31" s="48"/>
      <c r="B31" s="49" t="s">
        <v>46</v>
      </c>
      <c r="D31" s="50" t="s">
        <v>47</v>
      </c>
      <c r="E31" s="50"/>
      <c r="F31" s="50"/>
      <c r="G31" s="50"/>
      <c r="H31" s="50" t="s">
        <v>47</v>
      </c>
      <c r="I31" s="50" t="s">
        <v>47</v>
      </c>
      <c r="J31" s="50" t="s">
        <v>47</v>
      </c>
      <c r="K31" s="50"/>
      <c r="M31" s="50"/>
      <c r="N31" s="50"/>
      <c r="O31" s="52" t="s">
        <v>48</v>
      </c>
      <c r="P31" s="50" t="s">
        <v>48</v>
      </c>
      <c r="Q31" s="51"/>
      <c r="R31" s="50"/>
      <c r="S31" s="50"/>
      <c r="T31" s="50"/>
    </row>
    <row r="32" spans="1:20" ht="16.2" x14ac:dyDescent="0.35">
      <c r="A32" s="48"/>
      <c r="B32" s="49" t="s">
        <v>49</v>
      </c>
      <c r="D32" s="50" t="s">
        <v>50</v>
      </c>
      <c r="E32" s="50"/>
      <c r="F32" s="50"/>
      <c r="G32" s="50"/>
      <c r="H32" s="50" t="s">
        <v>51</v>
      </c>
      <c r="I32" s="50" t="s">
        <v>51</v>
      </c>
      <c r="J32" s="50" t="s">
        <v>51</v>
      </c>
      <c r="K32" s="50"/>
      <c r="M32" s="50"/>
      <c r="N32" s="50"/>
      <c r="O32" s="52" t="s">
        <v>52</v>
      </c>
      <c r="P32" s="50" t="s">
        <v>52</v>
      </c>
      <c r="Q32" s="51"/>
      <c r="R32" s="50"/>
      <c r="S32" s="50"/>
      <c r="T32" s="50"/>
    </row>
    <row r="33" spans="1:20" ht="16.2" x14ac:dyDescent="0.35">
      <c r="A33" s="48"/>
      <c r="B33" s="49" t="s">
        <v>53</v>
      </c>
      <c r="D33" s="50" t="s">
        <v>54</v>
      </c>
      <c r="E33" s="50"/>
      <c r="F33" s="50"/>
      <c r="G33" s="50"/>
      <c r="H33" s="50" t="s">
        <v>55</v>
      </c>
      <c r="I33" s="50" t="s">
        <v>55</v>
      </c>
      <c r="J33" s="50" t="s">
        <v>55</v>
      </c>
      <c r="K33" s="50"/>
      <c r="M33" s="50"/>
      <c r="N33" s="50"/>
      <c r="O33" s="52" t="s">
        <v>56</v>
      </c>
      <c r="P33" s="50" t="s">
        <v>56</v>
      </c>
      <c r="Q33" s="51"/>
      <c r="R33" s="50"/>
      <c r="S33" s="50"/>
      <c r="T33" s="50"/>
    </row>
    <row r="34" spans="1:20" ht="16.2" x14ac:dyDescent="0.35">
      <c r="A34" s="48"/>
      <c r="B34" s="49" t="s">
        <v>57</v>
      </c>
      <c r="D34" s="50" t="s">
        <v>58</v>
      </c>
      <c r="E34" s="50"/>
      <c r="F34" s="50"/>
      <c r="G34" s="50"/>
      <c r="H34" s="50" t="s">
        <v>59</v>
      </c>
      <c r="I34" s="50" t="s">
        <v>59</v>
      </c>
      <c r="J34" s="50" t="s">
        <v>59</v>
      </c>
      <c r="K34" s="50"/>
      <c r="M34" s="50"/>
      <c r="N34" s="50"/>
      <c r="O34" s="52" t="s">
        <v>60</v>
      </c>
      <c r="P34" s="50" t="s">
        <v>60</v>
      </c>
      <c r="Q34" s="51"/>
      <c r="R34" s="50"/>
      <c r="S34" s="50"/>
      <c r="T34" s="50"/>
    </row>
    <row r="35" spans="1:20" ht="14.4" x14ac:dyDescent="0.3">
      <c r="A35" s="48"/>
      <c r="B35" s="48"/>
      <c r="C35" s="48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</row>
    <row r="36" spans="1:20" x14ac:dyDescent="0.3">
      <c r="B36" s="54"/>
      <c r="C36" s="54"/>
    </row>
    <row r="37" spans="1:20" x14ac:dyDescent="0.3">
      <c r="A37" s="54"/>
      <c r="B37" s="54"/>
      <c r="C37" s="54"/>
    </row>
    <row r="38" spans="1:20" x14ac:dyDescent="0.3">
      <c r="A38" s="54"/>
      <c r="B38" s="54"/>
      <c r="C38" s="54"/>
    </row>
    <row r="39" spans="1:20" x14ac:dyDescent="0.3">
      <c r="A39" s="54"/>
      <c r="B39" s="54"/>
      <c r="C39" s="54"/>
    </row>
    <row r="40" spans="1:20" x14ac:dyDescent="0.3">
      <c r="A40" s="54"/>
      <c r="B40" s="54"/>
      <c r="C40" s="54"/>
    </row>
    <row r="41" spans="1:20" x14ac:dyDescent="0.3">
      <c r="A41" s="54"/>
      <c r="B41" s="54"/>
      <c r="C41" s="54"/>
    </row>
    <row r="42" spans="1:20" x14ac:dyDescent="0.3">
      <c r="A42" s="54"/>
      <c r="B42" s="54"/>
      <c r="C42" s="54"/>
    </row>
    <row r="43" spans="1:20" x14ac:dyDescent="0.3">
      <c r="A43" s="54"/>
      <c r="B43" s="54"/>
      <c r="C43" s="54"/>
    </row>
    <row r="44" spans="1:20" x14ac:dyDescent="0.3">
      <c r="A44" s="54"/>
      <c r="B44" s="54"/>
      <c r="C44" s="54"/>
    </row>
    <row r="45" spans="1:20" x14ac:dyDescent="0.3">
      <c r="A45" s="54"/>
      <c r="B45" s="54"/>
      <c r="C45" s="54"/>
    </row>
    <row r="46" spans="1:20" x14ac:dyDescent="0.3">
      <c r="A46" s="54"/>
      <c r="B46" s="54"/>
      <c r="C46" s="54"/>
    </row>
    <row r="47" spans="1:20" x14ac:dyDescent="0.3">
      <c r="A47" s="54"/>
      <c r="B47" s="54"/>
      <c r="C47" s="54"/>
    </row>
    <row r="48" spans="1:20" x14ac:dyDescent="0.3">
      <c r="A48" s="54"/>
      <c r="B48" s="54"/>
      <c r="C48" s="54"/>
    </row>
    <row r="49" spans="1:20" x14ac:dyDescent="0.3">
      <c r="A49" s="54"/>
      <c r="B49" s="54"/>
      <c r="C49" s="54"/>
    </row>
    <row r="50" spans="1:20" s="38" customFormat="1" x14ac:dyDescent="0.3">
      <c r="A50" s="54"/>
      <c r="B50" s="54"/>
      <c r="C50" s="54"/>
      <c r="D50" s="37"/>
      <c r="Q50" s="5"/>
      <c r="R50" s="5"/>
      <c r="S50" s="5"/>
      <c r="T50" s="5"/>
    </row>
    <row r="51" spans="1:20" s="38" customFormat="1" x14ac:dyDescent="0.3">
      <c r="A51" s="54"/>
      <c r="B51" s="54"/>
      <c r="C51" s="54"/>
      <c r="D51" s="37"/>
      <c r="Q51" s="5"/>
      <c r="R51" s="5"/>
      <c r="S51" s="5"/>
      <c r="T51" s="5"/>
    </row>
    <row r="52" spans="1:20" s="38" customFormat="1" x14ac:dyDescent="0.3">
      <c r="A52" s="54"/>
      <c r="B52" s="54"/>
      <c r="C52" s="54"/>
      <c r="D52" s="37"/>
      <c r="F52" s="38" t="s">
        <v>44</v>
      </c>
      <c r="Q52" s="5"/>
      <c r="R52" s="5"/>
      <c r="S52" s="5"/>
      <c r="T52" s="5"/>
    </row>
    <row r="53" spans="1:20" s="38" customFormat="1" x14ac:dyDescent="0.3">
      <c r="A53" s="54"/>
      <c r="B53" s="54"/>
      <c r="C53" s="54"/>
      <c r="D53" s="37"/>
      <c r="Q53" s="5"/>
      <c r="R53" s="5"/>
      <c r="S53" s="5"/>
      <c r="T53" s="5"/>
    </row>
    <row r="54" spans="1:20" s="38" customFormat="1" x14ac:dyDescent="0.3">
      <c r="A54" s="54"/>
      <c r="B54" s="54"/>
      <c r="C54" s="54"/>
      <c r="D54" s="37"/>
      <c r="Q54" s="5"/>
      <c r="R54" s="5"/>
      <c r="S54" s="5"/>
      <c r="T54" s="5"/>
    </row>
    <row r="55" spans="1:20" s="38" customFormat="1" x14ac:dyDescent="0.3">
      <c r="A55" s="54"/>
      <c r="B55" s="54"/>
      <c r="C55" s="54"/>
      <c r="D55" s="37"/>
      <c r="Q55" s="5"/>
      <c r="R55" s="5"/>
      <c r="S55" s="5"/>
      <c r="T55" s="5"/>
    </row>
    <row r="56" spans="1:20" s="38" customFormat="1" x14ac:dyDescent="0.3">
      <c r="A56" s="54"/>
      <c r="B56" s="54"/>
      <c r="C56" s="54"/>
      <c r="D56" s="37"/>
      <c r="Q56" s="5"/>
      <c r="R56" s="5"/>
      <c r="S56" s="5"/>
      <c r="T56" s="5"/>
    </row>
    <row r="57" spans="1:20" s="38" customFormat="1" x14ac:dyDescent="0.3">
      <c r="A57" s="54"/>
      <c r="B57" s="54"/>
      <c r="C57" s="54"/>
      <c r="D57" s="37"/>
      <c r="Q57" s="5"/>
      <c r="R57" s="5"/>
      <c r="S57" s="5"/>
      <c r="T57" s="5"/>
    </row>
    <row r="58" spans="1:20" s="38" customFormat="1" x14ac:dyDescent="0.3">
      <c r="A58" s="54"/>
      <c r="B58" s="54"/>
      <c r="C58" s="54"/>
      <c r="D58" s="37"/>
      <c r="Q58" s="5"/>
      <c r="R58" s="5"/>
      <c r="S58" s="5"/>
      <c r="T58" s="5"/>
    </row>
    <row r="59" spans="1:20" s="38" customFormat="1" x14ac:dyDescent="0.3">
      <c r="A59" s="54"/>
      <c r="B59" s="54"/>
      <c r="C59" s="54"/>
      <c r="D59" s="37"/>
      <c r="Q59" s="5"/>
      <c r="R59" s="5"/>
      <c r="S59" s="5"/>
      <c r="T59" s="5"/>
    </row>
    <row r="60" spans="1:20" s="38" customFormat="1" x14ac:dyDescent="0.3">
      <c r="A60" s="54"/>
      <c r="B60" s="54"/>
      <c r="C60" s="54"/>
      <c r="D60" s="37"/>
      <c r="Q60" s="5"/>
      <c r="R60" s="5"/>
      <c r="S60" s="5"/>
      <c r="T60" s="5"/>
    </row>
    <row r="61" spans="1:20" s="38" customFormat="1" x14ac:dyDescent="0.3">
      <c r="A61" s="54"/>
      <c r="B61" s="54"/>
      <c r="C61" s="54"/>
      <c r="D61" s="37"/>
      <c r="Q61" s="5"/>
      <c r="R61" s="5"/>
      <c r="S61" s="5"/>
      <c r="T61" s="5"/>
    </row>
    <row r="62" spans="1:20" s="38" customFormat="1" x14ac:dyDescent="0.3">
      <c r="A62" s="54"/>
      <c r="B62" s="54"/>
      <c r="C62" s="54"/>
      <c r="D62" s="37"/>
      <c r="Q62" s="5"/>
      <c r="R62" s="5"/>
      <c r="S62" s="5"/>
      <c r="T62" s="5"/>
    </row>
    <row r="63" spans="1:20" s="38" customFormat="1" x14ac:dyDescent="0.3">
      <c r="A63" s="54"/>
      <c r="B63" s="54"/>
      <c r="C63" s="54"/>
      <c r="D63" s="37"/>
      <c r="Q63" s="5"/>
      <c r="R63" s="5"/>
      <c r="S63" s="5"/>
      <c r="T63" s="5"/>
    </row>
    <row r="64" spans="1:20" s="38" customFormat="1" x14ac:dyDescent="0.3">
      <c r="A64" s="54"/>
      <c r="B64" s="54"/>
      <c r="C64" s="54"/>
      <c r="D64" s="37"/>
      <c r="Q64" s="5"/>
      <c r="R64" s="5"/>
      <c r="S64" s="5"/>
      <c r="T64" s="5"/>
    </row>
  </sheetData>
  <mergeCells count="8">
    <mergeCell ref="N24:P24"/>
    <mergeCell ref="D27:E27"/>
    <mergeCell ref="H3:P3"/>
    <mergeCell ref="A4:A5"/>
    <mergeCell ref="B4:B5"/>
    <mergeCell ref="C4:C5"/>
    <mergeCell ref="D4:D5"/>
    <mergeCell ref="E4:T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B973-D08F-4763-91C0-389734F900F2}">
  <dimension ref="A1:T56"/>
  <sheetViews>
    <sheetView workbookViewId="0">
      <selection activeCell="B13" sqref="B13"/>
    </sheetView>
  </sheetViews>
  <sheetFormatPr defaultRowHeight="15.6" x14ac:dyDescent="0.3"/>
  <cols>
    <col min="1" max="1" width="11.109375" style="37" customWidth="1"/>
    <col min="2" max="2" width="49.6640625" style="37" customWidth="1"/>
    <col min="3" max="3" width="8.44140625" style="37" customWidth="1"/>
    <col min="4" max="4" width="11.44140625" style="37" customWidth="1"/>
    <col min="5" max="5" width="14.6640625" style="38" customWidth="1"/>
    <col min="6" max="6" width="13.109375" style="38" customWidth="1"/>
    <col min="7" max="7" width="13.109375" style="38" hidden="1" customWidth="1"/>
    <col min="8" max="8" width="13" style="38" hidden="1" customWidth="1"/>
    <col min="9" max="9" width="10.109375" style="38" hidden="1" customWidth="1"/>
    <col min="10" max="10" width="14.109375" style="38" customWidth="1"/>
    <col min="11" max="11" width="10.88671875" style="38" customWidth="1"/>
    <col min="12" max="12" width="10.44140625" style="38" customWidth="1"/>
    <col min="13" max="13" width="10.5546875" style="38" customWidth="1"/>
    <col min="14" max="14" width="10.109375" style="38" hidden="1" customWidth="1"/>
    <col min="15" max="15" width="14.44140625" style="38" hidden="1" customWidth="1"/>
    <col min="16" max="16" width="10.44140625" style="38" hidden="1" customWidth="1"/>
    <col min="17" max="17" width="7.6640625" style="5" hidden="1" customWidth="1"/>
    <col min="18" max="18" width="12.6640625" style="5" customWidth="1"/>
    <col min="19" max="19" width="10.5546875" style="5" hidden="1" customWidth="1"/>
    <col min="20" max="20" width="9.6640625" style="5" hidden="1" customWidth="1"/>
  </cols>
  <sheetData>
    <row r="1" spans="1:20" ht="29.4" x14ac:dyDescent="0.45">
      <c r="A1" s="1" t="s">
        <v>0</v>
      </c>
      <c r="B1" s="2"/>
      <c r="C1" s="2"/>
      <c r="D1" s="3"/>
      <c r="E1" s="3"/>
      <c r="F1" s="3"/>
      <c r="G1" s="3"/>
      <c r="H1" s="3"/>
      <c r="I1" s="3"/>
      <c r="J1" s="3" t="s">
        <v>1</v>
      </c>
      <c r="K1" s="4"/>
      <c r="L1" s="4"/>
      <c r="M1" s="4"/>
      <c r="N1" s="4"/>
      <c r="O1" s="4"/>
      <c r="P1" s="4"/>
    </row>
    <row r="2" spans="1:20" ht="29.4" x14ac:dyDescent="0.45">
      <c r="A2" s="1" t="s">
        <v>2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0" ht="20.399999999999999" x14ac:dyDescent="0.3">
      <c r="A3" s="6"/>
      <c r="B3" s="6"/>
      <c r="C3" s="6"/>
      <c r="D3" s="7"/>
      <c r="E3" s="7"/>
      <c r="F3" s="7"/>
      <c r="G3" s="7"/>
      <c r="H3" s="198"/>
      <c r="I3" s="198" t="s">
        <v>62</v>
      </c>
      <c r="J3" s="198"/>
      <c r="K3" s="198"/>
      <c r="L3" s="198"/>
      <c r="M3" s="198"/>
      <c r="N3" s="198"/>
      <c r="O3" s="198"/>
      <c r="P3" s="198"/>
    </row>
    <row r="4" spans="1:20" ht="15" customHeight="1" x14ac:dyDescent="0.3">
      <c r="A4" s="204" t="s">
        <v>4</v>
      </c>
      <c r="B4" s="206" t="s">
        <v>5</v>
      </c>
      <c r="C4" s="208" t="s">
        <v>6</v>
      </c>
      <c r="D4" s="208" t="s">
        <v>7</v>
      </c>
      <c r="E4" s="210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ht="79.2" x14ac:dyDescent="0.3">
      <c r="A5" s="205"/>
      <c r="B5" s="207"/>
      <c r="C5" s="209"/>
      <c r="D5" s="209"/>
      <c r="E5" s="9" t="s">
        <v>8</v>
      </c>
      <c r="F5" s="9" t="s">
        <v>10</v>
      </c>
      <c r="G5" s="9" t="s">
        <v>9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86</v>
      </c>
      <c r="O5" s="9" t="s">
        <v>63</v>
      </c>
      <c r="P5" s="9" t="s">
        <v>19</v>
      </c>
      <c r="Q5" s="9" t="s">
        <v>12</v>
      </c>
      <c r="R5" s="9" t="s">
        <v>129</v>
      </c>
      <c r="S5" s="9" t="s">
        <v>65</v>
      </c>
      <c r="T5" s="9" t="s">
        <v>66</v>
      </c>
    </row>
    <row r="6" spans="1:20" ht="14.4" x14ac:dyDescent="0.3">
      <c r="A6" s="10"/>
      <c r="B6" s="11" t="s">
        <v>43</v>
      </c>
      <c r="C6" s="12"/>
      <c r="D6" s="13"/>
      <c r="E6" s="29"/>
      <c r="F6" s="15"/>
      <c r="G6" s="15"/>
      <c r="H6" s="16"/>
      <c r="I6" s="16"/>
      <c r="J6" s="16"/>
      <c r="K6" s="16"/>
      <c r="L6" s="16"/>
      <c r="M6" s="16"/>
      <c r="N6" s="16"/>
      <c r="O6" s="16"/>
      <c r="P6" s="17"/>
      <c r="Q6" s="18"/>
      <c r="R6" s="18"/>
      <c r="S6" s="19"/>
      <c r="T6" s="19"/>
    </row>
    <row r="7" spans="1:20" x14ac:dyDescent="0.3">
      <c r="A7" s="21">
        <v>45409</v>
      </c>
      <c r="B7" s="67" t="s">
        <v>141</v>
      </c>
      <c r="C7" s="79">
        <v>19179</v>
      </c>
      <c r="D7" s="80"/>
      <c r="E7" s="15">
        <v>750</v>
      </c>
      <c r="F7" s="15"/>
      <c r="G7" s="15"/>
      <c r="H7" s="16"/>
      <c r="I7" s="16"/>
      <c r="J7" s="16"/>
      <c r="K7" s="16">
        <f>E7</f>
        <v>750</v>
      </c>
      <c r="L7" s="16"/>
      <c r="M7" s="16"/>
      <c r="N7" s="16"/>
      <c r="O7" s="16"/>
      <c r="P7" s="17"/>
      <c r="Q7" s="18"/>
      <c r="R7" s="18"/>
      <c r="S7" s="19"/>
      <c r="T7" s="19"/>
    </row>
    <row r="8" spans="1:20" x14ac:dyDescent="0.3">
      <c r="A8" s="21">
        <v>45409</v>
      </c>
      <c r="B8" s="67" t="s">
        <v>77</v>
      </c>
      <c r="C8" s="23">
        <v>19180</v>
      </c>
      <c r="D8" s="24"/>
      <c r="E8" s="89">
        <v>2160</v>
      </c>
      <c r="F8" s="15"/>
      <c r="G8" s="15"/>
      <c r="H8" s="16"/>
      <c r="I8" s="16"/>
      <c r="J8" s="16">
        <f>E8</f>
        <v>2160</v>
      </c>
      <c r="K8" s="16"/>
      <c r="L8" s="16"/>
      <c r="M8" s="16"/>
      <c r="N8" s="16"/>
      <c r="O8" s="16"/>
      <c r="P8" s="17"/>
      <c r="Q8" s="18"/>
      <c r="R8" s="18"/>
      <c r="S8" s="19"/>
      <c r="T8" s="19"/>
    </row>
    <row r="9" spans="1:20" x14ac:dyDescent="0.3">
      <c r="A9" s="21">
        <v>45409</v>
      </c>
      <c r="B9" s="67" t="s">
        <v>101</v>
      </c>
      <c r="C9" s="23">
        <v>19181</v>
      </c>
      <c r="D9" s="24"/>
      <c r="E9" s="89">
        <v>250</v>
      </c>
      <c r="F9" s="15"/>
      <c r="G9" s="15"/>
      <c r="H9" s="16"/>
      <c r="I9" s="16"/>
      <c r="J9" s="16"/>
      <c r="K9" s="16"/>
      <c r="L9" s="16"/>
      <c r="M9" s="16">
        <f>E9</f>
        <v>250</v>
      </c>
      <c r="N9" s="16"/>
      <c r="O9" s="16"/>
      <c r="P9" s="17"/>
      <c r="Q9" s="18"/>
      <c r="R9" s="18"/>
      <c r="S9" s="19"/>
      <c r="T9" s="19"/>
    </row>
    <row r="10" spans="1:20" x14ac:dyDescent="0.3">
      <c r="A10" s="21">
        <v>45390</v>
      </c>
      <c r="B10" s="67" t="s">
        <v>101</v>
      </c>
      <c r="C10" s="23">
        <v>19182</v>
      </c>
      <c r="D10" s="24"/>
      <c r="E10" s="89">
        <v>2980</v>
      </c>
      <c r="F10" s="15"/>
      <c r="G10" s="15"/>
      <c r="H10" s="16"/>
      <c r="I10" s="16"/>
      <c r="J10" s="16"/>
      <c r="K10" s="16"/>
      <c r="L10" s="16"/>
      <c r="M10" s="16">
        <f>E10</f>
        <v>2980</v>
      </c>
      <c r="N10" s="16"/>
      <c r="O10" s="16"/>
      <c r="P10" s="17"/>
      <c r="Q10" s="18"/>
      <c r="R10" s="18"/>
      <c r="S10" s="19"/>
      <c r="T10" s="19"/>
    </row>
    <row r="11" spans="1:20" x14ac:dyDescent="0.3">
      <c r="A11" s="21">
        <v>45414</v>
      </c>
      <c r="B11" s="67" t="s">
        <v>77</v>
      </c>
      <c r="C11" s="23">
        <v>19183</v>
      </c>
      <c r="D11" s="24"/>
      <c r="E11" s="89">
        <v>2400</v>
      </c>
      <c r="F11" s="15"/>
      <c r="G11" s="15"/>
      <c r="H11" s="16"/>
      <c r="I11" s="16"/>
      <c r="J11" s="16">
        <f>E11</f>
        <v>2400</v>
      </c>
      <c r="K11" s="16"/>
      <c r="L11" s="16"/>
      <c r="M11" s="16"/>
      <c r="N11" s="16"/>
      <c r="O11" s="16"/>
      <c r="P11" s="17"/>
      <c r="Q11" s="18"/>
      <c r="R11" s="18"/>
      <c r="S11" s="19"/>
      <c r="T11" s="19"/>
    </row>
    <row r="12" spans="1:20" x14ac:dyDescent="0.3">
      <c r="A12" s="21">
        <v>45414</v>
      </c>
      <c r="B12" s="90" t="s">
        <v>142</v>
      </c>
      <c r="C12" s="23">
        <v>19184</v>
      </c>
      <c r="D12" s="24"/>
      <c r="E12" s="89">
        <v>1500</v>
      </c>
      <c r="F12" s="15"/>
      <c r="G12" s="15"/>
      <c r="H12" s="16"/>
      <c r="I12" s="16"/>
      <c r="J12" s="16"/>
      <c r="K12" s="16"/>
      <c r="L12" s="16">
        <f>E12</f>
        <v>1500</v>
      </c>
      <c r="M12" s="16"/>
      <c r="N12" s="16"/>
      <c r="O12" s="16"/>
      <c r="P12" s="17"/>
      <c r="Q12" s="18"/>
      <c r="R12" s="18"/>
      <c r="S12" s="19"/>
      <c r="T12" s="19"/>
    </row>
    <row r="13" spans="1:20" x14ac:dyDescent="0.3">
      <c r="A13" s="21">
        <v>45415</v>
      </c>
      <c r="B13" s="90" t="s">
        <v>71</v>
      </c>
      <c r="C13" s="75">
        <v>19185</v>
      </c>
      <c r="D13" s="24"/>
      <c r="E13" s="89">
        <v>2000</v>
      </c>
      <c r="F13" s="15"/>
      <c r="G13" s="15"/>
      <c r="H13" s="16"/>
      <c r="I13" s="16"/>
      <c r="J13" s="16"/>
      <c r="K13" s="16"/>
      <c r="L13" s="16"/>
      <c r="M13" s="16"/>
      <c r="N13" s="16"/>
      <c r="O13" s="16"/>
      <c r="P13" s="17"/>
      <c r="Q13" s="18"/>
      <c r="R13" s="18">
        <f>E13</f>
        <v>2000</v>
      </c>
      <c r="S13" s="19"/>
      <c r="T13" s="19"/>
    </row>
    <row r="14" spans="1:20" x14ac:dyDescent="0.3">
      <c r="A14" s="21">
        <v>45414</v>
      </c>
      <c r="B14" s="67" t="s">
        <v>110</v>
      </c>
      <c r="C14" s="23">
        <v>19186</v>
      </c>
      <c r="D14" s="24"/>
      <c r="E14" s="89">
        <v>1840</v>
      </c>
      <c r="F14" s="15">
        <f>E14</f>
        <v>1840</v>
      </c>
      <c r="G14" s="15"/>
      <c r="H14" s="16"/>
      <c r="I14" s="16"/>
      <c r="J14" s="16"/>
      <c r="K14" s="16"/>
      <c r="L14" s="16"/>
      <c r="M14" s="16"/>
      <c r="N14" s="16"/>
      <c r="O14" s="16"/>
      <c r="P14" s="17"/>
      <c r="Q14" s="18"/>
      <c r="R14" s="18"/>
      <c r="S14" s="19"/>
      <c r="T14" s="19"/>
    </row>
    <row r="15" spans="1:20" ht="15" thickBot="1" x14ac:dyDescent="0.35">
      <c r="A15" s="60"/>
      <c r="B15" s="60"/>
      <c r="C15" s="60"/>
      <c r="D15" s="87">
        <v>60000</v>
      </c>
      <c r="E15" s="65">
        <f t="shared" ref="E15:R15" si="0">SUM(E6:E14)</f>
        <v>13880</v>
      </c>
      <c r="F15" s="65">
        <f t="shared" si="0"/>
        <v>1840</v>
      </c>
      <c r="G15" s="65">
        <f t="shared" si="0"/>
        <v>0</v>
      </c>
      <c r="H15" s="65">
        <f t="shared" si="0"/>
        <v>0</v>
      </c>
      <c r="I15" s="65">
        <f t="shared" si="0"/>
        <v>0</v>
      </c>
      <c r="J15" s="65">
        <f t="shared" si="0"/>
        <v>4560</v>
      </c>
      <c r="K15" s="65">
        <f t="shared" si="0"/>
        <v>750</v>
      </c>
      <c r="L15" s="65">
        <f t="shared" si="0"/>
        <v>1500</v>
      </c>
      <c r="M15" s="65">
        <f t="shared" si="0"/>
        <v>3230</v>
      </c>
      <c r="N15" s="65">
        <f t="shared" si="0"/>
        <v>0</v>
      </c>
      <c r="O15" s="65">
        <f t="shared" si="0"/>
        <v>0</v>
      </c>
      <c r="P15" s="65">
        <f t="shared" si="0"/>
        <v>0</v>
      </c>
      <c r="Q15" s="65">
        <f t="shared" si="0"/>
        <v>0</v>
      </c>
      <c r="R15" s="65">
        <f t="shared" si="0"/>
        <v>2000</v>
      </c>
      <c r="S15" s="62">
        <f>SUM(S7:S14)</f>
        <v>0</v>
      </c>
      <c r="T15" s="34"/>
    </row>
    <row r="16" spans="1:20" ht="16.2" thickTop="1" x14ac:dyDescent="0.3">
      <c r="A16" s="44" t="s">
        <v>43</v>
      </c>
      <c r="B16" s="35"/>
      <c r="C16" s="35"/>
      <c r="D16" s="36"/>
      <c r="N16" s="201"/>
      <c r="O16" s="201"/>
      <c r="P16" s="201"/>
    </row>
    <row r="17" spans="1:20" x14ac:dyDescent="0.3">
      <c r="A17" s="44"/>
      <c r="B17" s="35"/>
      <c r="C17" s="35"/>
      <c r="D17" s="36"/>
      <c r="N17" s="39"/>
      <c r="O17" s="39"/>
      <c r="P17" s="39"/>
    </row>
    <row r="18" spans="1:20" ht="16.2" thickBot="1" x14ac:dyDescent="0.35">
      <c r="A18" s="44"/>
      <c r="B18" s="35"/>
      <c r="C18" s="35"/>
      <c r="D18" s="36"/>
      <c r="N18" s="39"/>
      <c r="O18" s="39"/>
      <c r="P18" s="39"/>
    </row>
    <row r="19" spans="1:20" ht="29.4" thickBot="1" x14ac:dyDescent="0.6">
      <c r="B19" s="40" t="s">
        <v>45</v>
      </c>
      <c r="C19" s="41"/>
      <c r="D19" s="196">
        <f>E15</f>
        <v>13880</v>
      </c>
      <c r="E19" s="197">
        <f>SUM(E6:E16)</f>
        <v>27760</v>
      </c>
      <c r="F19" s="42"/>
      <c r="G19" s="42"/>
      <c r="H19" s="43"/>
      <c r="I19" s="43"/>
      <c r="J19" s="43"/>
      <c r="K19" s="43"/>
      <c r="L19" s="43"/>
      <c r="M19" s="43"/>
    </row>
    <row r="20" spans="1:20" x14ac:dyDescent="0.3">
      <c r="A20" s="44"/>
      <c r="B20" s="45"/>
      <c r="C20" s="45"/>
      <c r="D20" s="45"/>
      <c r="E20" s="46" t="s">
        <v>44</v>
      </c>
      <c r="F20" s="46"/>
      <c r="G20" s="46"/>
      <c r="H20" s="46"/>
      <c r="I20" s="46"/>
      <c r="J20" s="46"/>
      <c r="K20" s="46"/>
      <c r="L20" s="46"/>
      <c r="M20" s="46"/>
      <c r="N20" s="47"/>
      <c r="O20" s="5"/>
      <c r="P20" s="5"/>
    </row>
    <row r="21" spans="1:20" x14ac:dyDescent="0.3">
      <c r="A21" s="44"/>
      <c r="B21" s="45"/>
      <c r="C21" s="45"/>
      <c r="D21" s="45"/>
      <c r="E21" s="46"/>
      <c r="F21" s="46"/>
      <c r="G21" s="46"/>
      <c r="H21" s="46"/>
      <c r="I21" s="46"/>
      <c r="J21" s="46"/>
      <c r="K21" s="46"/>
      <c r="L21" s="46"/>
      <c r="M21" s="46"/>
      <c r="N21" s="47"/>
      <c r="O21" s="5"/>
      <c r="P21" s="5"/>
    </row>
    <row r="22" spans="1:20" ht="16.2" x14ac:dyDescent="0.35">
      <c r="A22" s="48"/>
      <c r="B22" s="49"/>
      <c r="D22" s="50"/>
      <c r="E22" s="50"/>
      <c r="F22" s="50"/>
      <c r="G22" s="50"/>
      <c r="H22" s="50"/>
      <c r="J22" s="50"/>
      <c r="L22" s="51"/>
      <c r="M22" s="50"/>
      <c r="N22" s="52"/>
      <c r="O22" s="50"/>
      <c r="Q22" s="51"/>
      <c r="R22" s="50"/>
      <c r="S22" s="50"/>
      <c r="T22" s="50"/>
    </row>
    <row r="23" spans="1:20" ht="16.2" x14ac:dyDescent="0.35">
      <c r="A23" s="48"/>
      <c r="B23" s="49" t="s">
        <v>46</v>
      </c>
      <c r="D23" s="50" t="s">
        <v>47</v>
      </c>
      <c r="E23" s="50"/>
      <c r="F23" s="50"/>
      <c r="G23" s="50"/>
      <c r="H23" s="50" t="s">
        <v>47</v>
      </c>
      <c r="I23" s="50" t="s">
        <v>47</v>
      </c>
      <c r="J23" s="50" t="s">
        <v>47</v>
      </c>
      <c r="K23" s="50"/>
      <c r="M23" s="50" t="s">
        <v>48</v>
      </c>
      <c r="N23" s="50"/>
      <c r="O23" s="52" t="s">
        <v>48</v>
      </c>
      <c r="P23" s="50" t="s">
        <v>48</v>
      </c>
      <c r="Q23" s="51"/>
      <c r="R23" s="50"/>
      <c r="S23" s="50"/>
      <c r="T23" s="50"/>
    </row>
    <row r="24" spans="1:20" ht="16.2" x14ac:dyDescent="0.35">
      <c r="A24" s="48"/>
      <c r="B24" s="49" t="s">
        <v>49</v>
      </c>
      <c r="D24" s="50" t="s">
        <v>50</v>
      </c>
      <c r="E24" s="50"/>
      <c r="F24" s="50"/>
      <c r="G24" s="50"/>
      <c r="H24" s="50" t="s">
        <v>51</v>
      </c>
      <c r="I24" s="50" t="s">
        <v>51</v>
      </c>
      <c r="J24" s="50" t="s">
        <v>51</v>
      </c>
      <c r="K24" s="50"/>
      <c r="M24" s="50" t="s">
        <v>52</v>
      </c>
      <c r="N24" s="50"/>
      <c r="O24" s="52" t="s">
        <v>52</v>
      </c>
      <c r="P24" s="50" t="s">
        <v>52</v>
      </c>
      <c r="Q24" s="51"/>
      <c r="R24" s="50"/>
      <c r="S24" s="50"/>
      <c r="T24" s="50"/>
    </row>
    <row r="25" spans="1:20" ht="16.2" x14ac:dyDescent="0.35">
      <c r="A25" s="48"/>
      <c r="B25" s="49" t="s">
        <v>53</v>
      </c>
      <c r="D25" s="50" t="s">
        <v>54</v>
      </c>
      <c r="E25" s="50"/>
      <c r="F25" s="50"/>
      <c r="G25" s="50"/>
      <c r="H25" s="50" t="s">
        <v>55</v>
      </c>
      <c r="I25" s="50" t="s">
        <v>55</v>
      </c>
      <c r="J25" s="50" t="s">
        <v>55</v>
      </c>
      <c r="K25" s="50"/>
      <c r="M25" s="50" t="s">
        <v>56</v>
      </c>
      <c r="N25" s="50"/>
      <c r="O25" s="52" t="s">
        <v>56</v>
      </c>
      <c r="P25" s="50" t="s">
        <v>56</v>
      </c>
      <c r="Q25" s="51"/>
      <c r="R25" s="50"/>
      <c r="S25" s="50"/>
      <c r="T25" s="50"/>
    </row>
    <row r="26" spans="1:20" ht="16.2" x14ac:dyDescent="0.35">
      <c r="A26" s="48"/>
      <c r="B26" s="49" t="s">
        <v>57</v>
      </c>
      <c r="D26" s="50" t="s">
        <v>58</v>
      </c>
      <c r="E26" s="50"/>
      <c r="F26" s="50"/>
      <c r="G26" s="50"/>
      <c r="H26" s="50" t="s">
        <v>59</v>
      </c>
      <c r="I26" s="50" t="s">
        <v>59</v>
      </c>
      <c r="J26" s="50" t="s">
        <v>59</v>
      </c>
      <c r="K26" s="50"/>
      <c r="M26" s="50" t="s">
        <v>60</v>
      </c>
      <c r="N26" s="50"/>
      <c r="O26" s="52" t="s">
        <v>60</v>
      </c>
      <c r="P26" s="50" t="s">
        <v>60</v>
      </c>
      <c r="Q26" s="51"/>
      <c r="R26" s="50"/>
      <c r="S26" s="50"/>
      <c r="T26" s="50"/>
    </row>
    <row r="27" spans="1:20" ht="14.4" x14ac:dyDescent="0.3">
      <c r="A27" s="48"/>
      <c r="B27" s="48"/>
      <c r="C27" s="48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</row>
    <row r="28" spans="1:20" x14ac:dyDescent="0.3">
      <c r="B28" s="54"/>
      <c r="C28" s="54"/>
    </row>
    <row r="29" spans="1:20" x14ac:dyDescent="0.3">
      <c r="A29" s="54"/>
      <c r="B29" s="54"/>
      <c r="C29" s="54"/>
    </row>
    <row r="30" spans="1:20" x14ac:dyDescent="0.3">
      <c r="A30" s="54"/>
      <c r="B30" s="54"/>
      <c r="C30" s="54"/>
    </row>
    <row r="31" spans="1:20" x14ac:dyDescent="0.3">
      <c r="A31" s="54"/>
      <c r="B31" s="54"/>
      <c r="C31" s="54"/>
    </row>
    <row r="32" spans="1:20" x14ac:dyDescent="0.3">
      <c r="A32" s="54"/>
      <c r="B32" s="54"/>
      <c r="C32" s="54"/>
    </row>
    <row r="33" spans="1:20" x14ac:dyDescent="0.3">
      <c r="A33" s="54"/>
      <c r="B33" s="54"/>
      <c r="C33" s="54"/>
    </row>
    <row r="34" spans="1:20" x14ac:dyDescent="0.3">
      <c r="A34" s="54"/>
      <c r="B34" s="54"/>
      <c r="C34" s="54"/>
    </row>
    <row r="35" spans="1:20" x14ac:dyDescent="0.3">
      <c r="A35" s="54"/>
      <c r="B35" s="54"/>
      <c r="C35" s="54"/>
    </row>
    <row r="36" spans="1:20" x14ac:dyDescent="0.3">
      <c r="A36" s="54"/>
      <c r="B36" s="54"/>
      <c r="C36" s="54"/>
    </row>
    <row r="37" spans="1:20" x14ac:dyDescent="0.3">
      <c r="A37" s="54"/>
      <c r="B37" s="54"/>
      <c r="C37" s="54"/>
    </row>
    <row r="38" spans="1:20" x14ac:dyDescent="0.3">
      <c r="A38" s="54"/>
      <c r="B38" s="54"/>
      <c r="C38" s="54"/>
    </row>
    <row r="39" spans="1:20" x14ac:dyDescent="0.3">
      <c r="A39" s="54"/>
      <c r="B39" s="54"/>
      <c r="C39" s="54"/>
    </row>
    <row r="40" spans="1:20" x14ac:dyDescent="0.3">
      <c r="A40" s="54"/>
      <c r="B40" s="54"/>
      <c r="C40" s="54"/>
    </row>
    <row r="41" spans="1:20" x14ac:dyDescent="0.3">
      <c r="A41" s="54"/>
      <c r="B41" s="54"/>
      <c r="C41" s="54"/>
    </row>
    <row r="42" spans="1:20" s="38" customFormat="1" x14ac:dyDescent="0.3">
      <c r="A42" s="54"/>
      <c r="B42" s="54"/>
      <c r="C42" s="54"/>
      <c r="D42" s="37"/>
      <c r="Q42" s="5"/>
      <c r="R42" s="5"/>
      <c r="S42" s="5"/>
      <c r="T42" s="5"/>
    </row>
    <row r="43" spans="1:20" s="38" customFormat="1" x14ac:dyDescent="0.3">
      <c r="A43" s="54"/>
      <c r="B43" s="54"/>
      <c r="C43" s="54"/>
      <c r="D43" s="37"/>
      <c r="Q43" s="5"/>
      <c r="R43" s="5"/>
      <c r="S43" s="5"/>
      <c r="T43" s="5"/>
    </row>
    <row r="44" spans="1:20" s="38" customFormat="1" x14ac:dyDescent="0.3">
      <c r="A44" s="54"/>
      <c r="B44" s="54"/>
      <c r="C44" s="54"/>
      <c r="D44" s="37"/>
      <c r="F44" s="38" t="s">
        <v>44</v>
      </c>
      <c r="Q44" s="5"/>
      <c r="R44" s="5"/>
      <c r="S44" s="5"/>
      <c r="T44" s="5"/>
    </row>
    <row r="45" spans="1:20" s="38" customFormat="1" x14ac:dyDescent="0.3">
      <c r="A45" s="54"/>
      <c r="B45" s="54"/>
      <c r="C45" s="54"/>
      <c r="D45" s="37"/>
      <c r="Q45" s="5"/>
      <c r="R45" s="5"/>
      <c r="S45" s="5"/>
      <c r="T45" s="5"/>
    </row>
    <row r="46" spans="1:20" s="38" customFormat="1" x14ac:dyDescent="0.3">
      <c r="A46" s="54"/>
      <c r="B46" s="54"/>
      <c r="C46" s="54"/>
      <c r="D46" s="37"/>
      <c r="Q46" s="5"/>
      <c r="R46" s="5"/>
      <c r="S46" s="5"/>
      <c r="T46" s="5"/>
    </row>
    <row r="47" spans="1:20" s="38" customFormat="1" x14ac:dyDescent="0.3">
      <c r="A47" s="54"/>
      <c r="B47" s="54"/>
      <c r="C47" s="54"/>
      <c r="D47" s="37"/>
      <c r="Q47" s="5"/>
      <c r="R47" s="5"/>
      <c r="S47" s="5"/>
      <c r="T47" s="5"/>
    </row>
    <row r="48" spans="1:20" s="38" customFormat="1" x14ac:dyDescent="0.3">
      <c r="A48" s="54"/>
      <c r="B48" s="54"/>
      <c r="C48" s="54"/>
      <c r="D48" s="37"/>
      <c r="Q48" s="5"/>
      <c r="R48" s="5"/>
      <c r="S48" s="5"/>
      <c r="T48" s="5"/>
    </row>
    <row r="49" spans="1:20" s="38" customFormat="1" x14ac:dyDescent="0.3">
      <c r="A49" s="54"/>
      <c r="B49" s="54"/>
      <c r="C49" s="54"/>
      <c r="D49" s="37"/>
      <c r="Q49" s="5"/>
      <c r="R49" s="5"/>
      <c r="S49" s="5"/>
      <c r="T49" s="5"/>
    </row>
    <row r="50" spans="1:20" s="38" customFormat="1" x14ac:dyDescent="0.3">
      <c r="A50" s="54"/>
      <c r="B50" s="54"/>
      <c r="C50" s="54"/>
      <c r="D50" s="37"/>
      <c r="Q50" s="5"/>
      <c r="R50" s="5"/>
      <c r="S50" s="5"/>
      <c r="T50" s="5"/>
    </row>
    <row r="51" spans="1:20" s="38" customFormat="1" x14ac:dyDescent="0.3">
      <c r="A51" s="54"/>
      <c r="B51" s="54"/>
      <c r="C51" s="54"/>
      <c r="D51" s="37"/>
      <c r="Q51" s="5"/>
      <c r="R51" s="5"/>
      <c r="S51" s="5"/>
      <c r="T51" s="5"/>
    </row>
    <row r="52" spans="1:20" s="38" customFormat="1" x14ac:dyDescent="0.3">
      <c r="A52" s="54"/>
      <c r="B52" s="54"/>
      <c r="C52" s="54"/>
      <c r="D52" s="37"/>
      <c r="Q52" s="5"/>
      <c r="R52" s="5"/>
      <c r="S52" s="5"/>
      <c r="T52" s="5"/>
    </row>
    <row r="53" spans="1:20" s="38" customFormat="1" x14ac:dyDescent="0.3">
      <c r="A53" s="54"/>
      <c r="B53" s="54"/>
      <c r="C53" s="54"/>
      <c r="D53" s="37"/>
      <c r="Q53" s="5"/>
      <c r="R53" s="5"/>
      <c r="S53" s="5"/>
      <c r="T53" s="5"/>
    </row>
    <row r="54" spans="1:20" s="38" customFormat="1" x14ac:dyDescent="0.3">
      <c r="A54" s="54"/>
      <c r="B54" s="54"/>
      <c r="C54" s="54"/>
      <c r="D54" s="37"/>
      <c r="Q54" s="5"/>
      <c r="R54" s="5"/>
      <c r="S54" s="5"/>
      <c r="T54" s="5"/>
    </row>
    <row r="55" spans="1:20" s="38" customFormat="1" x14ac:dyDescent="0.3">
      <c r="A55" s="54"/>
      <c r="B55" s="54"/>
      <c r="C55" s="54"/>
      <c r="D55" s="37"/>
      <c r="Q55" s="5"/>
      <c r="R55" s="5"/>
      <c r="S55" s="5"/>
      <c r="T55" s="5"/>
    </row>
    <row r="56" spans="1:20" s="38" customFormat="1" x14ac:dyDescent="0.3">
      <c r="A56" s="54"/>
      <c r="B56" s="54"/>
      <c r="C56" s="54"/>
      <c r="D56" s="37"/>
      <c r="Q56" s="5"/>
      <c r="R56" s="5"/>
      <c r="S56" s="5"/>
      <c r="T56" s="5"/>
    </row>
  </sheetData>
  <mergeCells count="8">
    <mergeCell ref="N16:P16"/>
    <mergeCell ref="D19:E19"/>
    <mergeCell ref="H3:P3"/>
    <mergeCell ref="A4:A5"/>
    <mergeCell ref="B4:B5"/>
    <mergeCell ref="C4:C5"/>
    <mergeCell ref="D4:D5"/>
    <mergeCell ref="E4:T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FBA6B-E83A-4DF5-AC0B-863B43A14606}">
  <dimension ref="A1:T64"/>
  <sheetViews>
    <sheetView workbookViewId="0">
      <selection activeCell="B13" sqref="B13"/>
    </sheetView>
  </sheetViews>
  <sheetFormatPr defaultRowHeight="15.6" x14ac:dyDescent="0.3"/>
  <cols>
    <col min="1" max="1" width="11.109375" style="37" customWidth="1"/>
    <col min="2" max="2" width="49.6640625" style="37" customWidth="1"/>
    <col min="3" max="3" width="8.44140625" style="37" customWidth="1"/>
    <col min="4" max="4" width="11.44140625" style="37" customWidth="1"/>
    <col min="5" max="5" width="14.6640625" style="38" customWidth="1"/>
    <col min="6" max="7" width="13.109375" style="38" customWidth="1"/>
    <col min="8" max="8" width="13" style="38" hidden="1" customWidth="1"/>
    <col min="9" max="9" width="10.109375" style="38" customWidth="1"/>
    <col min="10" max="10" width="14.109375" style="38" customWidth="1"/>
    <col min="11" max="11" width="10.88671875" style="38" hidden="1" customWidth="1"/>
    <col min="12" max="12" width="10.44140625" style="38" hidden="1" customWidth="1"/>
    <col min="13" max="13" width="10.5546875" style="38" hidden="1" customWidth="1"/>
    <col min="14" max="14" width="10.109375" style="38" hidden="1" customWidth="1"/>
    <col min="15" max="15" width="14.44140625" style="38" customWidth="1"/>
    <col min="16" max="16" width="10.44140625" style="38" hidden="1" customWidth="1"/>
    <col min="17" max="17" width="7.6640625" style="5" hidden="1" customWidth="1"/>
    <col min="18" max="18" width="12.6640625" style="5" customWidth="1"/>
    <col min="19" max="19" width="10.5546875" style="5" hidden="1" customWidth="1"/>
    <col min="20" max="20" width="9.6640625" style="5" hidden="1" customWidth="1"/>
  </cols>
  <sheetData>
    <row r="1" spans="1:20" ht="29.4" x14ac:dyDescent="0.45">
      <c r="A1" s="1" t="s">
        <v>0</v>
      </c>
      <c r="B1" s="2"/>
      <c r="C1" s="2"/>
      <c r="D1" s="3"/>
      <c r="E1" s="3"/>
      <c r="F1" s="3"/>
      <c r="G1" s="3"/>
      <c r="H1" s="3"/>
      <c r="I1" s="3"/>
      <c r="J1" s="3" t="s">
        <v>1</v>
      </c>
      <c r="K1" s="4"/>
      <c r="L1" s="4"/>
      <c r="M1" s="4"/>
      <c r="N1" s="4"/>
      <c r="O1" s="4"/>
      <c r="P1" s="4"/>
    </row>
    <row r="2" spans="1:20" ht="29.4" x14ac:dyDescent="0.45">
      <c r="A2" s="1" t="s">
        <v>2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0" ht="20.399999999999999" x14ac:dyDescent="0.3">
      <c r="A3" s="6"/>
      <c r="B3" s="6"/>
      <c r="C3" s="6"/>
      <c r="D3" s="7"/>
      <c r="E3" s="7"/>
      <c r="F3" s="7"/>
      <c r="G3" s="7"/>
      <c r="H3" s="198"/>
      <c r="I3" s="198" t="s">
        <v>62</v>
      </c>
      <c r="J3" s="198"/>
      <c r="K3" s="198"/>
      <c r="L3" s="198"/>
      <c r="M3" s="198"/>
      <c r="N3" s="198"/>
      <c r="O3" s="198"/>
      <c r="P3" s="198"/>
    </row>
    <row r="4" spans="1:20" ht="15" customHeight="1" x14ac:dyDescent="0.3">
      <c r="A4" s="204" t="s">
        <v>4</v>
      </c>
      <c r="B4" s="206" t="s">
        <v>5</v>
      </c>
      <c r="C4" s="208" t="s">
        <v>6</v>
      </c>
      <c r="D4" s="208" t="s">
        <v>7</v>
      </c>
      <c r="E4" s="210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ht="79.2" x14ac:dyDescent="0.3">
      <c r="A5" s="205"/>
      <c r="B5" s="207"/>
      <c r="C5" s="209"/>
      <c r="D5" s="209"/>
      <c r="E5" s="9" t="s">
        <v>8</v>
      </c>
      <c r="F5" s="9" t="s">
        <v>10</v>
      </c>
      <c r="G5" s="9" t="s">
        <v>9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86</v>
      </c>
      <c r="O5" s="9" t="s">
        <v>63</v>
      </c>
      <c r="P5" s="9" t="s">
        <v>19</v>
      </c>
      <c r="Q5" s="9" t="s">
        <v>12</v>
      </c>
      <c r="R5" s="9" t="s">
        <v>129</v>
      </c>
      <c r="S5" s="9" t="s">
        <v>65</v>
      </c>
      <c r="T5" s="9" t="s">
        <v>66</v>
      </c>
    </row>
    <row r="6" spans="1:20" ht="14.4" x14ac:dyDescent="0.3">
      <c r="A6" s="10"/>
      <c r="B6" s="11" t="s">
        <v>43</v>
      </c>
      <c r="C6" s="12"/>
      <c r="D6" s="13"/>
      <c r="E6" s="14"/>
      <c r="F6" s="15"/>
      <c r="G6" s="15"/>
      <c r="H6" s="16"/>
      <c r="I6" s="16"/>
      <c r="J6" s="16"/>
      <c r="K6" s="16"/>
      <c r="L6" s="16"/>
      <c r="M6" s="16"/>
      <c r="N6" s="16"/>
      <c r="O6" s="16"/>
      <c r="P6" s="17"/>
      <c r="Q6" s="18"/>
      <c r="R6" s="18"/>
      <c r="S6" s="19"/>
      <c r="T6" s="19"/>
    </row>
    <row r="7" spans="1:20" ht="14.4" x14ac:dyDescent="0.3">
      <c r="A7" s="21">
        <v>45387</v>
      </c>
      <c r="B7" s="11" t="s">
        <v>136</v>
      </c>
      <c r="C7" s="12">
        <v>19163</v>
      </c>
      <c r="D7" s="13"/>
      <c r="E7" s="14">
        <v>200</v>
      </c>
      <c r="F7" s="15"/>
      <c r="G7" s="15"/>
      <c r="H7" s="16"/>
      <c r="I7" s="16"/>
      <c r="J7" s="16"/>
      <c r="K7" s="16"/>
      <c r="L7" s="16"/>
      <c r="M7" s="16"/>
      <c r="N7" s="16"/>
      <c r="O7" s="16">
        <f>E7</f>
        <v>200</v>
      </c>
      <c r="P7" s="17"/>
      <c r="Q7" s="18"/>
      <c r="R7" s="18"/>
      <c r="S7" s="19"/>
      <c r="T7" s="19"/>
    </row>
    <row r="8" spans="1:20" ht="14.4" x14ac:dyDescent="0.3">
      <c r="A8" s="10">
        <v>45389</v>
      </c>
      <c r="B8" s="11" t="s">
        <v>77</v>
      </c>
      <c r="C8" s="12">
        <v>19164</v>
      </c>
      <c r="D8" s="13"/>
      <c r="E8" s="14">
        <v>1680</v>
      </c>
      <c r="F8" s="15"/>
      <c r="G8" s="15"/>
      <c r="H8" s="16"/>
      <c r="I8" s="16"/>
      <c r="J8" s="16">
        <f>E8</f>
        <v>1680</v>
      </c>
      <c r="K8" s="16"/>
      <c r="L8" s="16"/>
      <c r="M8" s="16"/>
      <c r="N8" s="16"/>
      <c r="O8" s="16"/>
      <c r="P8" s="17"/>
      <c r="Q8" s="18"/>
      <c r="R8" s="18"/>
      <c r="S8" s="19"/>
      <c r="T8" s="19"/>
    </row>
    <row r="9" spans="1:20" ht="14.4" x14ac:dyDescent="0.3">
      <c r="A9" s="10">
        <v>45392</v>
      </c>
      <c r="B9" s="11" t="s">
        <v>137</v>
      </c>
      <c r="C9" s="12">
        <v>19165</v>
      </c>
      <c r="D9" s="13"/>
      <c r="E9" s="14">
        <v>298</v>
      </c>
      <c r="F9" s="15"/>
      <c r="G9" s="15"/>
      <c r="H9" s="16"/>
      <c r="I9" s="16">
        <f>E9</f>
        <v>298</v>
      </c>
      <c r="J9" s="16"/>
      <c r="K9" s="16"/>
      <c r="L9" s="16"/>
      <c r="M9" s="16"/>
      <c r="N9" s="16"/>
      <c r="O9" s="16"/>
      <c r="P9" s="17"/>
      <c r="Q9" s="18"/>
      <c r="R9" s="18"/>
      <c r="S9" s="19"/>
      <c r="T9" s="19"/>
    </row>
    <row r="10" spans="1:20" ht="14.4" x14ac:dyDescent="0.3">
      <c r="A10" s="10">
        <v>45393</v>
      </c>
      <c r="B10" s="11" t="s">
        <v>71</v>
      </c>
      <c r="C10" s="12">
        <v>19166</v>
      </c>
      <c r="D10" s="13"/>
      <c r="E10" s="14">
        <v>2000</v>
      </c>
      <c r="F10" s="15"/>
      <c r="G10" s="15"/>
      <c r="H10" s="16"/>
      <c r="I10" s="16"/>
      <c r="J10" s="16"/>
      <c r="K10" s="16"/>
      <c r="L10" s="16"/>
      <c r="M10" s="16"/>
      <c r="N10" s="16"/>
      <c r="O10" s="16"/>
      <c r="P10" s="17"/>
      <c r="Q10" s="18"/>
      <c r="R10" s="18">
        <f>E10</f>
        <v>2000</v>
      </c>
      <c r="S10" s="19"/>
      <c r="T10" s="19"/>
    </row>
    <row r="11" spans="1:20" ht="14.4" x14ac:dyDescent="0.3">
      <c r="A11" s="10">
        <v>45393</v>
      </c>
      <c r="B11" s="11" t="s">
        <v>77</v>
      </c>
      <c r="C11" s="12">
        <v>19167</v>
      </c>
      <c r="D11" s="13"/>
      <c r="E11" s="14">
        <v>240</v>
      </c>
      <c r="F11" s="15"/>
      <c r="G11" s="15"/>
      <c r="H11" s="16"/>
      <c r="I11" s="16"/>
      <c r="J11" s="16">
        <f>E11</f>
        <v>240</v>
      </c>
      <c r="K11" s="16"/>
      <c r="L11" s="16"/>
      <c r="M11" s="16"/>
      <c r="N11" s="16"/>
      <c r="O11" s="16"/>
      <c r="P11" s="17"/>
      <c r="Q11" s="18"/>
      <c r="R11" s="18"/>
      <c r="S11" s="19"/>
      <c r="T11" s="19"/>
    </row>
    <row r="12" spans="1:20" ht="14.4" x14ac:dyDescent="0.3">
      <c r="A12" s="10">
        <v>45398</v>
      </c>
      <c r="B12" s="11" t="s">
        <v>77</v>
      </c>
      <c r="C12" s="12">
        <v>19168</v>
      </c>
      <c r="D12" s="13"/>
      <c r="E12" s="14">
        <v>480</v>
      </c>
      <c r="F12" s="15"/>
      <c r="G12" s="15"/>
      <c r="H12" s="16"/>
      <c r="I12" s="16"/>
      <c r="J12" s="16">
        <f>E12</f>
        <v>480</v>
      </c>
      <c r="K12" s="16"/>
      <c r="L12" s="16"/>
      <c r="M12" s="16"/>
      <c r="N12" s="16"/>
      <c r="O12" s="16"/>
      <c r="P12" s="17"/>
      <c r="Q12" s="18"/>
      <c r="R12" s="18"/>
      <c r="S12" s="19"/>
      <c r="T12" s="19"/>
    </row>
    <row r="13" spans="1:20" ht="14.4" x14ac:dyDescent="0.3">
      <c r="A13" s="10">
        <v>45399</v>
      </c>
      <c r="B13" s="11" t="s">
        <v>110</v>
      </c>
      <c r="C13" s="12">
        <v>19169</v>
      </c>
      <c r="D13" s="13"/>
      <c r="E13" s="14">
        <v>1600</v>
      </c>
      <c r="F13" s="15">
        <f>E13</f>
        <v>1600</v>
      </c>
      <c r="G13" s="15"/>
      <c r="H13" s="16"/>
      <c r="I13" s="16"/>
      <c r="J13" s="16"/>
      <c r="K13" s="16"/>
      <c r="L13" s="16"/>
      <c r="M13" s="16"/>
      <c r="N13" s="16"/>
      <c r="O13" s="16"/>
      <c r="P13" s="17"/>
      <c r="Q13" s="18"/>
      <c r="R13" s="18"/>
      <c r="S13" s="19"/>
      <c r="T13" s="19"/>
    </row>
    <row r="14" spans="1:20" ht="14.4" x14ac:dyDescent="0.3">
      <c r="A14" s="10">
        <v>45399</v>
      </c>
      <c r="B14" s="11" t="s">
        <v>77</v>
      </c>
      <c r="C14" s="12">
        <v>19170</v>
      </c>
      <c r="D14" s="13"/>
      <c r="E14" s="14">
        <v>1920</v>
      </c>
      <c r="F14" s="15"/>
      <c r="G14" s="15"/>
      <c r="H14" s="16"/>
      <c r="I14" s="16"/>
      <c r="J14" s="16">
        <f>E14</f>
        <v>1920</v>
      </c>
      <c r="K14" s="16"/>
      <c r="L14" s="16"/>
      <c r="M14" s="16"/>
      <c r="N14" s="16"/>
      <c r="O14" s="16"/>
      <c r="P14" s="17"/>
      <c r="Q14" s="18"/>
      <c r="R14" s="18"/>
      <c r="S14" s="19"/>
      <c r="T14" s="19"/>
    </row>
    <row r="15" spans="1:20" ht="14.4" x14ac:dyDescent="0.3">
      <c r="A15" s="10">
        <v>45399</v>
      </c>
      <c r="B15" s="11" t="s">
        <v>138</v>
      </c>
      <c r="C15" s="12">
        <v>19171</v>
      </c>
      <c r="D15" s="13"/>
      <c r="E15" s="14">
        <v>140</v>
      </c>
      <c r="F15" s="15"/>
      <c r="G15" s="15">
        <f>E15</f>
        <v>140</v>
      </c>
      <c r="H15" s="16"/>
      <c r="I15" s="16"/>
      <c r="J15" s="16"/>
      <c r="K15" s="16"/>
      <c r="L15" s="16"/>
      <c r="M15" s="16"/>
      <c r="N15" s="16"/>
      <c r="O15" s="16"/>
      <c r="P15" s="17"/>
      <c r="Q15" s="18"/>
      <c r="R15" s="18"/>
      <c r="S15" s="19"/>
      <c r="T15" s="19"/>
    </row>
    <row r="16" spans="1:20" ht="14.4" x14ac:dyDescent="0.3">
      <c r="A16" s="10">
        <v>45400</v>
      </c>
      <c r="B16" s="11" t="s">
        <v>139</v>
      </c>
      <c r="C16" s="12">
        <v>19172</v>
      </c>
      <c r="D16" s="13"/>
      <c r="E16" s="14">
        <v>250</v>
      </c>
      <c r="F16" s="15"/>
      <c r="G16" s="15"/>
      <c r="H16" s="16"/>
      <c r="I16" s="16"/>
      <c r="J16" s="16"/>
      <c r="K16" s="16"/>
      <c r="L16" s="16"/>
      <c r="M16" s="16"/>
      <c r="N16" s="16"/>
      <c r="O16" s="16">
        <f>E16</f>
        <v>250</v>
      </c>
      <c r="P16" s="17"/>
      <c r="Q16" s="18"/>
      <c r="R16" s="18"/>
      <c r="S16" s="19"/>
      <c r="T16" s="19"/>
    </row>
    <row r="17" spans="1:20" ht="14.4" x14ac:dyDescent="0.3">
      <c r="A17" s="10">
        <v>45401</v>
      </c>
      <c r="B17" s="11" t="s">
        <v>71</v>
      </c>
      <c r="C17" s="12">
        <v>19173</v>
      </c>
      <c r="D17" s="13"/>
      <c r="E17" s="14">
        <v>1000</v>
      </c>
      <c r="F17" s="15"/>
      <c r="G17" s="15"/>
      <c r="H17" s="16"/>
      <c r="I17" s="16"/>
      <c r="J17" s="16"/>
      <c r="K17" s="16"/>
      <c r="L17" s="16"/>
      <c r="M17" s="16"/>
      <c r="N17" s="16"/>
      <c r="O17" s="16"/>
      <c r="P17" s="17"/>
      <c r="Q17" s="18"/>
      <c r="R17" s="18">
        <f>E17</f>
        <v>1000</v>
      </c>
      <c r="S17" s="19"/>
      <c r="T17" s="19"/>
    </row>
    <row r="18" spans="1:20" ht="14.4" x14ac:dyDescent="0.3">
      <c r="A18" s="10">
        <v>45404</v>
      </c>
      <c r="B18" s="11" t="s">
        <v>110</v>
      </c>
      <c r="C18" s="12">
        <v>19174</v>
      </c>
      <c r="D18" s="13"/>
      <c r="E18" s="14">
        <v>1855</v>
      </c>
      <c r="F18" s="15">
        <f>E18</f>
        <v>1855</v>
      </c>
      <c r="G18" s="15"/>
      <c r="H18" s="16"/>
      <c r="I18" s="16"/>
      <c r="J18" s="16"/>
      <c r="K18" s="16"/>
      <c r="L18" s="16"/>
      <c r="M18" s="16"/>
      <c r="N18" s="16"/>
      <c r="O18" s="16"/>
      <c r="P18" s="17"/>
      <c r="Q18" s="18"/>
      <c r="R18" s="18"/>
      <c r="S18" s="19"/>
      <c r="T18" s="19"/>
    </row>
    <row r="19" spans="1:20" ht="14.4" x14ac:dyDescent="0.3">
      <c r="A19" s="10">
        <v>45404</v>
      </c>
      <c r="B19" s="11" t="s">
        <v>77</v>
      </c>
      <c r="C19" s="12">
        <v>19175</v>
      </c>
      <c r="D19" s="13"/>
      <c r="E19" s="14">
        <v>2400</v>
      </c>
      <c r="F19" s="15"/>
      <c r="G19" s="15"/>
      <c r="H19" s="16"/>
      <c r="I19" s="16"/>
      <c r="J19" s="16">
        <f>E19</f>
        <v>2400</v>
      </c>
      <c r="K19" s="16"/>
      <c r="L19" s="16"/>
      <c r="M19" s="16"/>
      <c r="N19" s="16"/>
      <c r="O19" s="16"/>
      <c r="P19" s="17"/>
      <c r="Q19" s="18"/>
      <c r="R19" s="18"/>
      <c r="S19" s="19"/>
      <c r="T19" s="19"/>
    </row>
    <row r="20" spans="1:20" ht="14.4" x14ac:dyDescent="0.3">
      <c r="A20" s="10">
        <v>45408</v>
      </c>
      <c r="B20" s="11" t="s">
        <v>140</v>
      </c>
      <c r="C20" s="12">
        <v>19176</v>
      </c>
      <c r="D20" s="13"/>
      <c r="E20" s="14">
        <v>230</v>
      </c>
      <c r="F20" s="15"/>
      <c r="G20" s="15"/>
      <c r="H20" s="16"/>
      <c r="I20" s="16"/>
      <c r="J20" s="16"/>
      <c r="K20" s="16"/>
      <c r="L20" s="16"/>
      <c r="M20" s="16"/>
      <c r="N20" s="16"/>
      <c r="O20" s="16">
        <f>E20</f>
        <v>230</v>
      </c>
      <c r="P20" s="17"/>
      <c r="Q20" s="18"/>
      <c r="R20" s="18"/>
      <c r="S20" s="19"/>
      <c r="T20" s="19"/>
    </row>
    <row r="21" spans="1:20" ht="14.4" x14ac:dyDescent="0.3">
      <c r="A21" s="10">
        <v>45408</v>
      </c>
      <c r="B21" s="11" t="s">
        <v>71</v>
      </c>
      <c r="C21" s="12">
        <v>19177</v>
      </c>
      <c r="D21" s="13"/>
      <c r="E21" s="14">
        <v>2000</v>
      </c>
      <c r="F21" s="15"/>
      <c r="G21" s="15"/>
      <c r="H21" s="16"/>
      <c r="I21" s="16"/>
      <c r="J21" s="16"/>
      <c r="K21" s="16"/>
      <c r="L21" s="16"/>
      <c r="M21" s="16"/>
      <c r="N21" s="16"/>
      <c r="O21" s="16"/>
      <c r="P21" s="17"/>
      <c r="Q21" s="18"/>
      <c r="R21" s="18">
        <f>E21</f>
        <v>2000</v>
      </c>
      <c r="S21" s="19"/>
      <c r="T21" s="19"/>
    </row>
    <row r="22" spans="1:20" ht="14.4" x14ac:dyDescent="0.3">
      <c r="A22" s="10">
        <v>45408</v>
      </c>
      <c r="B22" s="11" t="s">
        <v>110</v>
      </c>
      <c r="C22" s="12">
        <v>19178</v>
      </c>
      <c r="D22" s="13"/>
      <c r="E22" s="14">
        <v>2440</v>
      </c>
      <c r="F22" s="15"/>
      <c r="G22" s="15">
        <f>E22</f>
        <v>2440</v>
      </c>
      <c r="H22" s="16"/>
      <c r="I22" s="16"/>
      <c r="J22" s="16"/>
      <c r="K22" s="16"/>
      <c r="L22" s="16"/>
      <c r="M22" s="16"/>
      <c r="N22" s="16"/>
      <c r="O22" s="16"/>
      <c r="P22" s="17"/>
      <c r="Q22" s="18"/>
      <c r="R22" s="18"/>
      <c r="S22" s="19"/>
      <c r="T22" s="19"/>
    </row>
    <row r="23" spans="1:20" ht="15" thickBot="1" x14ac:dyDescent="0.35">
      <c r="A23" s="60"/>
      <c r="B23" s="60"/>
      <c r="C23" s="60"/>
      <c r="D23" s="87">
        <v>60000</v>
      </c>
      <c r="E23" s="65">
        <f>SUM(E6:E22)</f>
        <v>18733</v>
      </c>
      <c r="F23" s="65">
        <f t="shared" ref="F23:R23" si="0">SUM(F6:F22)</f>
        <v>3455</v>
      </c>
      <c r="G23" s="65">
        <f t="shared" si="0"/>
        <v>2580</v>
      </c>
      <c r="H23" s="65">
        <f t="shared" si="0"/>
        <v>0</v>
      </c>
      <c r="I23" s="65">
        <f t="shared" si="0"/>
        <v>298</v>
      </c>
      <c r="J23" s="65">
        <f t="shared" si="0"/>
        <v>6720</v>
      </c>
      <c r="K23" s="65">
        <f t="shared" si="0"/>
        <v>0</v>
      </c>
      <c r="L23" s="65">
        <f t="shared" si="0"/>
        <v>0</v>
      </c>
      <c r="M23" s="65">
        <f t="shared" si="0"/>
        <v>0</v>
      </c>
      <c r="N23" s="65">
        <f t="shared" si="0"/>
        <v>0</v>
      </c>
      <c r="O23" s="65">
        <f t="shared" si="0"/>
        <v>680</v>
      </c>
      <c r="P23" s="65">
        <f t="shared" si="0"/>
        <v>0</v>
      </c>
      <c r="Q23" s="65">
        <f t="shared" si="0"/>
        <v>0</v>
      </c>
      <c r="R23" s="65">
        <f t="shared" si="0"/>
        <v>5000</v>
      </c>
      <c r="S23" s="62">
        <f>SUM(S7:S22)</f>
        <v>0</v>
      </c>
      <c r="T23" s="34"/>
    </row>
    <row r="24" spans="1:20" ht="16.2" thickTop="1" x14ac:dyDescent="0.3">
      <c r="A24" s="44" t="s">
        <v>43</v>
      </c>
      <c r="B24" s="35"/>
      <c r="C24" s="35"/>
      <c r="D24" s="36"/>
      <c r="N24" s="201"/>
      <c r="O24" s="201"/>
      <c r="P24" s="201"/>
    </row>
    <row r="25" spans="1:20" x14ac:dyDescent="0.3">
      <c r="A25" s="44"/>
      <c r="B25" s="35"/>
      <c r="C25" s="35"/>
      <c r="D25" s="36"/>
      <c r="N25" s="39"/>
      <c r="O25" s="39"/>
      <c r="P25" s="39"/>
    </row>
    <row r="26" spans="1:20" ht="16.2" thickBot="1" x14ac:dyDescent="0.35">
      <c r="A26" s="44"/>
      <c r="B26" s="35"/>
      <c r="C26" s="35"/>
      <c r="D26" s="36"/>
      <c r="N26" s="39"/>
      <c r="O26" s="39"/>
      <c r="P26" s="39"/>
    </row>
    <row r="27" spans="1:20" ht="29.4" thickBot="1" x14ac:dyDescent="0.6">
      <c r="B27" s="40" t="s">
        <v>45</v>
      </c>
      <c r="C27" s="41"/>
      <c r="D27" s="196">
        <f>E23</f>
        <v>18733</v>
      </c>
      <c r="E27" s="197">
        <f>SUM(E6:E24)</f>
        <v>37466</v>
      </c>
      <c r="F27" s="42"/>
      <c r="G27" s="42"/>
      <c r="H27" s="43"/>
      <c r="I27" s="43"/>
      <c r="J27" s="43"/>
      <c r="K27" s="43"/>
      <c r="L27" s="43"/>
      <c r="M27" s="43"/>
    </row>
    <row r="28" spans="1:20" x14ac:dyDescent="0.3">
      <c r="A28" s="44"/>
      <c r="B28" s="45"/>
      <c r="C28" s="45"/>
      <c r="D28" s="45"/>
      <c r="E28" s="46" t="s">
        <v>44</v>
      </c>
      <c r="F28" s="46"/>
      <c r="G28" s="46"/>
      <c r="H28" s="46"/>
      <c r="I28" s="46"/>
      <c r="J28" s="46"/>
      <c r="K28" s="46"/>
      <c r="L28" s="46"/>
      <c r="M28" s="46"/>
      <c r="N28" s="47"/>
      <c r="O28" s="5"/>
      <c r="P28" s="5"/>
    </row>
    <row r="29" spans="1:20" x14ac:dyDescent="0.3">
      <c r="A29" s="44"/>
      <c r="B29" s="45"/>
      <c r="C29" s="45"/>
      <c r="D29" s="45"/>
      <c r="E29" s="46"/>
      <c r="F29" s="46"/>
      <c r="G29" s="46"/>
      <c r="H29" s="46"/>
      <c r="I29" s="46"/>
      <c r="J29" s="46"/>
      <c r="K29" s="46"/>
      <c r="L29" s="46"/>
      <c r="M29" s="46"/>
      <c r="N29" s="47"/>
      <c r="O29" s="5"/>
      <c r="P29" s="5"/>
    </row>
    <row r="30" spans="1:20" ht="16.2" x14ac:dyDescent="0.35">
      <c r="A30" s="48"/>
      <c r="B30" s="49"/>
      <c r="D30" s="50"/>
      <c r="E30" s="50"/>
      <c r="F30" s="50"/>
      <c r="G30" s="50"/>
      <c r="H30" s="50"/>
      <c r="J30" s="50"/>
      <c r="L30" s="51"/>
      <c r="M30" s="50"/>
      <c r="N30" s="52"/>
      <c r="O30" s="50"/>
      <c r="Q30" s="51"/>
      <c r="R30" s="50"/>
      <c r="S30" s="50"/>
      <c r="T30" s="50"/>
    </row>
    <row r="31" spans="1:20" ht="16.2" x14ac:dyDescent="0.35">
      <c r="A31" s="48"/>
      <c r="B31" s="49" t="s">
        <v>46</v>
      </c>
      <c r="D31" s="50" t="s">
        <v>47</v>
      </c>
      <c r="E31" s="50"/>
      <c r="F31" s="50"/>
      <c r="G31" s="50"/>
      <c r="H31" s="50" t="s">
        <v>47</v>
      </c>
      <c r="I31" s="50" t="s">
        <v>47</v>
      </c>
      <c r="J31" s="50"/>
      <c r="L31" s="51"/>
      <c r="M31" s="50"/>
      <c r="N31" s="52" t="s">
        <v>48</v>
      </c>
      <c r="O31" s="50" t="s">
        <v>48</v>
      </c>
      <c r="Q31" s="51"/>
      <c r="R31" s="50"/>
      <c r="S31" s="50"/>
      <c r="T31" s="50"/>
    </row>
    <row r="32" spans="1:20" ht="16.2" x14ac:dyDescent="0.35">
      <c r="A32" s="48"/>
      <c r="B32" s="49" t="s">
        <v>49</v>
      </c>
      <c r="D32" s="50" t="s">
        <v>50</v>
      </c>
      <c r="E32" s="50"/>
      <c r="F32" s="50"/>
      <c r="G32" s="50"/>
      <c r="H32" s="50" t="s">
        <v>51</v>
      </c>
      <c r="I32" s="50" t="s">
        <v>51</v>
      </c>
      <c r="J32" s="50"/>
      <c r="L32" s="51"/>
      <c r="M32" s="50"/>
      <c r="N32" s="52" t="s">
        <v>52</v>
      </c>
      <c r="O32" s="50" t="s">
        <v>52</v>
      </c>
      <c r="Q32" s="51"/>
      <c r="R32" s="50"/>
      <c r="S32" s="50"/>
      <c r="T32" s="50"/>
    </row>
    <row r="33" spans="1:20" ht="16.2" x14ac:dyDescent="0.35">
      <c r="A33" s="48"/>
      <c r="B33" s="49" t="s">
        <v>53</v>
      </c>
      <c r="D33" s="50" t="s">
        <v>54</v>
      </c>
      <c r="E33" s="50"/>
      <c r="F33" s="50"/>
      <c r="G33" s="50"/>
      <c r="H33" s="50" t="s">
        <v>55</v>
      </c>
      <c r="I33" s="50" t="s">
        <v>55</v>
      </c>
      <c r="J33" s="50"/>
      <c r="L33" s="51"/>
      <c r="M33" s="50"/>
      <c r="N33" s="52" t="s">
        <v>56</v>
      </c>
      <c r="O33" s="50" t="s">
        <v>56</v>
      </c>
      <c r="Q33" s="51"/>
      <c r="R33" s="50"/>
      <c r="S33" s="50"/>
      <c r="T33" s="50"/>
    </row>
    <row r="34" spans="1:20" ht="16.2" x14ac:dyDescent="0.35">
      <c r="A34" s="48"/>
      <c r="B34" s="49" t="s">
        <v>57</v>
      </c>
      <c r="D34" s="50" t="s">
        <v>58</v>
      </c>
      <c r="E34" s="50"/>
      <c r="F34" s="50"/>
      <c r="G34" s="50"/>
      <c r="H34" s="50" t="s">
        <v>59</v>
      </c>
      <c r="I34" s="50" t="s">
        <v>59</v>
      </c>
      <c r="J34" s="50"/>
      <c r="L34" s="51"/>
      <c r="M34" s="50"/>
      <c r="N34" s="52" t="s">
        <v>60</v>
      </c>
      <c r="O34" s="50" t="s">
        <v>60</v>
      </c>
      <c r="Q34" s="51"/>
      <c r="R34" s="50"/>
      <c r="S34" s="50"/>
      <c r="T34" s="50"/>
    </row>
    <row r="35" spans="1:20" ht="14.4" x14ac:dyDescent="0.3">
      <c r="A35" s="48"/>
      <c r="B35" s="48"/>
      <c r="C35" s="48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</row>
    <row r="36" spans="1:20" x14ac:dyDescent="0.3">
      <c r="B36" s="54"/>
      <c r="C36" s="54"/>
    </row>
    <row r="37" spans="1:20" x14ac:dyDescent="0.3">
      <c r="A37" s="54"/>
      <c r="B37" s="54"/>
      <c r="C37" s="54"/>
    </row>
    <row r="38" spans="1:20" x14ac:dyDescent="0.3">
      <c r="A38" s="54"/>
      <c r="B38" s="54"/>
      <c r="C38" s="54"/>
    </row>
    <row r="39" spans="1:20" x14ac:dyDescent="0.3">
      <c r="A39" s="54"/>
      <c r="B39" s="54"/>
      <c r="C39" s="54"/>
    </row>
    <row r="40" spans="1:20" x14ac:dyDescent="0.3">
      <c r="A40" s="54"/>
      <c r="B40" s="54"/>
      <c r="C40" s="54"/>
    </row>
    <row r="41" spans="1:20" x14ac:dyDescent="0.3">
      <c r="A41" s="54"/>
      <c r="B41" s="54"/>
      <c r="C41" s="54"/>
    </row>
    <row r="42" spans="1:20" x14ac:dyDescent="0.3">
      <c r="A42" s="54"/>
      <c r="B42" s="54"/>
      <c r="C42" s="54"/>
    </row>
    <row r="43" spans="1:20" x14ac:dyDescent="0.3">
      <c r="A43" s="54"/>
      <c r="B43" s="54"/>
      <c r="C43" s="54"/>
    </row>
    <row r="44" spans="1:20" x14ac:dyDescent="0.3">
      <c r="A44" s="54"/>
      <c r="B44" s="54"/>
      <c r="C44" s="54"/>
    </row>
    <row r="45" spans="1:20" x14ac:dyDescent="0.3">
      <c r="A45" s="54"/>
      <c r="B45" s="54"/>
      <c r="C45" s="54"/>
    </row>
    <row r="46" spans="1:20" x14ac:dyDescent="0.3">
      <c r="A46" s="54"/>
      <c r="B46" s="54"/>
      <c r="C46" s="54"/>
    </row>
    <row r="47" spans="1:20" x14ac:dyDescent="0.3">
      <c r="A47" s="54"/>
      <c r="B47" s="54"/>
      <c r="C47" s="54"/>
    </row>
    <row r="48" spans="1:20" x14ac:dyDescent="0.3">
      <c r="A48" s="54"/>
      <c r="B48" s="54"/>
      <c r="C48" s="54"/>
    </row>
    <row r="49" spans="1:20" x14ac:dyDescent="0.3">
      <c r="A49" s="54"/>
      <c r="B49" s="54"/>
      <c r="C49" s="54"/>
    </row>
    <row r="50" spans="1:20" s="38" customFormat="1" x14ac:dyDescent="0.3">
      <c r="A50" s="54"/>
      <c r="B50" s="54"/>
      <c r="C50" s="54"/>
      <c r="D50" s="37"/>
      <c r="Q50" s="5"/>
      <c r="R50" s="5"/>
      <c r="S50" s="5"/>
      <c r="T50" s="5"/>
    </row>
    <row r="51" spans="1:20" s="38" customFormat="1" x14ac:dyDescent="0.3">
      <c r="A51" s="54"/>
      <c r="B51" s="54"/>
      <c r="C51" s="54"/>
      <c r="D51" s="37"/>
      <c r="Q51" s="5"/>
      <c r="R51" s="5"/>
      <c r="S51" s="5"/>
      <c r="T51" s="5"/>
    </row>
    <row r="52" spans="1:20" s="38" customFormat="1" x14ac:dyDescent="0.3">
      <c r="A52" s="54"/>
      <c r="B52" s="54"/>
      <c r="C52" s="54"/>
      <c r="D52" s="37"/>
      <c r="F52" s="38" t="s">
        <v>44</v>
      </c>
      <c r="Q52" s="5"/>
      <c r="R52" s="5"/>
      <c r="S52" s="5"/>
      <c r="T52" s="5"/>
    </row>
    <row r="53" spans="1:20" s="38" customFormat="1" x14ac:dyDescent="0.3">
      <c r="A53" s="54"/>
      <c r="B53" s="54"/>
      <c r="C53" s="54"/>
      <c r="D53" s="37"/>
      <c r="Q53" s="5"/>
      <c r="R53" s="5"/>
      <c r="S53" s="5"/>
      <c r="T53" s="5"/>
    </row>
    <row r="54" spans="1:20" s="38" customFormat="1" x14ac:dyDescent="0.3">
      <c r="A54" s="54"/>
      <c r="B54" s="54"/>
      <c r="C54" s="54"/>
      <c r="D54" s="37"/>
      <c r="Q54" s="5"/>
      <c r="R54" s="5"/>
      <c r="S54" s="5"/>
      <c r="T54" s="5"/>
    </row>
    <row r="55" spans="1:20" s="38" customFormat="1" x14ac:dyDescent="0.3">
      <c r="A55" s="54"/>
      <c r="B55" s="54"/>
      <c r="C55" s="54"/>
      <c r="D55" s="37"/>
      <c r="Q55" s="5"/>
      <c r="R55" s="5"/>
      <c r="S55" s="5"/>
      <c r="T55" s="5"/>
    </row>
    <row r="56" spans="1:20" s="38" customFormat="1" x14ac:dyDescent="0.3">
      <c r="A56" s="54"/>
      <c r="B56" s="54"/>
      <c r="C56" s="54"/>
      <c r="D56" s="37"/>
      <c r="Q56" s="5"/>
      <c r="R56" s="5"/>
      <c r="S56" s="5"/>
      <c r="T56" s="5"/>
    </row>
    <row r="57" spans="1:20" s="38" customFormat="1" x14ac:dyDescent="0.3">
      <c r="A57" s="54"/>
      <c r="B57" s="54"/>
      <c r="C57" s="54"/>
      <c r="D57" s="37"/>
      <c r="Q57" s="5"/>
      <c r="R57" s="5"/>
      <c r="S57" s="5"/>
      <c r="T57" s="5"/>
    </row>
    <row r="58" spans="1:20" s="38" customFormat="1" x14ac:dyDescent="0.3">
      <c r="A58" s="54"/>
      <c r="B58" s="54"/>
      <c r="C58" s="54"/>
      <c r="D58" s="37"/>
      <c r="Q58" s="5"/>
      <c r="R58" s="5"/>
      <c r="S58" s="5"/>
      <c r="T58" s="5"/>
    </row>
    <row r="59" spans="1:20" s="38" customFormat="1" x14ac:dyDescent="0.3">
      <c r="A59" s="54"/>
      <c r="B59" s="54"/>
      <c r="C59" s="54"/>
      <c r="D59" s="37"/>
      <c r="Q59" s="5"/>
      <c r="R59" s="5"/>
      <c r="S59" s="5"/>
      <c r="T59" s="5"/>
    </row>
    <row r="60" spans="1:20" s="38" customFormat="1" x14ac:dyDescent="0.3">
      <c r="A60" s="54"/>
      <c r="B60" s="54"/>
      <c r="C60" s="54"/>
      <c r="D60" s="37"/>
      <c r="Q60" s="5"/>
      <c r="R60" s="5"/>
      <c r="S60" s="5"/>
      <c r="T60" s="5"/>
    </row>
    <row r="61" spans="1:20" s="38" customFormat="1" x14ac:dyDescent="0.3">
      <c r="A61" s="54"/>
      <c r="B61" s="54"/>
      <c r="C61" s="54"/>
      <c r="D61" s="37"/>
      <c r="Q61" s="5"/>
      <c r="R61" s="5"/>
      <c r="S61" s="5"/>
      <c r="T61" s="5"/>
    </row>
    <row r="62" spans="1:20" s="38" customFormat="1" x14ac:dyDescent="0.3">
      <c r="A62" s="54"/>
      <c r="B62" s="54"/>
      <c r="C62" s="54"/>
      <c r="D62" s="37"/>
      <c r="Q62" s="5"/>
      <c r="R62" s="5"/>
      <c r="S62" s="5"/>
      <c r="T62" s="5"/>
    </row>
    <row r="63" spans="1:20" s="38" customFormat="1" x14ac:dyDescent="0.3">
      <c r="A63" s="54"/>
      <c r="B63" s="54"/>
      <c r="C63" s="54"/>
      <c r="D63" s="37"/>
      <c r="Q63" s="5"/>
      <c r="R63" s="5"/>
      <c r="S63" s="5"/>
      <c r="T63" s="5"/>
    </row>
    <row r="64" spans="1:20" s="38" customFormat="1" x14ac:dyDescent="0.3">
      <c r="A64" s="54"/>
      <c r="B64" s="54"/>
      <c r="C64" s="54"/>
      <c r="D64" s="37"/>
      <c r="Q64" s="5"/>
      <c r="R64" s="5"/>
      <c r="S64" s="5"/>
      <c r="T64" s="5"/>
    </row>
  </sheetData>
  <mergeCells count="8">
    <mergeCell ref="N24:P24"/>
    <mergeCell ref="D27:E27"/>
    <mergeCell ref="H3:P3"/>
    <mergeCell ref="A4:A5"/>
    <mergeCell ref="B4:B5"/>
    <mergeCell ref="C4:C5"/>
    <mergeCell ref="D4:D5"/>
    <mergeCell ref="E4:T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workbookViewId="0">
      <selection activeCell="B12" sqref="B12"/>
    </sheetView>
  </sheetViews>
  <sheetFormatPr defaultRowHeight="15.6" x14ac:dyDescent="0.3"/>
  <cols>
    <col min="1" max="1" width="11.109375" style="37" customWidth="1"/>
    <col min="2" max="2" width="49.6640625" style="37" customWidth="1"/>
    <col min="3" max="3" width="8.44140625" style="37" customWidth="1"/>
    <col min="4" max="4" width="11.44140625" style="37" customWidth="1"/>
    <col min="5" max="5" width="14.6640625" style="38" customWidth="1"/>
    <col min="6" max="7" width="13.109375" style="38" customWidth="1"/>
    <col min="8" max="8" width="13" style="38" hidden="1" customWidth="1"/>
    <col min="9" max="9" width="10.109375" style="38" hidden="1" customWidth="1"/>
    <col min="10" max="10" width="14.109375" style="38" customWidth="1"/>
    <col min="11" max="11" width="10.88671875" style="38" customWidth="1"/>
    <col min="12" max="12" width="10.44140625" style="38" customWidth="1"/>
    <col min="13" max="13" width="10.5546875" style="38" customWidth="1"/>
    <col min="14" max="14" width="10.109375" style="38" hidden="1" customWidth="1"/>
    <col min="15" max="15" width="14.44140625" style="38" customWidth="1"/>
    <col min="16" max="16" width="10.44140625" style="38" hidden="1" customWidth="1"/>
    <col min="17" max="17" width="7.6640625" style="5" hidden="1" customWidth="1"/>
    <col min="18" max="18" width="12.6640625" style="5" customWidth="1"/>
    <col min="19" max="19" width="10.5546875" style="5" hidden="1" customWidth="1"/>
    <col min="20" max="20" width="9.6640625" style="5" hidden="1" customWidth="1"/>
  </cols>
  <sheetData>
    <row r="1" spans="1:20" ht="29.4" x14ac:dyDescent="0.45">
      <c r="A1" s="1" t="s">
        <v>0</v>
      </c>
      <c r="B1" s="2"/>
      <c r="C1" s="2"/>
      <c r="D1" s="3"/>
      <c r="E1" s="3"/>
      <c r="F1" s="3"/>
      <c r="G1" s="3"/>
      <c r="H1" s="3"/>
      <c r="I1" s="3"/>
      <c r="J1" s="3" t="s">
        <v>1</v>
      </c>
      <c r="K1" s="4"/>
      <c r="L1" s="4"/>
      <c r="M1" s="4"/>
      <c r="N1" s="4"/>
      <c r="O1" s="4"/>
      <c r="P1" s="4"/>
    </row>
    <row r="2" spans="1:20" ht="29.4" x14ac:dyDescent="0.45">
      <c r="A2" s="1" t="s">
        <v>2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0" ht="20.399999999999999" x14ac:dyDescent="0.3">
      <c r="A3" s="6"/>
      <c r="B3" s="6"/>
      <c r="C3" s="6"/>
      <c r="D3" s="7"/>
      <c r="E3" s="7"/>
      <c r="F3" s="7"/>
      <c r="G3" s="7"/>
      <c r="H3" s="198"/>
      <c r="I3" s="198" t="s">
        <v>62</v>
      </c>
      <c r="J3" s="198"/>
      <c r="K3" s="198"/>
      <c r="L3" s="198"/>
      <c r="M3" s="198"/>
      <c r="N3" s="198"/>
      <c r="O3" s="198"/>
      <c r="P3" s="198"/>
    </row>
    <row r="4" spans="1:20" ht="15" customHeight="1" x14ac:dyDescent="0.3">
      <c r="A4" s="204" t="s">
        <v>4</v>
      </c>
      <c r="B4" s="206" t="s">
        <v>5</v>
      </c>
      <c r="C4" s="208" t="s">
        <v>6</v>
      </c>
      <c r="D4" s="208" t="s">
        <v>7</v>
      </c>
      <c r="E4" s="210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ht="79.2" x14ac:dyDescent="0.3">
      <c r="A5" s="205"/>
      <c r="B5" s="207"/>
      <c r="C5" s="209"/>
      <c r="D5" s="209"/>
      <c r="E5" s="9" t="s">
        <v>8</v>
      </c>
      <c r="F5" s="9" t="s">
        <v>10</v>
      </c>
      <c r="G5" s="9" t="s">
        <v>9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86</v>
      </c>
      <c r="O5" s="9" t="s">
        <v>63</v>
      </c>
      <c r="P5" s="9" t="s">
        <v>19</v>
      </c>
      <c r="Q5" s="9" t="s">
        <v>12</v>
      </c>
      <c r="R5" s="9" t="s">
        <v>129</v>
      </c>
      <c r="S5" s="9" t="s">
        <v>65</v>
      </c>
      <c r="T5" s="9" t="s">
        <v>66</v>
      </c>
    </row>
    <row r="6" spans="1:20" ht="14.4" x14ac:dyDescent="0.3">
      <c r="A6" s="10"/>
      <c r="B6" s="11"/>
      <c r="C6" s="12"/>
      <c r="D6" s="13"/>
      <c r="E6" s="14"/>
      <c r="F6" s="15"/>
      <c r="G6" s="15"/>
      <c r="H6" s="16"/>
      <c r="I6" s="16"/>
      <c r="J6" s="16"/>
      <c r="K6" s="16"/>
      <c r="L6" s="16"/>
      <c r="M6" s="16"/>
      <c r="N6" s="16"/>
      <c r="O6" s="16"/>
      <c r="P6" s="17"/>
      <c r="Q6" s="18"/>
      <c r="R6" s="18"/>
      <c r="S6" s="18"/>
      <c r="T6" s="18"/>
    </row>
    <row r="7" spans="1:20" ht="14.4" x14ac:dyDescent="0.3">
      <c r="A7" s="10"/>
      <c r="B7" s="11" t="s">
        <v>43</v>
      </c>
      <c r="C7" s="12"/>
      <c r="D7" s="13"/>
      <c r="E7" s="14"/>
      <c r="F7" s="15"/>
      <c r="G7" s="15"/>
      <c r="H7" s="16"/>
      <c r="I7" s="16"/>
      <c r="J7" s="16"/>
      <c r="K7" s="16"/>
      <c r="L7" s="16"/>
      <c r="M7" s="16"/>
      <c r="N7" s="16"/>
      <c r="O7" s="16"/>
      <c r="P7" s="17"/>
      <c r="Q7" s="18"/>
      <c r="R7" s="18"/>
      <c r="S7" s="19"/>
      <c r="T7" s="19"/>
    </row>
    <row r="8" spans="1:20" ht="14.4" x14ac:dyDescent="0.3">
      <c r="A8" s="21">
        <v>45380</v>
      </c>
      <c r="B8" s="11" t="s">
        <v>110</v>
      </c>
      <c r="C8" s="12">
        <v>18350</v>
      </c>
      <c r="D8" s="13"/>
      <c r="E8" s="14">
        <v>1645</v>
      </c>
      <c r="F8" s="15">
        <f>E8</f>
        <v>1645</v>
      </c>
      <c r="G8" s="15"/>
      <c r="H8" s="16"/>
      <c r="I8" s="16"/>
      <c r="J8" s="16"/>
      <c r="K8" s="16"/>
      <c r="L8" s="16"/>
      <c r="M8" s="16"/>
      <c r="N8" s="16"/>
      <c r="O8" s="16"/>
      <c r="P8" s="17"/>
      <c r="Q8" s="18"/>
      <c r="R8" s="18"/>
      <c r="S8" s="19"/>
      <c r="T8" s="19"/>
    </row>
    <row r="9" spans="1:20" ht="14.4" x14ac:dyDescent="0.3">
      <c r="A9" s="10">
        <v>45380</v>
      </c>
      <c r="B9" s="11" t="s">
        <v>130</v>
      </c>
      <c r="C9" s="12">
        <v>19151</v>
      </c>
      <c r="D9" s="13"/>
      <c r="E9" s="14">
        <v>500</v>
      </c>
      <c r="F9" s="15"/>
      <c r="G9" s="15"/>
      <c r="H9" s="16"/>
      <c r="I9" s="16"/>
      <c r="J9" s="16"/>
      <c r="K9" s="16"/>
      <c r="L9" s="16"/>
      <c r="M9" s="16"/>
      <c r="N9" s="16"/>
      <c r="O9" s="16">
        <f>E9</f>
        <v>500</v>
      </c>
      <c r="P9" s="17"/>
      <c r="Q9" s="18"/>
      <c r="R9" s="18"/>
      <c r="S9" s="19"/>
      <c r="T9" s="19"/>
    </row>
    <row r="10" spans="1:20" ht="14.4" x14ac:dyDescent="0.3">
      <c r="A10" s="10">
        <v>45381</v>
      </c>
      <c r="B10" s="11" t="s">
        <v>77</v>
      </c>
      <c r="C10" s="12">
        <v>19152</v>
      </c>
      <c r="D10" s="13"/>
      <c r="E10" s="14">
        <v>1440</v>
      </c>
      <c r="F10" s="15"/>
      <c r="G10" s="15"/>
      <c r="H10" s="16"/>
      <c r="I10" s="16"/>
      <c r="J10" s="16">
        <f>E10</f>
        <v>1440</v>
      </c>
      <c r="K10" s="16"/>
      <c r="L10" s="16"/>
      <c r="M10" s="16"/>
      <c r="N10" s="16"/>
      <c r="O10" s="16"/>
      <c r="P10" s="17"/>
      <c r="Q10" s="18"/>
      <c r="R10" s="18"/>
      <c r="S10" s="19"/>
      <c r="T10" s="19"/>
    </row>
    <row r="11" spans="1:20" ht="14.4" x14ac:dyDescent="0.3">
      <c r="A11" s="10">
        <v>45383</v>
      </c>
      <c r="B11" s="11" t="s">
        <v>101</v>
      </c>
      <c r="C11" s="12">
        <v>19153</v>
      </c>
      <c r="D11" s="13"/>
      <c r="E11" s="14">
        <v>150</v>
      </c>
      <c r="F11" s="15"/>
      <c r="G11" s="15"/>
      <c r="H11" s="16"/>
      <c r="I11" s="16"/>
      <c r="J11" s="16"/>
      <c r="K11" s="16"/>
      <c r="L11" s="16"/>
      <c r="M11" s="16">
        <f>E11</f>
        <v>150</v>
      </c>
      <c r="N11" s="16"/>
      <c r="O11" s="16"/>
      <c r="P11" s="17"/>
      <c r="Q11" s="18"/>
      <c r="R11" s="18"/>
      <c r="S11" s="19"/>
      <c r="T11" s="19"/>
    </row>
    <row r="12" spans="1:20" ht="14.4" x14ac:dyDescent="0.3">
      <c r="A12" s="10">
        <v>45385</v>
      </c>
      <c r="B12" s="11" t="s">
        <v>77</v>
      </c>
      <c r="C12" s="12">
        <v>19154</v>
      </c>
      <c r="D12" s="13"/>
      <c r="E12" s="14">
        <v>1680</v>
      </c>
      <c r="F12" s="15"/>
      <c r="G12" s="15"/>
      <c r="H12" s="16"/>
      <c r="I12" s="16"/>
      <c r="J12" s="16">
        <f>E12</f>
        <v>1680</v>
      </c>
      <c r="K12" s="16"/>
      <c r="L12" s="16"/>
      <c r="M12" s="16"/>
      <c r="N12" s="16"/>
      <c r="O12" s="16"/>
      <c r="P12" s="17"/>
      <c r="Q12" s="18"/>
      <c r="R12" s="18"/>
      <c r="S12" s="19"/>
      <c r="T12" s="19"/>
    </row>
    <row r="13" spans="1:20" ht="14.4" x14ac:dyDescent="0.3">
      <c r="A13" s="10">
        <v>45381</v>
      </c>
      <c r="B13" s="11" t="s">
        <v>131</v>
      </c>
      <c r="C13" s="12">
        <v>19155</v>
      </c>
      <c r="D13" s="13"/>
      <c r="E13" s="14">
        <v>400</v>
      </c>
      <c r="F13" s="15"/>
      <c r="G13" s="15">
        <f>E13</f>
        <v>400</v>
      </c>
      <c r="H13" s="16"/>
      <c r="I13" s="16"/>
      <c r="J13" s="16"/>
      <c r="K13" s="16"/>
      <c r="L13" s="16"/>
      <c r="M13" s="16"/>
      <c r="N13" s="16"/>
      <c r="O13" s="16"/>
      <c r="P13" s="17"/>
      <c r="Q13" s="18"/>
      <c r="R13" s="18"/>
      <c r="S13" s="19"/>
      <c r="T13" s="19"/>
    </row>
    <row r="14" spans="1:20" ht="14.4" x14ac:dyDescent="0.3">
      <c r="A14" s="10">
        <v>45385</v>
      </c>
      <c r="B14" s="11" t="s">
        <v>132</v>
      </c>
      <c r="C14" s="12">
        <v>19156</v>
      </c>
      <c r="D14" s="13"/>
      <c r="E14" s="14">
        <v>3440</v>
      </c>
      <c r="F14" s="15"/>
      <c r="G14" s="15"/>
      <c r="H14" s="16"/>
      <c r="I14" s="16"/>
      <c r="J14" s="16"/>
      <c r="K14" s="16">
        <f>E14</f>
        <v>3440</v>
      </c>
      <c r="L14" s="16"/>
      <c r="M14" s="16"/>
      <c r="N14" s="16"/>
      <c r="O14" s="16"/>
      <c r="P14" s="17"/>
      <c r="Q14" s="18"/>
      <c r="R14" s="18"/>
      <c r="S14" s="19"/>
      <c r="T14" s="19"/>
    </row>
    <row r="15" spans="1:20" ht="14.4" x14ac:dyDescent="0.3">
      <c r="A15" s="10">
        <v>45385</v>
      </c>
      <c r="B15" s="11" t="s">
        <v>133</v>
      </c>
      <c r="C15" s="12">
        <v>19157</v>
      </c>
      <c r="D15" s="13"/>
      <c r="E15" s="14">
        <v>500</v>
      </c>
      <c r="F15" s="15"/>
      <c r="G15" s="15"/>
      <c r="H15" s="16"/>
      <c r="I15" s="16"/>
      <c r="J15" s="16"/>
      <c r="K15" s="16"/>
      <c r="L15" s="16">
        <f>E15</f>
        <v>500</v>
      </c>
      <c r="M15" s="16"/>
      <c r="N15" s="16"/>
      <c r="O15" s="16"/>
      <c r="P15" s="17"/>
      <c r="Q15" s="18"/>
      <c r="R15" s="18"/>
      <c r="S15" s="19"/>
      <c r="T15" s="19"/>
    </row>
    <row r="16" spans="1:20" ht="14.4" x14ac:dyDescent="0.3">
      <c r="A16" s="10">
        <v>45385</v>
      </c>
      <c r="B16" s="11" t="s">
        <v>134</v>
      </c>
      <c r="C16" s="12">
        <v>19158</v>
      </c>
      <c r="D16" s="13"/>
      <c r="E16" s="14">
        <v>2500</v>
      </c>
      <c r="F16" s="15"/>
      <c r="G16" s="15">
        <f>E16</f>
        <v>2500</v>
      </c>
      <c r="H16" s="16"/>
      <c r="I16" s="16"/>
      <c r="J16" s="16"/>
      <c r="K16" s="16"/>
      <c r="L16" s="16"/>
      <c r="M16" s="16"/>
      <c r="N16" s="16"/>
      <c r="O16" s="16"/>
      <c r="P16" s="17"/>
      <c r="Q16" s="18"/>
      <c r="R16" s="18"/>
      <c r="S16" s="19"/>
      <c r="T16" s="19"/>
    </row>
    <row r="17" spans="1:20" ht="14.4" x14ac:dyDescent="0.3">
      <c r="A17" s="10">
        <v>45385</v>
      </c>
      <c r="B17" s="11" t="s">
        <v>110</v>
      </c>
      <c r="C17" s="12">
        <v>19159</v>
      </c>
      <c r="D17" s="13"/>
      <c r="E17" s="14">
        <v>2750</v>
      </c>
      <c r="F17" s="15">
        <f>E17</f>
        <v>2750</v>
      </c>
      <c r="G17" s="15"/>
      <c r="H17" s="16"/>
      <c r="I17" s="16"/>
      <c r="J17" s="16"/>
      <c r="K17" s="16"/>
      <c r="L17" s="16"/>
      <c r="M17" s="16"/>
      <c r="N17" s="16"/>
      <c r="O17" s="16"/>
      <c r="P17" s="17"/>
      <c r="Q17" s="18"/>
      <c r="R17" s="18"/>
      <c r="S17" s="19"/>
      <c r="T17" s="19"/>
    </row>
    <row r="18" spans="1:20" ht="14.4" x14ac:dyDescent="0.3">
      <c r="A18" s="10">
        <v>45386</v>
      </c>
      <c r="B18" s="11" t="s">
        <v>135</v>
      </c>
      <c r="C18" s="12">
        <v>19160</v>
      </c>
      <c r="D18" s="13"/>
      <c r="E18" s="14">
        <v>80</v>
      </c>
      <c r="F18" s="15"/>
      <c r="G18" s="15"/>
      <c r="H18" s="16"/>
      <c r="I18" s="16"/>
      <c r="J18" s="16"/>
      <c r="K18" s="16"/>
      <c r="L18" s="16"/>
      <c r="M18" s="16"/>
      <c r="N18" s="16"/>
      <c r="O18" s="16">
        <f>E18</f>
        <v>80</v>
      </c>
      <c r="P18" s="17"/>
      <c r="Q18" s="18"/>
      <c r="R18" s="18"/>
      <c r="S18" s="19"/>
      <c r="T18" s="19"/>
    </row>
    <row r="19" spans="1:20" ht="14.4" x14ac:dyDescent="0.3">
      <c r="A19" s="10">
        <v>45387</v>
      </c>
      <c r="B19" s="11" t="s">
        <v>110</v>
      </c>
      <c r="C19" s="12">
        <v>19161</v>
      </c>
      <c r="D19" s="13"/>
      <c r="E19" s="14">
        <v>70</v>
      </c>
      <c r="F19" s="15">
        <f>E19</f>
        <v>70</v>
      </c>
      <c r="G19" s="15"/>
      <c r="H19" s="16"/>
      <c r="I19" s="16"/>
      <c r="J19" s="16"/>
      <c r="K19" s="16"/>
      <c r="L19" s="16"/>
      <c r="M19" s="16"/>
      <c r="N19" s="16"/>
      <c r="O19" s="16"/>
      <c r="P19" s="17"/>
      <c r="Q19" s="18"/>
      <c r="R19" s="18"/>
      <c r="S19" s="19"/>
      <c r="T19" s="19"/>
    </row>
    <row r="20" spans="1:20" ht="14.4" x14ac:dyDescent="0.3">
      <c r="A20" s="10">
        <v>45387</v>
      </c>
      <c r="B20" s="11" t="s">
        <v>71</v>
      </c>
      <c r="C20" s="12">
        <v>19162</v>
      </c>
      <c r="D20" s="13"/>
      <c r="E20" s="14">
        <v>2500</v>
      </c>
      <c r="F20" s="15"/>
      <c r="G20" s="15"/>
      <c r="H20" s="16"/>
      <c r="I20" s="16"/>
      <c r="J20" s="16"/>
      <c r="K20" s="16"/>
      <c r="L20" s="16"/>
      <c r="M20" s="16"/>
      <c r="N20" s="16"/>
      <c r="O20" s="16"/>
      <c r="P20" s="17"/>
      <c r="Q20" s="18"/>
      <c r="R20" s="18">
        <f>E20</f>
        <v>2500</v>
      </c>
      <c r="S20" s="19"/>
      <c r="T20" s="19"/>
    </row>
    <row r="21" spans="1:20" ht="14.4" x14ac:dyDescent="0.3">
      <c r="A21" s="10"/>
      <c r="B21" s="11"/>
      <c r="C21" s="12"/>
      <c r="D21" s="13"/>
      <c r="E21" s="14"/>
      <c r="F21" s="15"/>
      <c r="G21" s="15"/>
      <c r="H21" s="16"/>
      <c r="I21" s="16"/>
      <c r="J21" s="16"/>
      <c r="K21" s="16"/>
      <c r="L21" s="16"/>
      <c r="M21" s="16"/>
      <c r="N21" s="16"/>
      <c r="O21" s="16"/>
      <c r="P21" s="17"/>
      <c r="Q21" s="18"/>
      <c r="R21" s="18"/>
      <c r="S21" s="19"/>
      <c r="T21" s="19"/>
    </row>
    <row r="22" spans="1:20" ht="15" thickBot="1" x14ac:dyDescent="0.35">
      <c r="A22" s="60"/>
      <c r="B22" s="60"/>
      <c r="C22" s="60"/>
      <c r="D22" s="87">
        <v>60000</v>
      </c>
      <c r="E22" s="65">
        <f>SUM(E5:E21)</f>
        <v>17655</v>
      </c>
      <c r="F22" s="88">
        <f t="shared" ref="F22:R22" si="0">SUM(F7:F21)</f>
        <v>4465</v>
      </c>
      <c r="G22" s="88">
        <f t="shared" si="0"/>
        <v>2900</v>
      </c>
      <c r="H22" s="88">
        <f t="shared" si="0"/>
        <v>0</v>
      </c>
      <c r="I22" s="88">
        <f t="shared" si="0"/>
        <v>0</v>
      </c>
      <c r="J22" s="88">
        <f t="shared" si="0"/>
        <v>3120</v>
      </c>
      <c r="K22" s="88">
        <f t="shared" si="0"/>
        <v>3440</v>
      </c>
      <c r="L22" s="88">
        <f t="shared" si="0"/>
        <v>500</v>
      </c>
      <c r="M22" s="88">
        <f t="shared" si="0"/>
        <v>150</v>
      </c>
      <c r="N22" s="88">
        <f t="shared" si="0"/>
        <v>0</v>
      </c>
      <c r="O22" s="88">
        <f t="shared" si="0"/>
        <v>580</v>
      </c>
      <c r="P22" s="88">
        <f t="shared" si="0"/>
        <v>0</v>
      </c>
      <c r="Q22" s="88">
        <f t="shared" si="0"/>
        <v>0</v>
      </c>
      <c r="R22" s="88">
        <f t="shared" si="0"/>
        <v>2500</v>
      </c>
      <c r="S22" s="62">
        <f>SUM(S8:S21)</f>
        <v>0</v>
      </c>
      <c r="T22" s="34"/>
    </row>
    <row r="23" spans="1:20" ht="16.2" thickTop="1" x14ac:dyDescent="0.3">
      <c r="A23" s="44" t="s">
        <v>43</v>
      </c>
      <c r="B23" s="35"/>
      <c r="C23" s="35"/>
      <c r="D23" s="36"/>
      <c r="N23" s="201"/>
      <c r="O23" s="201"/>
      <c r="P23" s="201"/>
    </row>
    <row r="24" spans="1:20" x14ac:dyDescent="0.3">
      <c r="A24" s="44"/>
      <c r="B24" s="35"/>
      <c r="C24" s="35"/>
      <c r="D24" s="36"/>
      <c r="N24" s="39"/>
      <c r="O24" s="39"/>
      <c r="P24" s="39"/>
    </row>
    <row r="25" spans="1:20" ht="16.2" thickBot="1" x14ac:dyDescent="0.35">
      <c r="A25" s="44"/>
      <c r="B25" s="35"/>
      <c r="C25" s="35"/>
      <c r="D25" s="36"/>
      <c r="N25" s="39"/>
      <c r="O25" s="39"/>
      <c r="P25" s="39"/>
    </row>
    <row r="26" spans="1:20" ht="29.4" thickBot="1" x14ac:dyDescent="0.6">
      <c r="B26" s="40" t="s">
        <v>45</v>
      </c>
      <c r="C26" s="41"/>
      <c r="D26" s="196">
        <f>E22</f>
        <v>17655</v>
      </c>
      <c r="E26" s="197">
        <f>SUM(E7:E23)</f>
        <v>35310</v>
      </c>
      <c r="F26" s="42"/>
      <c r="G26" s="42"/>
      <c r="H26" s="43"/>
      <c r="I26" s="43"/>
      <c r="J26" s="43"/>
      <c r="K26" s="43"/>
      <c r="L26" s="43"/>
      <c r="M26" s="43"/>
    </row>
    <row r="27" spans="1:20" x14ac:dyDescent="0.3">
      <c r="A27" s="44"/>
      <c r="B27" s="45"/>
      <c r="C27" s="45"/>
      <c r="D27" s="45"/>
      <c r="E27" s="46" t="s">
        <v>44</v>
      </c>
      <c r="F27" s="46"/>
      <c r="G27" s="46"/>
      <c r="H27" s="46"/>
      <c r="I27" s="46"/>
      <c r="J27" s="46"/>
      <c r="K27" s="46"/>
      <c r="L27" s="46"/>
      <c r="M27" s="46"/>
      <c r="N27" s="47"/>
      <c r="O27" s="5"/>
      <c r="P27" s="5"/>
    </row>
    <row r="28" spans="1:20" x14ac:dyDescent="0.3">
      <c r="A28" s="44"/>
      <c r="B28" s="45"/>
      <c r="C28" s="45"/>
      <c r="D28" s="45"/>
      <c r="E28" s="46"/>
      <c r="F28" s="46"/>
      <c r="G28" s="46"/>
      <c r="H28" s="46"/>
      <c r="I28" s="46"/>
      <c r="J28" s="46"/>
      <c r="K28" s="46"/>
      <c r="L28" s="46"/>
      <c r="M28" s="46"/>
      <c r="N28" s="47"/>
      <c r="O28" s="5"/>
      <c r="P28" s="5"/>
    </row>
    <row r="29" spans="1:20" ht="16.2" x14ac:dyDescent="0.35">
      <c r="A29" s="48"/>
      <c r="B29" s="49"/>
      <c r="D29" s="50"/>
      <c r="E29" s="50"/>
      <c r="F29" s="50"/>
      <c r="G29" s="50"/>
      <c r="H29" s="50"/>
      <c r="J29" s="50"/>
      <c r="L29" s="51"/>
      <c r="M29" s="50"/>
      <c r="N29" s="52"/>
      <c r="O29" s="50"/>
      <c r="Q29" s="51"/>
      <c r="R29" s="50"/>
      <c r="S29" s="50"/>
      <c r="T29" s="50"/>
    </row>
    <row r="30" spans="1:20" ht="16.2" x14ac:dyDescent="0.35">
      <c r="A30" s="48"/>
      <c r="B30" s="49" t="s">
        <v>46</v>
      </c>
      <c r="D30" s="50" t="s">
        <v>47</v>
      </c>
      <c r="E30" s="50"/>
      <c r="F30" s="50"/>
      <c r="G30" s="50"/>
      <c r="H30" s="50" t="s">
        <v>47</v>
      </c>
      <c r="I30" s="50" t="s">
        <v>47</v>
      </c>
      <c r="J30" s="50" t="s">
        <v>47</v>
      </c>
      <c r="L30" s="51"/>
      <c r="M30" s="50"/>
      <c r="N30" s="52" t="s">
        <v>48</v>
      </c>
      <c r="O30" s="50" t="s">
        <v>48</v>
      </c>
      <c r="Q30" s="51"/>
      <c r="R30" s="50"/>
      <c r="S30" s="50"/>
      <c r="T30" s="50"/>
    </row>
    <row r="31" spans="1:20" ht="16.2" x14ac:dyDescent="0.35">
      <c r="A31" s="48"/>
      <c r="B31" s="49" t="s">
        <v>49</v>
      </c>
      <c r="D31" s="50" t="s">
        <v>50</v>
      </c>
      <c r="E31" s="50"/>
      <c r="F31" s="50"/>
      <c r="G31" s="50"/>
      <c r="H31" s="50" t="s">
        <v>51</v>
      </c>
      <c r="I31" s="50" t="s">
        <v>51</v>
      </c>
      <c r="J31" s="50" t="s">
        <v>51</v>
      </c>
      <c r="L31" s="51"/>
      <c r="M31" s="50"/>
      <c r="N31" s="52" t="s">
        <v>52</v>
      </c>
      <c r="O31" s="50" t="s">
        <v>52</v>
      </c>
      <c r="Q31" s="51"/>
      <c r="R31" s="50"/>
      <c r="S31" s="50"/>
      <c r="T31" s="50"/>
    </row>
    <row r="32" spans="1:20" ht="16.2" x14ac:dyDescent="0.35">
      <c r="A32" s="48"/>
      <c r="B32" s="49" t="s">
        <v>53</v>
      </c>
      <c r="D32" s="50" t="s">
        <v>54</v>
      </c>
      <c r="E32" s="50"/>
      <c r="F32" s="50"/>
      <c r="G32" s="50"/>
      <c r="H32" s="50" t="s">
        <v>55</v>
      </c>
      <c r="I32" s="50" t="s">
        <v>55</v>
      </c>
      <c r="J32" s="50" t="s">
        <v>55</v>
      </c>
      <c r="L32" s="51"/>
      <c r="M32" s="50"/>
      <c r="N32" s="52" t="s">
        <v>56</v>
      </c>
      <c r="O32" s="50" t="s">
        <v>56</v>
      </c>
      <c r="Q32" s="51"/>
      <c r="R32" s="50"/>
      <c r="S32" s="50"/>
      <c r="T32" s="50"/>
    </row>
    <row r="33" spans="1:20" ht="16.2" x14ac:dyDescent="0.35">
      <c r="A33" s="48"/>
      <c r="B33" s="49" t="s">
        <v>57</v>
      </c>
      <c r="D33" s="50" t="s">
        <v>58</v>
      </c>
      <c r="E33" s="50"/>
      <c r="F33" s="50"/>
      <c r="G33" s="50"/>
      <c r="H33" s="50" t="s">
        <v>59</v>
      </c>
      <c r="I33" s="50" t="s">
        <v>59</v>
      </c>
      <c r="J33" s="50" t="s">
        <v>59</v>
      </c>
      <c r="L33" s="51"/>
      <c r="M33" s="50"/>
      <c r="N33" s="52" t="s">
        <v>60</v>
      </c>
      <c r="O33" s="50" t="s">
        <v>60</v>
      </c>
      <c r="Q33" s="51"/>
      <c r="R33" s="50"/>
      <c r="S33" s="50"/>
      <c r="T33" s="50"/>
    </row>
    <row r="34" spans="1:20" ht="14.4" x14ac:dyDescent="0.3">
      <c r="A34" s="48"/>
      <c r="B34" s="48"/>
      <c r="C34" s="48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</row>
    <row r="35" spans="1:20" x14ac:dyDescent="0.3">
      <c r="B35" s="54"/>
      <c r="C35" s="54"/>
    </row>
    <row r="36" spans="1:20" x14ac:dyDescent="0.3">
      <c r="A36" s="54"/>
      <c r="B36" s="54"/>
      <c r="C36" s="54"/>
    </row>
    <row r="37" spans="1:20" x14ac:dyDescent="0.3">
      <c r="A37" s="54"/>
      <c r="B37" s="54"/>
      <c r="C37" s="54"/>
    </row>
    <row r="38" spans="1:20" x14ac:dyDescent="0.3">
      <c r="A38" s="54"/>
      <c r="B38" s="54"/>
      <c r="C38" s="54"/>
    </row>
    <row r="39" spans="1:20" x14ac:dyDescent="0.3">
      <c r="A39" s="54"/>
      <c r="B39" s="54"/>
      <c r="C39" s="54"/>
    </row>
    <row r="40" spans="1:20" x14ac:dyDescent="0.3">
      <c r="A40" s="54"/>
      <c r="B40" s="54"/>
      <c r="C40" s="54"/>
    </row>
    <row r="41" spans="1:20" x14ac:dyDescent="0.3">
      <c r="A41" s="54"/>
      <c r="B41" s="54"/>
      <c r="C41" s="54"/>
    </row>
    <row r="42" spans="1:20" x14ac:dyDescent="0.3">
      <c r="A42" s="54"/>
      <c r="B42" s="54"/>
      <c r="C42" s="54"/>
    </row>
    <row r="43" spans="1:20" x14ac:dyDescent="0.3">
      <c r="A43" s="54"/>
      <c r="B43" s="54"/>
      <c r="C43" s="54"/>
    </row>
    <row r="44" spans="1:20" x14ac:dyDescent="0.3">
      <c r="A44" s="54"/>
      <c r="B44" s="54"/>
      <c r="C44" s="54"/>
    </row>
    <row r="45" spans="1:20" x14ac:dyDescent="0.3">
      <c r="A45" s="54"/>
      <c r="B45" s="54"/>
      <c r="C45" s="54"/>
    </row>
    <row r="46" spans="1:20" x14ac:dyDescent="0.3">
      <c r="A46" s="54"/>
      <c r="B46" s="54"/>
      <c r="C46" s="54"/>
    </row>
    <row r="47" spans="1:20" x14ac:dyDescent="0.3">
      <c r="A47" s="54"/>
      <c r="B47" s="54"/>
      <c r="C47" s="54"/>
    </row>
    <row r="48" spans="1:20" x14ac:dyDescent="0.3">
      <c r="A48" s="54"/>
      <c r="B48" s="54"/>
      <c r="C48" s="54"/>
    </row>
    <row r="49" spans="1:20" s="38" customFormat="1" x14ac:dyDescent="0.3">
      <c r="A49" s="54"/>
      <c r="B49" s="54"/>
      <c r="C49" s="54"/>
      <c r="D49" s="37"/>
      <c r="Q49" s="5"/>
      <c r="R49" s="5"/>
      <c r="S49" s="5"/>
      <c r="T49" s="5"/>
    </row>
    <row r="50" spans="1:20" s="38" customFormat="1" x14ac:dyDescent="0.3">
      <c r="A50" s="54"/>
      <c r="B50" s="54"/>
      <c r="C50" s="54"/>
      <c r="D50" s="37"/>
      <c r="Q50" s="5"/>
      <c r="R50" s="5"/>
      <c r="S50" s="5"/>
      <c r="T50" s="5"/>
    </row>
    <row r="51" spans="1:20" s="38" customFormat="1" x14ac:dyDescent="0.3">
      <c r="A51" s="54"/>
      <c r="B51" s="54"/>
      <c r="C51" s="54"/>
      <c r="D51" s="37"/>
      <c r="F51" s="38" t="s">
        <v>44</v>
      </c>
      <c r="Q51" s="5"/>
      <c r="R51" s="5"/>
      <c r="S51" s="5"/>
      <c r="T51" s="5"/>
    </row>
    <row r="52" spans="1:20" s="38" customFormat="1" x14ac:dyDescent="0.3">
      <c r="A52" s="54"/>
      <c r="B52" s="54"/>
      <c r="C52" s="54"/>
      <c r="D52" s="37"/>
      <c r="Q52" s="5"/>
      <c r="R52" s="5"/>
      <c r="S52" s="5"/>
      <c r="T52" s="5"/>
    </row>
    <row r="53" spans="1:20" s="38" customFormat="1" x14ac:dyDescent="0.3">
      <c r="A53" s="54"/>
      <c r="B53" s="54"/>
      <c r="C53" s="54"/>
      <c r="D53" s="37"/>
      <c r="Q53" s="5"/>
      <c r="R53" s="5"/>
      <c r="S53" s="5"/>
      <c r="T53" s="5"/>
    </row>
    <row r="54" spans="1:20" s="38" customFormat="1" x14ac:dyDescent="0.3">
      <c r="A54" s="54"/>
      <c r="B54" s="54"/>
      <c r="C54" s="54"/>
      <c r="D54" s="37"/>
      <c r="Q54" s="5"/>
      <c r="R54" s="5"/>
      <c r="S54" s="5"/>
      <c r="T54" s="5"/>
    </row>
    <row r="55" spans="1:20" s="38" customFormat="1" x14ac:dyDescent="0.3">
      <c r="A55" s="54"/>
      <c r="B55" s="54"/>
      <c r="C55" s="54"/>
      <c r="D55" s="37"/>
      <c r="Q55" s="5"/>
      <c r="R55" s="5"/>
      <c r="S55" s="5"/>
      <c r="T55" s="5"/>
    </row>
    <row r="56" spans="1:20" s="38" customFormat="1" x14ac:dyDescent="0.3">
      <c r="A56" s="54"/>
      <c r="B56" s="54"/>
      <c r="C56" s="54"/>
      <c r="D56" s="37"/>
      <c r="Q56" s="5"/>
      <c r="R56" s="5"/>
      <c r="S56" s="5"/>
      <c r="T56" s="5"/>
    </row>
    <row r="57" spans="1:20" s="38" customFormat="1" x14ac:dyDescent="0.3">
      <c r="A57" s="54"/>
      <c r="B57" s="54"/>
      <c r="C57" s="54"/>
      <c r="D57" s="37"/>
      <c r="Q57" s="5"/>
      <c r="R57" s="5"/>
      <c r="S57" s="5"/>
      <c r="T57" s="5"/>
    </row>
    <row r="58" spans="1:20" s="38" customFormat="1" x14ac:dyDescent="0.3">
      <c r="A58" s="54"/>
      <c r="B58" s="54"/>
      <c r="C58" s="54"/>
      <c r="D58" s="37"/>
      <c r="Q58" s="5"/>
      <c r="R58" s="5"/>
      <c r="S58" s="5"/>
      <c r="T58" s="5"/>
    </row>
    <row r="59" spans="1:20" s="38" customFormat="1" x14ac:dyDescent="0.3">
      <c r="A59" s="54"/>
      <c r="B59" s="54"/>
      <c r="C59" s="54"/>
      <c r="D59" s="37"/>
      <c r="Q59" s="5"/>
      <c r="R59" s="5"/>
      <c r="S59" s="5"/>
      <c r="T59" s="5"/>
    </row>
    <row r="60" spans="1:20" s="38" customFormat="1" x14ac:dyDescent="0.3">
      <c r="A60" s="54"/>
      <c r="B60" s="54"/>
      <c r="C60" s="54"/>
      <c r="D60" s="37"/>
      <c r="Q60" s="5"/>
      <c r="R60" s="5"/>
      <c r="S60" s="5"/>
      <c r="T60" s="5"/>
    </row>
    <row r="61" spans="1:20" s="38" customFormat="1" x14ac:dyDescent="0.3">
      <c r="A61" s="54"/>
      <c r="B61" s="54"/>
      <c r="C61" s="54"/>
      <c r="D61" s="37"/>
      <c r="Q61" s="5"/>
      <c r="R61" s="5"/>
      <c r="S61" s="5"/>
      <c r="T61" s="5"/>
    </row>
    <row r="62" spans="1:20" s="38" customFormat="1" x14ac:dyDescent="0.3">
      <c r="A62" s="54"/>
      <c r="B62" s="54"/>
      <c r="C62" s="54"/>
      <c r="D62" s="37"/>
      <c r="Q62" s="5"/>
      <c r="R62" s="5"/>
      <c r="S62" s="5"/>
      <c r="T62" s="5"/>
    </row>
    <row r="63" spans="1:20" s="38" customFormat="1" x14ac:dyDescent="0.3">
      <c r="A63" s="54"/>
      <c r="B63" s="54"/>
      <c r="C63" s="54"/>
      <c r="D63" s="37"/>
      <c r="Q63" s="5"/>
      <c r="R63" s="5"/>
      <c r="S63" s="5"/>
      <c r="T63" s="5"/>
    </row>
  </sheetData>
  <mergeCells count="8">
    <mergeCell ref="N23:P23"/>
    <mergeCell ref="D26:E26"/>
    <mergeCell ref="H3:P3"/>
    <mergeCell ref="A4:A5"/>
    <mergeCell ref="B4:B5"/>
    <mergeCell ref="C4:C5"/>
    <mergeCell ref="D4:D5"/>
    <mergeCell ref="E4:T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FC80-6FEF-4537-A568-A12CBE907ED9}">
  <dimension ref="A1:S57"/>
  <sheetViews>
    <sheetView workbookViewId="0">
      <selection activeCell="B4" sqref="B4:B5"/>
    </sheetView>
  </sheetViews>
  <sheetFormatPr defaultRowHeight="15.6" x14ac:dyDescent="0.3"/>
  <cols>
    <col min="1" max="1" width="11.109375" style="37" customWidth="1"/>
    <col min="2" max="2" width="49.6640625" style="37" customWidth="1"/>
    <col min="3" max="3" width="8.44140625" style="37" customWidth="1"/>
    <col min="4" max="4" width="11.44140625" style="37" customWidth="1"/>
    <col min="5" max="5" width="14.6640625" style="38" customWidth="1"/>
    <col min="6" max="6" width="13.109375" style="38" customWidth="1"/>
    <col min="7" max="7" width="13" style="38" hidden="1" customWidth="1"/>
    <col min="8" max="8" width="10.109375" style="38" customWidth="1"/>
    <col min="9" max="9" width="14.109375" style="38" customWidth="1"/>
    <col min="10" max="10" width="10.88671875" style="38" hidden="1" customWidth="1"/>
    <col min="11" max="11" width="10.44140625" style="38" customWidth="1"/>
    <col min="12" max="12" width="10.5546875" style="38" customWidth="1"/>
    <col min="13" max="13" width="10.109375" style="38" hidden="1" customWidth="1"/>
    <col min="14" max="14" width="29" style="38" hidden="1" customWidth="1"/>
    <col min="15" max="15" width="10.44140625" style="38" hidden="1" customWidth="1"/>
    <col min="16" max="16" width="7.6640625" style="5" hidden="1" customWidth="1"/>
    <col min="17" max="17" width="9.88671875" style="5" customWidth="1"/>
    <col min="18" max="18" width="10.5546875" style="5" hidden="1" customWidth="1"/>
    <col min="19" max="19" width="9.6640625" style="5" hidden="1" customWidth="1"/>
  </cols>
  <sheetData>
    <row r="1" spans="1:19" ht="29.4" x14ac:dyDescent="0.45">
      <c r="A1" s="1" t="s">
        <v>0</v>
      </c>
      <c r="B1" s="2"/>
      <c r="C1" s="2"/>
      <c r="D1" s="3"/>
      <c r="E1" s="3"/>
      <c r="F1" s="3"/>
      <c r="G1" s="3"/>
      <c r="H1" s="3"/>
      <c r="I1" s="3" t="s">
        <v>1</v>
      </c>
      <c r="J1" s="4"/>
      <c r="K1" s="4"/>
      <c r="L1" s="4"/>
      <c r="M1" s="4"/>
      <c r="N1" s="4"/>
      <c r="O1" s="4"/>
    </row>
    <row r="2" spans="1:19" ht="29.4" x14ac:dyDescent="0.45">
      <c r="A2" s="1" t="s">
        <v>2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9" ht="20.399999999999999" x14ac:dyDescent="0.3">
      <c r="A3" s="6"/>
      <c r="B3" s="6"/>
      <c r="C3" s="6"/>
      <c r="D3" s="7"/>
      <c r="E3" s="7"/>
      <c r="F3" s="7"/>
      <c r="G3" s="198"/>
      <c r="H3" s="198" t="s">
        <v>62</v>
      </c>
      <c r="I3" s="198"/>
      <c r="J3" s="198"/>
      <c r="K3" s="198"/>
      <c r="L3" s="198"/>
      <c r="M3" s="198"/>
      <c r="N3" s="198"/>
      <c r="O3" s="198"/>
    </row>
    <row r="4" spans="1:19" ht="15" customHeight="1" x14ac:dyDescent="0.3">
      <c r="A4" s="204" t="s">
        <v>4</v>
      </c>
      <c r="B4" s="206" t="s">
        <v>5</v>
      </c>
      <c r="C4" s="208" t="s">
        <v>6</v>
      </c>
      <c r="D4" s="208" t="s">
        <v>7</v>
      </c>
      <c r="E4" s="210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2"/>
    </row>
    <row r="5" spans="1:19" ht="79.2" x14ac:dyDescent="0.3">
      <c r="A5" s="205"/>
      <c r="B5" s="207"/>
      <c r="C5" s="209"/>
      <c r="D5" s="209"/>
      <c r="E5" s="9" t="s">
        <v>8</v>
      </c>
      <c r="F5" s="9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9" t="s">
        <v>15</v>
      </c>
      <c r="L5" s="9" t="s">
        <v>16</v>
      </c>
      <c r="M5" s="9" t="s">
        <v>86</v>
      </c>
      <c r="N5" s="9" t="s">
        <v>63</v>
      </c>
      <c r="O5" s="9" t="s">
        <v>19</v>
      </c>
      <c r="P5" s="9" t="s">
        <v>12</v>
      </c>
      <c r="Q5" s="9" t="s">
        <v>64</v>
      </c>
      <c r="R5" s="9" t="s">
        <v>65</v>
      </c>
      <c r="S5" s="9" t="s">
        <v>66</v>
      </c>
    </row>
    <row r="6" spans="1:19" ht="14.4" x14ac:dyDescent="0.3">
      <c r="A6" s="10"/>
      <c r="B6" s="11"/>
      <c r="C6" s="12"/>
      <c r="D6" s="13"/>
      <c r="E6" s="14"/>
      <c r="F6" s="15"/>
      <c r="G6" s="16"/>
      <c r="H6" s="16"/>
      <c r="I6" s="16"/>
      <c r="J6" s="16"/>
      <c r="K6" s="16"/>
      <c r="L6" s="16"/>
      <c r="M6" s="16"/>
      <c r="N6" s="16"/>
      <c r="O6" s="17"/>
      <c r="P6" s="18"/>
      <c r="Q6" s="18"/>
      <c r="R6" s="18"/>
      <c r="S6" s="18"/>
    </row>
    <row r="7" spans="1:19" ht="14.4" x14ac:dyDescent="0.3">
      <c r="A7" s="10"/>
      <c r="B7" s="11" t="s">
        <v>43</v>
      </c>
      <c r="C7" s="12"/>
      <c r="D7" s="13"/>
      <c r="E7" s="14"/>
      <c r="F7" s="15"/>
      <c r="G7" s="16"/>
      <c r="H7" s="16"/>
      <c r="I7" s="16"/>
      <c r="J7" s="16"/>
      <c r="K7" s="16"/>
      <c r="L7" s="16"/>
      <c r="M7" s="16"/>
      <c r="N7" s="16"/>
      <c r="O7" s="17"/>
      <c r="P7" s="18"/>
      <c r="Q7" s="18"/>
      <c r="R7" s="19"/>
      <c r="S7" s="19"/>
    </row>
    <row r="8" spans="1:19" ht="14.4" x14ac:dyDescent="0.3">
      <c r="A8" s="10" t="s">
        <v>119</v>
      </c>
      <c r="B8" s="11" t="s">
        <v>120</v>
      </c>
      <c r="C8" s="12">
        <v>18343</v>
      </c>
      <c r="D8" s="13"/>
      <c r="E8" s="14">
        <v>120</v>
      </c>
      <c r="F8" s="15"/>
      <c r="G8" s="16"/>
      <c r="H8" s="16"/>
      <c r="I8" s="16"/>
      <c r="J8" s="16"/>
      <c r="K8" s="16"/>
      <c r="L8" s="16">
        <f>E8</f>
        <v>120</v>
      </c>
      <c r="M8" s="16"/>
      <c r="N8" s="16"/>
      <c r="O8" s="17"/>
      <c r="P8" s="18"/>
      <c r="Q8" s="18"/>
      <c r="R8" s="19"/>
      <c r="S8" s="19"/>
    </row>
    <row r="9" spans="1:19" ht="14.4" x14ac:dyDescent="0.3">
      <c r="A9" s="10" t="s">
        <v>121</v>
      </c>
      <c r="B9" s="11" t="s">
        <v>92</v>
      </c>
      <c r="C9" s="12">
        <v>18344</v>
      </c>
      <c r="D9" s="13"/>
      <c r="E9" s="14">
        <v>600</v>
      </c>
      <c r="F9" s="15"/>
      <c r="G9" s="16"/>
      <c r="H9" s="16">
        <f>E9</f>
        <v>600</v>
      </c>
      <c r="I9" s="16"/>
      <c r="J9" s="16"/>
      <c r="K9" s="16"/>
      <c r="L9" s="16"/>
      <c r="M9" s="16"/>
      <c r="N9" s="16"/>
      <c r="O9" s="17"/>
      <c r="P9" s="18"/>
      <c r="Q9" s="18"/>
      <c r="R9" s="19"/>
      <c r="S9" s="19"/>
    </row>
    <row r="10" spans="1:19" ht="14.4" x14ac:dyDescent="0.3">
      <c r="A10" s="10" t="s">
        <v>121</v>
      </c>
      <c r="B10" s="11" t="s">
        <v>79</v>
      </c>
      <c r="C10" s="12">
        <v>18345</v>
      </c>
      <c r="D10" s="13"/>
      <c r="E10" s="14">
        <v>1380</v>
      </c>
      <c r="F10" s="15">
        <f>E10</f>
        <v>1380</v>
      </c>
      <c r="G10" s="16"/>
      <c r="H10" s="16"/>
      <c r="I10" s="16"/>
      <c r="J10" s="16"/>
      <c r="K10" s="16"/>
      <c r="L10" s="16"/>
      <c r="M10" s="16"/>
      <c r="N10" s="16"/>
      <c r="O10" s="17"/>
      <c r="P10" s="18"/>
      <c r="Q10" s="18"/>
      <c r="R10" s="19"/>
      <c r="S10" s="19"/>
    </row>
    <row r="11" spans="1:19" ht="14.4" x14ac:dyDescent="0.3">
      <c r="A11" s="10" t="s">
        <v>122</v>
      </c>
      <c r="B11" s="11" t="s">
        <v>123</v>
      </c>
      <c r="C11" s="12">
        <v>18346</v>
      </c>
      <c r="D11" s="13"/>
      <c r="E11" s="14">
        <v>8030</v>
      </c>
      <c r="F11" s="15"/>
      <c r="G11" s="16"/>
      <c r="H11" s="16"/>
      <c r="I11" s="16">
        <f>E11</f>
        <v>8030</v>
      </c>
      <c r="J11" s="16"/>
      <c r="K11" s="16"/>
      <c r="L11" s="16"/>
      <c r="M11" s="16"/>
      <c r="N11" s="16"/>
      <c r="O11" s="17"/>
      <c r="P11" s="18"/>
      <c r="Q11" s="18"/>
      <c r="R11" s="19"/>
      <c r="S11" s="19"/>
    </row>
    <row r="12" spans="1:19" ht="14.4" x14ac:dyDescent="0.3">
      <c r="A12" s="10" t="s">
        <v>124</v>
      </c>
      <c r="B12" s="11" t="s">
        <v>125</v>
      </c>
      <c r="C12" s="12">
        <v>18347</v>
      </c>
      <c r="D12" s="13"/>
      <c r="E12" s="14">
        <v>1000</v>
      </c>
      <c r="F12" s="15"/>
      <c r="G12" s="16"/>
      <c r="H12" s="16"/>
      <c r="I12" s="16"/>
      <c r="J12" s="16"/>
      <c r="K12" s="16">
        <f>E12</f>
        <v>1000</v>
      </c>
      <c r="L12" s="16"/>
      <c r="M12" s="16"/>
      <c r="N12" s="16"/>
      <c r="O12" s="17"/>
      <c r="P12" s="18"/>
      <c r="Q12" s="18"/>
      <c r="R12" s="19"/>
      <c r="S12" s="19"/>
    </row>
    <row r="13" spans="1:19" ht="14.4" x14ac:dyDescent="0.3">
      <c r="A13" s="10" t="s">
        <v>124</v>
      </c>
      <c r="B13" s="11" t="s">
        <v>126</v>
      </c>
      <c r="C13" s="12">
        <v>18348</v>
      </c>
      <c r="D13" s="13"/>
      <c r="E13" s="14">
        <v>1920</v>
      </c>
      <c r="F13" s="15"/>
      <c r="G13" s="16"/>
      <c r="H13" s="16"/>
      <c r="I13" s="16">
        <f>E13</f>
        <v>1920</v>
      </c>
      <c r="J13" s="16"/>
      <c r="K13" s="16"/>
      <c r="L13" s="16"/>
      <c r="M13" s="16"/>
      <c r="N13" s="16"/>
      <c r="O13" s="17"/>
      <c r="P13" s="18"/>
      <c r="Q13" s="18"/>
      <c r="R13" s="19"/>
      <c r="S13" s="19"/>
    </row>
    <row r="14" spans="1:19" ht="14.4" x14ac:dyDescent="0.3">
      <c r="A14" s="10" t="s">
        <v>127</v>
      </c>
      <c r="B14" s="11" t="s">
        <v>128</v>
      </c>
      <c r="C14" s="12">
        <v>11349</v>
      </c>
      <c r="D14" s="13"/>
      <c r="E14" s="14">
        <v>2000</v>
      </c>
      <c r="F14" s="15"/>
      <c r="G14" s="16"/>
      <c r="H14" s="16"/>
      <c r="I14" s="16"/>
      <c r="J14" s="16"/>
      <c r="K14" s="16"/>
      <c r="L14" s="16"/>
      <c r="M14" s="16"/>
      <c r="N14" s="16"/>
      <c r="O14" s="17"/>
      <c r="P14" s="18"/>
      <c r="Q14" s="18">
        <f>E14</f>
        <v>2000</v>
      </c>
      <c r="R14" s="19"/>
      <c r="S14" s="19"/>
    </row>
    <row r="15" spans="1:19" ht="14.4" x14ac:dyDescent="0.3">
      <c r="A15" s="10"/>
      <c r="B15" s="11"/>
      <c r="C15" s="12"/>
      <c r="D15" s="13"/>
      <c r="E15" s="14"/>
      <c r="F15" s="15"/>
      <c r="G15" s="16"/>
      <c r="H15" s="16"/>
      <c r="I15" s="16"/>
      <c r="J15" s="16"/>
      <c r="K15" s="16"/>
      <c r="L15" s="16"/>
      <c r="M15" s="16"/>
      <c r="N15" s="16"/>
      <c r="O15" s="17"/>
      <c r="P15" s="18"/>
      <c r="Q15" s="18"/>
      <c r="R15" s="19"/>
      <c r="S15" s="19"/>
    </row>
    <row r="16" spans="1:19" ht="15" thickBot="1" x14ac:dyDescent="0.35">
      <c r="A16" s="60"/>
      <c r="B16" s="60"/>
      <c r="C16" s="60"/>
      <c r="D16" s="61"/>
      <c r="E16" s="62">
        <f>SUM(E7:E15)</f>
        <v>15050</v>
      </c>
      <c r="F16" s="62">
        <f>SUM(F8:F15)</f>
        <v>1380</v>
      </c>
      <c r="G16" s="62"/>
      <c r="H16" s="62">
        <f>SUM(H8:H15)</f>
        <v>600</v>
      </c>
      <c r="I16" s="62">
        <f>SUM(I8:I15)</f>
        <v>9950</v>
      </c>
      <c r="J16" s="62">
        <f>SUM(J8:J15)</f>
        <v>0</v>
      </c>
      <c r="K16" s="62">
        <f>SUM(K8:K15)</f>
        <v>1000</v>
      </c>
      <c r="L16" s="62">
        <f>SUM(L8:L15)</f>
        <v>120</v>
      </c>
      <c r="M16" s="62"/>
      <c r="N16" s="62"/>
      <c r="O16" s="62"/>
      <c r="P16" s="62"/>
      <c r="Q16" s="62">
        <f>SUM(Q8:Q15)</f>
        <v>2000</v>
      </c>
      <c r="R16" s="62">
        <f>SUM(R8:R15)</f>
        <v>0</v>
      </c>
      <c r="S16" s="34"/>
    </row>
    <row r="17" spans="1:19" ht="15" thickTop="1" x14ac:dyDescent="0.3">
      <c r="A17" s="213"/>
      <c r="B17" s="213"/>
      <c r="C17" s="35"/>
      <c r="D17" s="3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9" ht="16.2" thickBot="1" x14ac:dyDescent="0.35">
      <c r="B18" s="37" t="s">
        <v>84</v>
      </c>
      <c r="D18" s="38"/>
      <c r="M18" s="201"/>
      <c r="N18" s="201"/>
      <c r="O18" s="201"/>
    </row>
    <row r="19" spans="1:19" ht="29.4" thickBot="1" x14ac:dyDescent="0.6">
      <c r="B19" s="40"/>
      <c r="C19" s="41"/>
      <c r="D19" s="196">
        <f>E16</f>
        <v>15050</v>
      </c>
      <c r="E19" s="197">
        <f>SUM(E7:E18)</f>
        <v>30100</v>
      </c>
      <c r="F19" s="42"/>
      <c r="G19" s="43"/>
      <c r="H19" s="43"/>
      <c r="I19" s="43"/>
      <c r="J19" s="43"/>
      <c r="K19" s="43"/>
      <c r="L19" s="43"/>
    </row>
    <row r="20" spans="1:19" x14ac:dyDescent="0.3">
      <c r="A20" s="44" t="s">
        <v>43</v>
      </c>
      <c r="B20" s="45"/>
      <c r="C20" s="45"/>
      <c r="D20" s="45"/>
      <c r="E20" s="46"/>
      <c r="F20" s="46"/>
      <c r="G20" s="46"/>
      <c r="H20" s="46"/>
      <c r="I20" s="46"/>
      <c r="J20" s="46"/>
      <c r="K20" s="46"/>
      <c r="L20" s="46"/>
      <c r="M20" s="47"/>
      <c r="N20" s="5"/>
      <c r="O20" s="5"/>
    </row>
    <row r="21" spans="1:19" x14ac:dyDescent="0.3">
      <c r="A21" s="44"/>
      <c r="B21" s="45"/>
      <c r="C21" s="45"/>
      <c r="D21" s="45"/>
      <c r="E21" s="46" t="s">
        <v>44</v>
      </c>
      <c r="F21" s="46"/>
      <c r="G21" s="46"/>
      <c r="H21" s="46"/>
      <c r="I21" s="46"/>
      <c r="J21" s="46"/>
      <c r="K21" s="46"/>
      <c r="L21" s="46"/>
      <c r="M21" s="47"/>
      <c r="N21" s="5"/>
      <c r="O21" s="5"/>
    </row>
    <row r="22" spans="1:19" x14ac:dyDescent="0.3">
      <c r="A22" s="44"/>
      <c r="B22" s="45"/>
      <c r="C22" s="45"/>
      <c r="D22" s="45"/>
      <c r="E22" s="46"/>
      <c r="F22" s="46"/>
      <c r="G22" s="46"/>
      <c r="H22" s="46"/>
      <c r="I22" s="46"/>
      <c r="J22" s="46"/>
      <c r="K22" s="46"/>
      <c r="L22" s="46"/>
      <c r="M22" s="47"/>
      <c r="N22" s="5"/>
      <c r="O22" s="5"/>
    </row>
    <row r="23" spans="1:19" ht="16.2" x14ac:dyDescent="0.35">
      <c r="A23" s="48"/>
      <c r="B23" s="49"/>
      <c r="D23" s="50"/>
      <c r="E23" s="50"/>
      <c r="F23" s="50"/>
      <c r="G23" s="50"/>
      <c r="I23" s="50"/>
      <c r="K23" s="51"/>
      <c r="L23" s="50"/>
      <c r="M23" s="52"/>
      <c r="N23" s="50"/>
      <c r="P23" s="51"/>
      <c r="Q23" s="50"/>
      <c r="R23" s="50"/>
      <c r="S23" s="50"/>
    </row>
    <row r="24" spans="1:19" ht="16.2" x14ac:dyDescent="0.35">
      <c r="A24" s="48"/>
      <c r="B24" s="49" t="s">
        <v>46</v>
      </c>
      <c r="D24" s="50" t="s">
        <v>47</v>
      </c>
      <c r="E24" s="50"/>
      <c r="F24" s="50"/>
      <c r="G24" s="50" t="s">
        <v>47</v>
      </c>
      <c r="H24" s="50" t="s">
        <v>47</v>
      </c>
      <c r="I24" s="50"/>
      <c r="K24" s="51"/>
      <c r="L24" s="50"/>
      <c r="M24" s="52" t="s">
        <v>48</v>
      </c>
      <c r="N24" s="50" t="s">
        <v>48</v>
      </c>
      <c r="P24" s="51"/>
      <c r="Q24" s="50" t="s">
        <v>48</v>
      </c>
      <c r="R24" s="50"/>
      <c r="S24" s="50"/>
    </row>
    <row r="25" spans="1:19" ht="16.2" x14ac:dyDescent="0.35">
      <c r="A25" s="48"/>
      <c r="B25" s="49" t="s">
        <v>49</v>
      </c>
      <c r="D25" s="50" t="s">
        <v>50</v>
      </c>
      <c r="E25" s="50"/>
      <c r="F25" s="50"/>
      <c r="G25" s="50" t="s">
        <v>51</v>
      </c>
      <c r="H25" s="50" t="s">
        <v>51</v>
      </c>
      <c r="I25" s="50"/>
      <c r="K25" s="51"/>
      <c r="L25" s="50"/>
      <c r="M25" s="52" t="s">
        <v>52</v>
      </c>
      <c r="N25" s="50" t="s">
        <v>52</v>
      </c>
      <c r="P25" s="51"/>
      <c r="Q25" s="50" t="s">
        <v>52</v>
      </c>
      <c r="R25" s="50"/>
      <c r="S25" s="50"/>
    </row>
    <row r="26" spans="1:19" ht="16.2" x14ac:dyDescent="0.35">
      <c r="A26" s="48"/>
      <c r="B26" s="49" t="s">
        <v>53</v>
      </c>
      <c r="D26" s="50" t="s">
        <v>54</v>
      </c>
      <c r="E26" s="50"/>
      <c r="F26" s="50"/>
      <c r="G26" s="50" t="s">
        <v>55</v>
      </c>
      <c r="H26" s="50" t="s">
        <v>55</v>
      </c>
      <c r="I26" s="50"/>
      <c r="K26" s="51"/>
      <c r="L26" s="50"/>
      <c r="M26" s="52" t="s">
        <v>56</v>
      </c>
      <c r="N26" s="50" t="s">
        <v>56</v>
      </c>
      <c r="P26" s="51"/>
      <c r="Q26" s="50" t="s">
        <v>56</v>
      </c>
      <c r="R26" s="50"/>
      <c r="S26" s="50"/>
    </row>
    <row r="27" spans="1:19" ht="16.2" x14ac:dyDescent="0.35">
      <c r="A27" s="48"/>
      <c r="B27" s="49" t="s">
        <v>57</v>
      </c>
      <c r="D27" s="50" t="s">
        <v>58</v>
      </c>
      <c r="E27" s="50"/>
      <c r="F27" s="50"/>
      <c r="G27" s="50" t="s">
        <v>59</v>
      </c>
      <c r="H27" s="50" t="s">
        <v>59</v>
      </c>
      <c r="I27" s="50"/>
      <c r="K27" s="51"/>
      <c r="L27" s="50"/>
      <c r="M27" s="52" t="s">
        <v>60</v>
      </c>
      <c r="N27" s="50" t="s">
        <v>60</v>
      </c>
      <c r="P27" s="51"/>
      <c r="Q27" s="50" t="s">
        <v>60</v>
      </c>
      <c r="R27" s="50"/>
      <c r="S27" s="50"/>
    </row>
    <row r="28" spans="1:19" ht="14.4" x14ac:dyDescent="0.3">
      <c r="A28" s="48"/>
      <c r="B28" s="48"/>
      <c r="C28" s="48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</row>
    <row r="29" spans="1:19" x14ac:dyDescent="0.3">
      <c r="B29" s="54"/>
      <c r="C29" s="54"/>
    </row>
    <row r="30" spans="1:19" x14ac:dyDescent="0.3">
      <c r="A30" s="54"/>
      <c r="B30" s="54"/>
      <c r="C30" s="54"/>
    </row>
    <row r="31" spans="1:19" x14ac:dyDescent="0.3">
      <c r="A31" s="54"/>
      <c r="B31" s="54"/>
      <c r="C31" s="54"/>
    </row>
    <row r="32" spans="1:19" x14ac:dyDescent="0.3">
      <c r="A32" s="54"/>
      <c r="B32" s="54"/>
      <c r="C32" s="54"/>
    </row>
    <row r="33" spans="1:19" x14ac:dyDescent="0.3">
      <c r="A33" s="54"/>
      <c r="B33" s="54"/>
      <c r="C33" s="54"/>
    </row>
    <row r="34" spans="1:19" x14ac:dyDescent="0.3">
      <c r="A34" s="54"/>
      <c r="B34" s="54"/>
      <c r="C34" s="54"/>
    </row>
    <row r="35" spans="1:19" x14ac:dyDescent="0.3">
      <c r="A35" s="54"/>
      <c r="B35" s="54"/>
      <c r="C35" s="54"/>
    </row>
    <row r="36" spans="1:19" x14ac:dyDescent="0.3">
      <c r="A36" s="54"/>
      <c r="B36" s="54"/>
      <c r="C36" s="54"/>
    </row>
    <row r="37" spans="1:19" x14ac:dyDescent="0.3">
      <c r="A37" s="54"/>
      <c r="B37" s="54"/>
      <c r="C37" s="54"/>
    </row>
    <row r="38" spans="1:19" x14ac:dyDescent="0.3">
      <c r="A38" s="54"/>
      <c r="B38" s="54"/>
      <c r="C38" s="54"/>
    </row>
    <row r="39" spans="1:19" x14ac:dyDescent="0.3">
      <c r="A39" s="54"/>
      <c r="B39" s="54"/>
      <c r="C39" s="54"/>
    </row>
    <row r="40" spans="1:19" x14ac:dyDescent="0.3">
      <c r="A40" s="54"/>
      <c r="B40" s="54"/>
      <c r="C40" s="54"/>
    </row>
    <row r="41" spans="1:19" x14ac:dyDescent="0.3">
      <c r="A41" s="54"/>
      <c r="B41" s="54"/>
      <c r="C41" s="54"/>
    </row>
    <row r="42" spans="1:19" x14ac:dyDescent="0.3">
      <c r="A42" s="54"/>
      <c r="B42" s="54"/>
      <c r="C42" s="54"/>
    </row>
    <row r="43" spans="1:19" s="38" customFormat="1" x14ac:dyDescent="0.3">
      <c r="A43" s="54"/>
      <c r="B43" s="54"/>
      <c r="C43" s="54"/>
      <c r="D43" s="37"/>
      <c r="P43" s="5"/>
      <c r="Q43" s="5"/>
      <c r="R43" s="5"/>
      <c r="S43" s="5"/>
    </row>
    <row r="44" spans="1:19" s="38" customFormat="1" x14ac:dyDescent="0.3">
      <c r="A44" s="54"/>
      <c r="B44" s="54"/>
      <c r="C44" s="54"/>
      <c r="D44" s="37"/>
      <c r="P44" s="5"/>
      <c r="Q44" s="5"/>
      <c r="R44" s="5"/>
      <c r="S44" s="5"/>
    </row>
    <row r="45" spans="1:19" s="38" customFormat="1" x14ac:dyDescent="0.3">
      <c r="A45" s="54"/>
      <c r="B45" s="54"/>
      <c r="C45" s="54"/>
      <c r="D45" s="37"/>
      <c r="F45" s="38" t="s">
        <v>44</v>
      </c>
      <c r="P45" s="5"/>
      <c r="Q45" s="5"/>
      <c r="R45" s="5"/>
      <c r="S45" s="5"/>
    </row>
    <row r="46" spans="1:19" s="38" customFormat="1" x14ac:dyDescent="0.3">
      <c r="A46" s="54"/>
      <c r="B46" s="54"/>
      <c r="C46" s="54"/>
      <c r="D46" s="37"/>
      <c r="P46" s="5"/>
      <c r="Q46" s="5"/>
      <c r="R46" s="5"/>
      <c r="S46" s="5"/>
    </row>
    <row r="47" spans="1:19" s="38" customFormat="1" x14ac:dyDescent="0.3">
      <c r="A47" s="54"/>
      <c r="B47" s="54"/>
      <c r="C47" s="54"/>
      <c r="D47" s="37"/>
      <c r="P47" s="5"/>
      <c r="Q47" s="5"/>
      <c r="R47" s="5"/>
      <c r="S47" s="5"/>
    </row>
    <row r="48" spans="1:19" s="38" customFormat="1" x14ac:dyDescent="0.3">
      <c r="A48" s="54"/>
      <c r="B48" s="54"/>
      <c r="C48" s="54"/>
      <c r="D48" s="37"/>
      <c r="P48" s="5"/>
      <c r="Q48" s="5"/>
      <c r="R48" s="5"/>
      <c r="S48" s="5"/>
    </row>
    <row r="49" spans="1:19" s="38" customFormat="1" x14ac:dyDescent="0.3">
      <c r="A49" s="54"/>
      <c r="B49" s="54"/>
      <c r="C49" s="54"/>
      <c r="D49" s="37"/>
      <c r="P49" s="5"/>
      <c r="Q49" s="5"/>
      <c r="R49" s="5"/>
      <c r="S49" s="5"/>
    </row>
    <row r="50" spans="1:19" s="38" customFormat="1" x14ac:dyDescent="0.3">
      <c r="A50" s="54"/>
      <c r="B50" s="54"/>
      <c r="C50" s="54"/>
      <c r="D50" s="37"/>
      <c r="P50" s="5"/>
      <c r="Q50" s="5"/>
      <c r="R50" s="5"/>
      <c r="S50" s="5"/>
    </row>
    <row r="51" spans="1:19" s="38" customFormat="1" x14ac:dyDescent="0.3">
      <c r="A51" s="54"/>
      <c r="B51" s="54"/>
      <c r="C51" s="54"/>
      <c r="D51" s="37"/>
      <c r="P51" s="5"/>
      <c r="Q51" s="5"/>
      <c r="R51" s="5"/>
      <c r="S51" s="5"/>
    </row>
    <row r="52" spans="1:19" s="38" customFormat="1" x14ac:dyDescent="0.3">
      <c r="A52" s="54"/>
      <c r="B52" s="54"/>
      <c r="C52" s="54"/>
      <c r="D52" s="37"/>
      <c r="P52" s="5"/>
      <c r="Q52" s="5"/>
      <c r="R52" s="5"/>
      <c r="S52" s="5"/>
    </row>
    <row r="53" spans="1:19" s="38" customFormat="1" x14ac:dyDescent="0.3">
      <c r="A53" s="54"/>
      <c r="B53" s="54"/>
      <c r="C53" s="54"/>
      <c r="D53" s="37"/>
      <c r="P53" s="5"/>
      <c r="Q53" s="5"/>
      <c r="R53" s="5"/>
      <c r="S53" s="5"/>
    </row>
    <row r="54" spans="1:19" s="38" customFormat="1" x14ac:dyDescent="0.3">
      <c r="A54" s="54"/>
      <c r="B54" s="54"/>
      <c r="C54" s="54"/>
      <c r="D54" s="37"/>
      <c r="P54" s="5"/>
      <c r="Q54" s="5"/>
      <c r="R54" s="5"/>
      <c r="S54" s="5"/>
    </row>
    <row r="55" spans="1:19" s="38" customFormat="1" x14ac:dyDescent="0.3">
      <c r="A55" s="54"/>
      <c r="B55" s="54"/>
      <c r="C55" s="54"/>
      <c r="D55" s="37"/>
      <c r="P55" s="5"/>
      <c r="Q55" s="5"/>
      <c r="R55" s="5"/>
      <c r="S55" s="5"/>
    </row>
    <row r="56" spans="1:19" s="38" customFormat="1" x14ac:dyDescent="0.3">
      <c r="A56" s="54"/>
      <c r="B56" s="54"/>
      <c r="C56" s="54"/>
      <c r="D56" s="37"/>
      <c r="P56" s="5"/>
      <c r="Q56" s="5"/>
      <c r="R56" s="5"/>
      <c r="S56" s="5"/>
    </row>
    <row r="57" spans="1:19" s="38" customFormat="1" x14ac:dyDescent="0.3">
      <c r="A57" s="54"/>
      <c r="B57" s="54"/>
      <c r="C57" s="54"/>
      <c r="D57" s="37"/>
      <c r="P57" s="5"/>
      <c r="Q57" s="5"/>
      <c r="R57" s="5"/>
      <c r="S57" s="5"/>
    </row>
  </sheetData>
  <mergeCells count="9">
    <mergeCell ref="A17:B17"/>
    <mergeCell ref="M18:O18"/>
    <mergeCell ref="D19:E19"/>
    <mergeCell ref="G3:O3"/>
    <mergeCell ref="A4:A5"/>
    <mergeCell ref="B4:B5"/>
    <mergeCell ref="C4:C5"/>
    <mergeCell ref="D4:D5"/>
    <mergeCell ref="E4:S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FDF5-1BC2-4EB1-8DFE-1E3E751B9172}">
  <dimension ref="A1:T64"/>
  <sheetViews>
    <sheetView workbookViewId="0">
      <selection activeCell="B11" sqref="B11"/>
    </sheetView>
  </sheetViews>
  <sheetFormatPr defaultRowHeight="15.6" x14ac:dyDescent="0.3"/>
  <cols>
    <col min="1" max="1" width="11.109375" style="37" customWidth="1"/>
    <col min="2" max="2" width="48.44140625" style="37" customWidth="1"/>
    <col min="3" max="3" width="13.44140625" style="37" customWidth="1"/>
    <col min="4" max="4" width="11.44140625" style="37" customWidth="1"/>
    <col min="5" max="5" width="13.109375" style="38" bestFit="1" customWidth="1"/>
    <col min="6" max="6" width="11.109375" style="38" customWidth="1"/>
    <col min="7" max="7" width="10.88671875" style="38" customWidth="1"/>
    <col min="8" max="8" width="13" style="38" hidden="1" customWidth="1"/>
    <col min="9" max="9" width="10.109375" style="38" customWidth="1"/>
    <col min="10" max="10" width="12" style="38" customWidth="1"/>
    <col min="11" max="11" width="10.88671875" style="38" hidden="1" customWidth="1"/>
    <col min="12" max="12" width="10.44140625" style="38" hidden="1" customWidth="1"/>
    <col min="13" max="13" width="11.5546875" style="38" customWidth="1"/>
    <col min="14" max="15" width="29" style="38" hidden="1" customWidth="1"/>
    <col min="16" max="16" width="8.44140625" style="38" hidden="1" customWidth="1"/>
    <col min="17" max="17" width="7.5546875" style="5" hidden="1" customWidth="1"/>
    <col min="18" max="18" width="11" style="5" customWidth="1"/>
    <col min="19" max="19" width="8.88671875" style="5" customWidth="1"/>
    <col min="20" max="20" width="9.6640625" style="5" hidden="1" customWidth="1"/>
  </cols>
  <sheetData>
    <row r="1" spans="1:20" ht="29.4" x14ac:dyDescent="0.45">
      <c r="A1" s="1" t="s">
        <v>0</v>
      </c>
      <c r="B1" s="2"/>
      <c r="C1" s="2"/>
      <c r="D1" s="3"/>
      <c r="E1" s="3"/>
      <c r="F1" s="3"/>
      <c r="G1" s="3"/>
      <c r="H1" s="3"/>
      <c r="I1" s="3"/>
      <c r="J1" s="3" t="s">
        <v>1</v>
      </c>
      <c r="K1" s="4"/>
      <c r="L1" s="4"/>
      <c r="M1" s="4"/>
      <c r="N1" s="4"/>
      <c r="O1" s="4"/>
      <c r="P1" s="4"/>
    </row>
    <row r="2" spans="1:20" ht="29.4" x14ac:dyDescent="0.45">
      <c r="A2" s="1" t="s">
        <v>2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0" ht="20.399999999999999" x14ac:dyDescent="0.3">
      <c r="A3" s="6"/>
      <c r="B3" s="6"/>
      <c r="C3" s="6"/>
      <c r="D3" s="7"/>
      <c r="E3" s="7"/>
      <c r="F3" s="7"/>
      <c r="G3" s="7"/>
      <c r="H3" s="198" t="s">
        <v>113</v>
      </c>
      <c r="I3" s="198" t="s">
        <v>62</v>
      </c>
      <c r="J3" s="198"/>
      <c r="K3" s="198"/>
      <c r="L3" s="198"/>
      <c r="M3" s="198"/>
      <c r="N3" s="198"/>
      <c r="O3" s="198"/>
      <c r="P3" s="198"/>
    </row>
    <row r="4" spans="1:20" ht="15" customHeight="1" x14ac:dyDescent="0.3">
      <c r="A4" s="204" t="s">
        <v>4</v>
      </c>
      <c r="B4" s="206" t="s">
        <v>5</v>
      </c>
      <c r="C4" s="208" t="s">
        <v>6</v>
      </c>
      <c r="D4" s="208" t="s">
        <v>7</v>
      </c>
      <c r="E4" s="210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ht="61.5" customHeight="1" x14ac:dyDescent="0.3">
      <c r="A5" s="205"/>
      <c r="B5" s="207"/>
      <c r="C5" s="209"/>
      <c r="D5" s="209"/>
      <c r="E5" s="9" t="s">
        <v>8</v>
      </c>
      <c r="F5" s="9" t="s">
        <v>99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86</v>
      </c>
      <c r="O5" s="9" t="s">
        <v>63</v>
      </c>
      <c r="P5" s="9" t="s">
        <v>19</v>
      </c>
      <c r="Q5" s="9" t="s">
        <v>12</v>
      </c>
      <c r="R5" s="9" t="s">
        <v>108</v>
      </c>
      <c r="S5" s="9" t="s">
        <v>63</v>
      </c>
      <c r="T5" s="9" t="s">
        <v>66</v>
      </c>
    </row>
    <row r="6" spans="1:20" x14ac:dyDescent="0.3">
      <c r="A6" s="21">
        <v>45366</v>
      </c>
      <c r="B6" s="67" t="s">
        <v>100</v>
      </c>
      <c r="C6" s="79">
        <v>18327</v>
      </c>
      <c r="D6" s="80"/>
      <c r="E6" s="81">
        <v>150</v>
      </c>
      <c r="F6" s="20"/>
      <c r="G6" s="15">
        <f>E6</f>
        <v>150</v>
      </c>
      <c r="H6" s="16"/>
      <c r="I6" s="16"/>
      <c r="J6" s="16"/>
      <c r="K6" s="16"/>
      <c r="L6" s="16"/>
      <c r="M6" s="16"/>
      <c r="N6" s="16"/>
      <c r="O6" s="16"/>
      <c r="P6" s="17"/>
      <c r="Q6" s="18"/>
      <c r="R6" s="18"/>
      <c r="S6" s="19"/>
      <c r="T6" s="19"/>
    </row>
    <row r="7" spans="1:20" x14ac:dyDescent="0.3">
      <c r="A7" s="21">
        <v>45366</v>
      </c>
      <c r="B7" s="82" t="s">
        <v>71</v>
      </c>
      <c r="C7" s="23">
        <v>18328</v>
      </c>
      <c r="D7" s="24"/>
      <c r="E7" s="74">
        <v>2500</v>
      </c>
      <c r="F7" s="20"/>
      <c r="G7" s="15"/>
      <c r="H7" s="16"/>
      <c r="I7" s="16"/>
      <c r="J7" s="16"/>
      <c r="K7" s="16"/>
      <c r="L7" s="16"/>
      <c r="M7" s="16"/>
      <c r="N7" s="16"/>
      <c r="O7" s="16"/>
      <c r="P7" s="17"/>
      <c r="Q7" s="18"/>
      <c r="R7" s="18">
        <f>E7</f>
        <v>2500</v>
      </c>
      <c r="S7" s="19"/>
      <c r="T7" s="19"/>
    </row>
    <row r="8" spans="1:20" x14ac:dyDescent="0.3">
      <c r="A8" s="21">
        <v>45367</v>
      </c>
      <c r="B8" s="67" t="s">
        <v>77</v>
      </c>
      <c r="C8" s="23">
        <v>18329</v>
      </c>
      <c r="D8" s="24"/>
      <c r="E8" s="74">
        <v>1440</v>
      </c>
      <c r="F8" s="20"/>
      <c r="G8" s="15"/>
      <c r="H8" s="16"/>
      <c r="I8" s="16"/>
      <c r="J8" s="16">
        <f>E8</f>
        <v>1440</v>
      </c>
      <c r="K8" s="16"/>
      <c r="L8" s="16"/>
      <c r="M8" s="16"/>
      <c r="N8" s="16"/>
      <c r="O8" s="16"/>
      <c r="P8" s="17"/>
      <c r="Q8" s="18"/>
      <c r="R8" s="18"/>
      <c r="S8" s="19"/>
      <c r="T8" s="19"/>
    </row>
    <row r="9" spans="1:20" x14ac:dyDescent="0.3">
      <c r="A9" s="21">
        <v>45370</v>
      </c>
      <c r="B9" s="67" t="s">
        <v>100</v>
      </c>
      <c r="C9" s="23">
        <v>18330</v>
      </c>
      <c r="D9" s="24"/>
      <c r="E9" s="74">
        <v>1890</v>
      </c>
      <c r="F9" s="20"/>
      <c r="G9" s="15">
        <f>E9</f>
        <v>1890</v>
      </c>
      <c r="H9" s="16"/>
      <c r="I9" s="16"/>
      <c r="J9" s="16"/>
      <c r="K9" s="16"/>
      <c r="L9" s="16"/>
      <c r="M9" s="16"/>
      <c r="N9" s="16"/>
      <c r="O9" s="16"/>
      <c r="P9" s="17"/>
      <c r="Q9" s="18"/>
      <c r="R9" s="18"/>
      <c r="S9" s="19"/>
      <c r="T9" s="19"/>
    </row>
    <row r="10" spans="1:20" x14ac:dyDescent="0.3">
      <c r="A10" s="21">
        <v>45370</v>
      </c>
      <c r="B10" s="67" t="s">
        <v>77</v>
      </c>
      <c r="C10" s="23">
        <v>18331</v>
      </c>
      <c r="D10" s="24"/>
      <c r="E10" s="74">
        <v>1680</v>
      </c>
      <c r="F10" s="20"/>
      <c r="G10" s="15"/>
      <c r="H10" s="16"/>
      <c r="I10" s="16"/>
      <c r="J10" s="16">
        <f>E10</f>
        <v>1680</v>
      </c>
      <c r="K10" s="16"/>
      <c r="L10" s="16"/>
      <c r="M10" s="16"/>
      <c r="N10" s="16"/>
      <c r="O10" s="16"/>
      <c r="P10" s="17"/>
      <c r="Q10" s="18"/>
      <c r="R10" s="18"/>
      <c r="S10" s="19"/>
      <c r="T10" s="19"/>
    </row>
    <row r="11" spans="1:20" x14ac:dyDescent="0.3">
      <c r="A11" s="21">
        <v>45373</v>
      </c>
      <c r="B11" s="67" t="s">
        <v>114</v>
      </c>
      <c r="C11" s="23">
        <v>18332</v>
      </c>
      <c r="D11" s="24"/>
      <c r="E11" s="74">
        <v>400</v>
      </c>
      <c r="F11" s="20">
        <f>E11</f>
        <v>400</v>
      </c>
      <c r="G11" s="15"/>
      <c r="H11" s="16"/>
      <c r="I11" s="16"/>
      <c r="J11" s="16"/>
      <c r="K11" s="16"/>
      <c r="L11" s="16"/>
      <c r="M11" s="16"/>
      <c r="N11" s="16"/>
      <c r="O11" s="16"/>
      <c r="P11" s="17"/>
      <c r="Q11" s="18"/>
      <c r="R11" s="18"/>
      <c r="S11" s="19"/>
      <c r="T11" s="19"/>
    </row>
    <row r="12" spans="1:20" x14ac:dyDescent="0.3">
      <c r="A12" s="21">
        <v>45373</v>
      </c>
      <c r="B12" s="82" t="s">
        <v>71</v>
      </c>
      <c r="C12" s="75">
        <v>18333</v>
      </c>
      <c r="D12" s="13"/>
      <c r="E12" s="83">
        <v>2500</v>
      </c>
      <c r="F12" s="20"/>
      <c r="G12" s="15"/>
      <c r="H12" s="16"/>
      <c r="I12" s="16"/>
      <c r="J12" s="16"/>
      <c r="K12" s="16"/>
      <c r="L12" s="16"/>
      <c r="M12" s="16"/>
      <c r="N12" s="16"/>
      <c r="O12" s="16"/>
      <c r="P12" s="17"/>
      <c r="Q12" s="18"/>
      <c r="R12" s="18">
        <f>E12</f>
        <v>2500</v>
      </c>
      <c r="S12" s="19"/>
      <c r="T12" s="19"/>
    </row>
    <row r="13" spans="1:20" x14ac:dyDescent="0.3">
      <c r="A13" s="21">
        <v>45373</v>
      </c>
      <c r="B13" s="67" t="s">
        <v>115</v>
      </c>
      <c r="C13" s="84">
        <v>18334</v>
      </c>
      <c r="D13" s="85"/>
      <c r="E13" s="86">
        <v>480</v>
      </c>
      <c r="F13" s="20"/>
      <c r="G13" s="15"/>
      <c r="H13" s="16"/>
      <c r="I13" s="16"/>
      <c r="J13" s="16"/>
      <c r="K13" s="16"/>
      <c r="L13" s="16"/>
      <c r="M13" s="16"/>
      <c r="N13" s="16"/>
      <c r="O13" s="16"/>
      <c r="P13" s="17"/>
      <c r="Q13" s="18"/>
      <c r="R13" s="18"/>
      <c r="S13" s="19">
        <f>E13</f>
        <v>480</v>
      </c>
      <c r="T13" s="19"/>
    </row>
    <row r="14" spans="1:20" x14ac:dyDescent="0.3">
      <c r="A14" s="21">
        <v>45373</v>
      </c>
      <c r="B14" s="67" t="s">
        <v>116</v>
      </c>
      <c r="C14" s="84">
        <v>18335</v>
      </c>
      <c r="D14" s="85"/>
      <c r="E14" s="86">
        <v>400</v>
      </c>
      <c r="F14" s="20">
        <f>E14</f>
        <v>400</v>
      </c>
      <c r="G14" s="15"/>
      <c r="H14" s="16"/>
      <c r="I14" s="16"/>
      <c r="J14" s="16"/>
      <c r="K14" s="16"/>
      <c r="L14" s="16"/>
      <c r="M14" s="16"/>
      <c r="N14" s="16"/>
      <c r="O14" s="16"/>
      <c r="P14" s="17"/>
      <c r="Q14" s="18"/>
      <c r="R14" s="18"/>
      <c r="S14" s="19"/>
      <c r="T14" s="19"/>
    </row>
    <row r="15" spans="1:20" x14ac:dyDescent="0.3">
      <c r="A15" s="21">
        <v>45373</v>
      </c>
      <c r="B15" s="82" t="s">
        <v>112</v>
      </c>
      <c r="C15" s="84">
        <v>18336</v>
      </c>
      <c r="D15" s="85"/>
      <c r="E15" s="86">
        <v>400</v>
      </c>
      <c r="F15" s="20"/>
      <c r="G15" s="15"/>
      <c r="H15" s="16"/>
      <c r="I15" s="16">
        <f>E15</f>
        <v>400</v>
      </c>
      <c r="J15" s="16"/>
      <c r="K15" s="16"/>
      <c r="L15" s="16"/>
      <c r="M15" s="16"/>
      <c r="N15" s="16"/>
      <c r="O15" s="16"/>
      <c r="P15" s="17"/>
      <c r="Q15" s="18"/>
      <c r="R15" s="18"/>
      <c r="S15" s="19"/>
      <c r="T15" s="19"/>
    </row>
    <row r="16" spans="1:20" ht="31.2" x14ac:dyDescent="0.3">
      <c r="A16" s="21">
        <v>45372</v>
      </c>
      <c r="B16" s="82" t="s">
        <v>117</v>
      </c>
      <c r="C16" s="84">
        <v>18337</v>
      </c>
      <c r="D16" s="85"/>
      <c r="E16" s="86">
        <v>350</v>
      </c>
      <c r="F16" s="20">
        <f>E16</f>
        <v>350</v>
      </c>
      <c r="G16" s="15"/>
      <c r="H16" s="16"/>
      <c r="I16" s="16"/>
      <c r="J16" s="16"/>
      <c r="K16" s="16"/>
      <c r="L16" s="16"/>
      <c r="M16" s="16"/>
      <c r="N16" s="16"/>
      <c r="O16" s="16"/>
      <c r="P16" s="17"/>
      <c r="Q16" s="18"/>
      <c r="R16" s="18"/>
      <c r="S16" s="19"/>
      <c r="T16" s="19"/>
    </row>
    <row r="17" spans="1:20" ht="31.2" x14ac:dyDescent="0.3">
      <c r="A17" s="21">
        <v>45373</v>
      </c>
      <c r="B17" s="82" t="s">
        <v>117</v>
      </c>
      <c r="C17" s="84">
        <v>18338</v>
      </c>
      <c r="D17" s="85"/>
      <c r="E17" s="86">
        <v>350</v>
      </c>
      <c r="F17" s="20">
        <f>E17</f>
        <v>350</v>
      </c>
      <c r="G17" s="15"/>
      <c r="H17" s="16"/>
      <c r="I17" s="16"/>
      <c r="J17" s="16"/>
      <c r="K17" s="16"/>
      <c r="L17" s="16"/>
      <c r="M17" s="16"/>
      <c r="N17" s="16"/>
      <c r="O17" s="16"/>
      <c r="P17" s="17"/>
      <c r="Q17" s="18"/>
      <c r="R17" s="18"/>
      <c r="S17" s="19"/>
      <c r="T17" s="19"/>
    </row>
    <row r="18" spans="1:20" x14ac:dyDescent="0.3">
      <c r="A18" s="21">
        <v>45373</v>
      </c>
      <c r="B18" s="67" t="s">
        <v>116</v>
      </c>
      <c r="C18" s="84">
        <v>18339</v>
      </c>
      <c r="D18" s="85"/>
      <c r="E18" s="86">
        <v>400</v>
      </c>
      <c r="F18" s="70">
        <f>E18</f>
        <v>400</v>
      </c>
      <c r="G18" s="71"/>
      <c r="H18" s="17"/>
      <c r="I18" s="17"/>
      <c r="J18" s="17"/>
      <c r="K18" s="17"/>
      <c r="L18" s="17"/>
      <c r="M18" s="17"/>
      <c r="N18" s="17"/>
      <c r="O18" s="17"/>
      <c r="P18" s="17"/>
      <c r="Q18" s="72"/>
      <c r="R18" s="72"/>
      <c r="S18" s="73"/>
      <c r="T18" s="73"/>
    </row>
    <row r="19" spans="1:20" x14ac:dyDescent="0.3">
      <c r="A19" s="21">
        <v>45374</v>
      </c>
      <c r="B19" s="67" t="s">
        <v>77</v>
      </c>
      <c r="C19" s="84">
        <v>18340</v>
      </c>
      <c r="D19" s="85"/>
      <c r="E19" s="86">
        <v>2160</v>
      </c>
      <c r="F19" s="70"/>
      <c r="G19" s="71"/>
      <c r="H19" s="17"/>
      <c r="I19" s="17"/>
      <c r="J19" s="17">
        <f>E19</f>
        <v>2160</v>
      </c>
      <c r="K19" s="17"/>
      <c r="L19" s="17"/>
      <c r="M19" s="17"/>
      <c r="N19" s="17"/>
      <c r="O19" s="17"/>
      <c r="P19" s="17"/>
      <c r="Q19" s="72"/>
      <c r="R19" s="72"/>
      <c r="S19" s="73"/>
      <c r="T19" s="73"/>
    </row>
    <row r="20" spans="1:20" x14ac:dyDescent="0.3">
      <c r="A20" s="21">
        <v>45374</v>
      </c>
      <c r="B20" s="82" t="s">
        <v>118</v>
      </c>
      <c r="C20" s="84">
        <v>18341</v>
      </c>
      <c r="D20" s="85"/>
      <c r="E20" s="86">
        <v>400</v>
      </c>
      <c r="F20" s="70"/>
      <c r="G20" s="71"/>
      <c r="H20" s="17"/>
      <c r="I20" s="17">
        <f>E20</f>
        <v>400</v>
      </c>
      <c r="J20" s="17"/>
      <c r="K20" s="17"/>
      <c r="L20" s="17"/>
      <c r="M20" s="17"/>
      <c r="N20" s="17"/>
      <c r="O20" s="17"/>
      <c r="P20" s="17"/>
      <c r="Q20" s="72"/>
      <c r="R20" s="72"/>
      <c r="S20" s="73"/>
      <c r="T20" s="73"/>
    </row>
    <row r="21" spans="1:20" x14ac:dyDescent="0.3">
      <c r="A21" s="21">
        <v>45374</v>
      </c>
      <c r="B21" s="67" t="s">
        <v>101</v>
      </c>
      <c r="C21" s="84">
        <v>18342</v>
      </c>
      <c r="D21" s="85"/>
      <c r="E21" s="86">
        <v>135</v>
      </c>
      <c r="F21" s="70"/>
      <c r="G21" s="71"/>
      <c r="H21" s="17"/>
      <c r="I21" s="17"/>
      <c r="J21" s="17"/>
      <c r="K21" s="17"/>
      <c r="L21" s="17"/>
      <c r="M21" s="17">
        <f>E21</f>
        <v>135</v>
      </c>
      <c r="N21" s="17"/>
      <c r="O21" s="17"/>
      <c r="P21" s="17"/>
      <c r="Q21" s="72"/>
      <c r="R21" s="72"/>
      <c r="S21" s="73"/>
      <c r="T21" s="73"/>
    </row>
    <row r="22" spans="1:20" ht="14.4" x14ac:dyDescent="0.3">
      <c r="A22" s="10"/>
      <c r="B22" s="11"/>
      <c r="C22" s="12"/>
      <c r="D22" s="13"/>
      <c r="E22" s="20"/>
      <c r="F22" s="20"/>
      <c r="G22" s="15"/>
      <c r="H22" s="16"/>
      <c r="I22" s="16"/>
      <c r="J22" s="16"/>
      <c r="K22" s="16"/>
      <c r="L22" s="16"/>
      <c r="M22" s="16"/>
      <c r="N22" s="16"/>
      <c r="O22" s="16"/>
      <c r="P22" s="17"/>
      <c r="Q22" s="18"/>
      <c r="R22" s="18"/>
      <c r="S22" s="19"/>
      <c r="T22" s="19"/>
    </row>
    <row r="23" spans="1:20" ht="15" thickBot="1" x14ac:dyDescent="0.35">
      <c r="A23" s="32"/>
      <c r="B23" s="32"/>
      <c r="C23" s="32"/>
      <c r="D23" s="87">
        <v>60000</v>
      </c>
      <c r="E23" s="65">
        <f>SUM(E6:E22)</f>
        <v>15635</v>
      </c>
      <c r="F23" s="65">
        <f t="shared" ref="F23:T23" si="0">SUM(F6:F22)</f>
        <v>1900</v>
      </c>
      <c r="G23" s="65">
        <f t="shared" si="0"/>
        <v>2040</v>
      </c>
      <c r="H23" s="65">
        <f t="shared" si="0"/>
        <v>0</v>
      </c>
      <c r="I23" s="65">
        <f t="shared" si="0"/>
        <v>800</v>
      </c>
      <c r="J23" s="65">
        <f t="shared" si="0"/>
        <v>5280</v>
      </c>
      <c r="K23" s="65">
        <f t="shared" si="0"/>
        <v>0</v>
      </c>
      <c r="L23" s="65">
        <f t="shared" si="0"/>
        <v>0</v>
      </c>
      <c r="M23" s="65">
        <f t="shared" si="0"/>
        <v>135</v>
      </c>
      <c r="N23" s="65">
        <f t="shared" si="0"/>
        <v>0</v>
      </c>
      <c r="O23" s="65">
        <f t="shared" si="0"/>
        <v>0</v>
      </c>
      <c r="P23" s="65">
        <f t="shared" si="0"/>
        <v>0</v>
      </c>
      <c r="Q23" s="65">
        <f t="shared" si="0"/>
        <v>0</v>
      </c>
      <c r="R23" s="65">
        <f t="shared" si="0"/>
        <v>5000</v>
      </c>
      <c r="S23" s="65">
        <f t="shared" si="0"/>
        <v>480</v>
      </c>
      <c r="T23" s="65">
        <f t="shared" si="0"/>
        <v>0</v>
      </c>
    </row>
    <row r="24" spans="1:20" ht="16.2" thickTop="1" x14ac:dyDescent="0.3">
      <c r="A24" s="44" t="s">
        <v>43</v>
      </c>
      <c r="B24" s="35"/>
      <c r="C24" s="35"/>
      <c r="D24" s="36">
        <f>D23-E23</f>
        <v>44365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20" ht="16.2" thickBot="1" x14ac:dyDescent="0.35">
      <c r="D25" s="38"/>
      <c r="N25" s="201"/>
      <c r="O25" s="201"/>
      <c r="P25" s="201"/>
    </row>
    <row r="26" spans="1:20" ht="29.4" thickBot="1" x14ac:dyDescent="0.6">
      <c r="B26" s="40" t="s">
        <v>45</v>
      </c>
      <c r="C26" s="41"/>
      <c r="D26" s="196">
        <f>E23</f>
        <v>15635</v>
      </c>
      <c r="E26" s="197">
        <f>SUM(E22:E25)</f>
        <v>15635</v>
      </c>
      <c r="F26" s="42"/>
      <c r="G26" s="42"/>
      <c r="H26" s="43"/>
      <c r="I26" s="43"/>
      <c r="J26" s="43"/>
      <c r="K26" s="43"/>
      <c r="L26" s="43"/>
      <c r="M26" s="43"/>
    </row>
    <row r="27" spans="1:20" x14ac:dyDescent="0.3">
      <c r="B27" s="45"/>
      <c r="C27" s="45"/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7"/>
      <c r="O27" s="5"/>
      <c r="P27" s="5"/>
    </row>
    <row r="28" spans="1:20" x14ac:dyDescent="0.3">
      <c r="A28" s="44"/>
      <c r="B28" s="45"/>
      <c r="C28" s="45"/>
      <c r="D28" s="45"/>
      <c r="E28" s="46" t="s">
        <v>44</v>
      </c>
      <c r="F28" s="46"/>
      <c r="G28" s="46"/>
      <c r="H28" s="46"/>
      <c r="I28" s="46"/>
      <c r="J28" s="46"/>
      <c r="K28" s="46"/>
      <c r="L28" s="46"/>
      <c r="M28" s="46"/>
      <c r="N28" s="47"/>
      <c r="O28" s="5"/>
      <c r="P28" s="5"/>
    </row>
    <row r="29" spans="1:20" x14ac:dyDescent="0.3">
      <c r="A29" s="44"/>
      <c r="B29" s="45"/>
      <c r="C29" s="45"/>
      <c r="D29" s="45"/>
      <c r="E29" s="46"/>
      <c r="F29" s="46"/>
      <c r="G29" s="46"/>
      <c r="H29" s="46"/>
      <c r="I29" s="46"/>
      <c r="J29" s="46"/>
      <c r="K29" s="46"/>
      <c r="L29" s="46"/>
      <c r="M29" s="46"/>
      <c r="N29" s="47"/>
      <c r="O29" s="5"/>
      <c r="P29" s="5"/>
    </row>
    <row r="30" spans="1:20" ht="16.2" x14ac:dyDescent="0.35">
      <c r="A30" s="48"/>
      <c r="B30" s="49"/>
      <c r="D30" s="50"/>
      <c r="E30" s="50"/>
      <c r="F30" s="50"/>
      <c r="G30" s="50"/>
      <c r="H30" s="50"/>
      <c r="J30" s="50"/>
      <c r="L30" s="51"/>
      <c r="M30" s="50"/>
      <c r="N30" s="52"/>
      <c r="O30" s="50"/>
      <c r="Q30" s="51"/>
      <c r="R30" s="50"/>
      <c r="S30" s="50"/>
      <c r="T30" s="50"/>
    </row>
    <row r="31" spans="1:20" ht="16.2" x14ac:dyDescent="0.35">
      <c r="A31" s="48"/>
      <c r="B31" s="66" t="s">
        <v>46</v>
      </c>
      <c r="D31" s="50" t="s">
        <v>47</v>
      </c>
      <c r="E31" s="50"/>
      <c r="F31" s="50"/>
      <c r="I31" s="50" t="s">
        <v>47</v>
      </c>
      <c r="J31" s="50"/>
      <c r="L31" s="51"/>
      <c r="M31" s="50"/>
      <c r="N31" s="52" t="s">
        <v>48</v>
      </c>
      <c r="O31" s="50" t="s">
        <v>48</v>
      </c>
      <c r="Q31" s="51"/>
      <c r="R31" s="52" t="s">
        <v>48</v>
      </c>
      <c r="S31" s="50"/>
      <c r="T31" s="50"/>
    </row>
    <row r="32" spans="1:20" ht="16.2" x14ac:dyDescent="0.35">
      <c r="A32" s="48"/>
      <c r="B32" s="66" t="s">
        <v>49</v>
      </c>
      <c r="D32" s="50" t="s">
        <v>50</v>
      </c>
      <c r="E32" s="50"/>
      <c r="F32" s="50"/>
      <c r="I32" s="50" t="s">
        <v>51</v>
      </c>
      <c r="J32" s="50"/>
      <c r="L32" s="51"/>
      <c r="M32" s="50"/>
      <c r="N32" s="52" t="s">
        <v>52</v>
      </c>
      <c r="O32" s="50" t="s">
        <v>52</v>
      </c>
      <c r="Q32" s="51"/>
      <c r="R32" s="52" t="s">
        <v>52</v>
      </c>
      <c r="S32" s="50"/>
      <c r="T32" s="50"/>
    </row>
    <row r="33" spans="1:20" ht="16.2" x14ac:dyDescent="0.35">
      <c r="A33" s="48"/>
      <c r="B33" s="66" t="s">
        <v>105</v>
      </c>
      <c r="D33" s="50" t="s">
        <v>54</v>
      </c>
      <c r="E33" s="50"/>
      <c r="F33" s="50"/>
      <c r="I33" s="50" t="s">
        <v>55</v>
      </c>
      <c r="J33" s="50"/>
      <c r="L33" s="51"/>
      <c r="M33" s="50"/>
      <c r="N33" s="52" t="s">
        <v>56</v>
      </c>
      <c r="O33" s="50" t="s">
        <v>56</v>
      </c>
      <c r="Q33" s="51"/>
      <c r="R33" s="52" t="s">
        <v>56</v>
      </c>
      <c r="S33" s="50"/>
      <c r="T33" s="50"/>
    </row>
    <row r="34" spans="1:20" ht="16.2" x14ac:dyDescent="0.35">
      <c r="A34" s="48"/>
      <c r="B34" s="52" t="s">
        <v>106</v>
      </c>
      <c r="D34" s="50" t="s">
        <v>58</v>
      </c>
      <c r="E34" s="50"/>
      <c r="F34" s="50"/>
      <c r="I34" s="50" t="s">
        <v>59</v>
      </c>
      <c r="J34" s="50"/>
      <c r="L34" s="51"/>
      <c r="M34" s="50"/>
      <c r="N34" s="52" t="s">
        <v>60</v>
      </c>
      <c r="O34" s="50" t="s">
        <v>60</v>
      </c>
      <c r="Q34" s="51"/>
      <c r="R34" s="52" t="s">
        <v>60</v>
      </c>
      <c r="S34" s="50"/>
      <c r="T34" s="50"/>
    </row>
    <row r="35" spans="1:20" ht="14.4" x14ac:dyDescent="0.3">
      <c r="A35" s="48"/>
      <c r="B35" s="48"/>
      <c r="C35" s="48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</row>
    <row r="36" spans="1:20" x14ac:dyDescent="0.3">
      <c r="B36" s="54"/>
      <c r="C36" s="54"/>
    </row>
    <row r="37" spans="1:20" x14ac:dyDescent="0.3">
      <c r="A37" s="54"/>
      <c r="B37" s="54"/>
      <c r="C37" s="54"/>
    </row>
    <row r="38" spans="1:20" x14ac:dyDescent="0.3">
      <c r="A38" s="54"/>
      <c r="B38" s="54"/>
      <c r="C38" s="54"/>
    </row>
    <row r="39" spans="1:20" x14ac:dyDescent="0.3">
      <c r="A39" s="54"/>
      <c r="B39" s="54"/>
      <c r="C39" s="54"/>
    </row>
    <row r="40" spans="1:20" x14ac:dyDescent="0.3">
      <c r="A40" s="54"/>
      <c r="B40" s="54"/>
      <c r="C40" s="54"/>
    </row>
    <row r="41" spans="1:20" x14ac:dyDescent="0.3">
      <c r="A41" s="54"/>
      <c r="B41" s="54"/>
      <c r="C41" s="54"/>
    </row>
    <row r="42" spans="1:20" x14ac:dyDescent="0.3">
      <c r="A42" s="54"/>
      <c r="B42" s="54"/>
      <c r="C42" s="54"/>
    </row>
    <row r="43" spans="1:20" x14ac:dyDescent="0.3">
      <c r="A43" s="54"/>
      <c r="B43" s="54"/>
      <c r="C43" s="54"/>
    </row>
    <row r="44" spans="1:20" x14ac:dyDescent="0.3">
      <c r="A44" s="54"/>
      <c r="B44" s="54"/>
      <c r="C44" s="54"/>
    </row>
    <row r="45" spans="1:20" x14ac:dyDescent="0.3">
      <c r="A45" s="54"/>
      <c r="B45" s="54"/>
      <c r="C45" s="54"/>
    </row>
    <row r="46" spans="1:20" x14ac:dyDescent="0.3">
      <c r="A46" s="54"/>
      <c r="B46" s="54"/>
      <c r="C46" s="54"/>
    </row>
    <row r="47" spans="1:20" x14ac:dyDescent="0.3">
      <c r="A47" s="54"/>
      <c r="B47" s="54"/>
      <c r="C47" s="54"/>
    </row>
    <row r="48" spans="1:20" x14ac:dyDescent="0.3">
      <c r="A48" s="54"/>
      <c r="B48" s="54"/>
      <c r="C48" s="54"/>
    </row>
    <row r="49" spans="1:20" x14ac:dyDescent="0.3">
      <c r="A49" s="54"/>
      <c r="B49" s="54"/>
      <c r="C49" s="54"/>
    </row>
    <row r="50" spans="1:20" s="38" customFormat="1" x14ac:dyDescent="0.3">
      <c r="A50" s="54"/>
      <c r="B50" s="54"/>
      <c r="C50" s="54"/>
      <c r="D50" s="37"/>
      <c r="Q50" s="5"/>
      <c r="R50" s="5"/>
      <c r="S50" s="5"/>
      <c r="T50" s="5"/>
    </row>
    <row r="51" spans="1:20" s="38" customFormat="1" x14ac:dyDescent="0.3">
      <c r="A51" s="54"/>
      <c r="B51" s="54"/>
      <c r="C51" s="54"/>
      <c r="D51" s="37"/>
      <c r="Q51" s="5"/>
      <c r="R51" s="5"/>
      <c r="S51" s="5"/>
      <c r="T51" s="5"/>
    </row>
    <row r="52" spans="1:20" s="38" customFormat="1" x14ac:dyDescent="0.3">
      <c r="A52" s="54"/>
      <c r="B52" s="54"/>
      <c r="C52" s="54"/>
      <c r="D52" s="37"/>
      <c r="G52" s="38" t="s">
        <v>44</v>
      </c>
      <c r="Q52" s="5"/>
      <c r="R52" s="5"/>
      <c r="S52" s="5"/>
      <c r="T52" s="5"/>
    </row>
    <row r="53" spans="1:20" s="38" customFormat="1" x14ac:dyDescent="0.3">
      <c r="A53" s="54"/>
      <c r="B53" s="54"/>
      <c r="C53" s="54"/>
      <c r="D53" s="37"/>
      <c r="Q53" s="5"/>
      <c r="R53" s="5"/>
      <c r="S53" s="5"/>
      <c r="T53" s="5"/>
    </row>
    <row r="54" spans="1:20" s="38" customFormat="1" x14ac:dyDescent="0.3">
      <c r="A54" s="54"/>
      <c r="B54" s="54"/>
      <c r="C54" s="54"/>
      <c r="D54" s="37"/>
      <c r="Q54" s="5"/>
      <c r="R54" s="5"/>
      <c r="S54" s="5"/>
      <c r="T54" s="5"/>
    </row>
    <row r="55" spans="1:20" s="38" customFormat="1" x14ac:dyDescent="0.3">
      <c r="A55" s="54"/>
      <c r="B55" s="54"/>
      <c r="C55" s="54"/>
      <c r="D55" s="37"/>
      <c r="Q55" s="5"/>
      <c r="R55" s="5"/>
      <c r="S55" s="5"/>
      <c r="T55" s="5"/>
    </row>
    <row r="56" spans="1:20" s="38" customFormat="1" x14ac:dyDescent="0.3">
      <c r="A56" s="54"/>
      <c r="B56" s="54"/>
      <c r="C56" s="54"/>
      <c r="D56" s="37"/>
      <c r="Q56" s="5"/>
      <c r="R56" s="5"/>
      <c r="S56" s="5"/>
      <c r="T56" s="5"/>
    </row>
    <row r="57" spans="1:20" s="38" customFormat="1" x14ac:dyDescent="0.3">
      <c r="A57" s="54"/>
      <c r="B57" s="54"/>
      <c r="C57" s="54"/>
      <c r="D57" s="37"/>
      <c r="Q57" s="5"/>
      <c r="R57" s="5"/>
      <c r="S57" s="5"/>
      <c r="T57" s="5"/>
    </row>
    <row r="58" spans="1:20" s="38" customFormat="1" x14ac:dyDescent="0.3">
      <c r="A58" s="54"/>
      <c r="B58" s="54"/>
      <c r="C58" s="54"/>
      <c r="D58" s="37"/>
      <c r="Q58" s="5"/>
      <c r="R58" s="5"/>
      <c r="S58" s="5"/>
      <c r="T58" s="5"/>
    </row>
    <row r="59" spans="1:20" s="38" customFormat="1" x14ac:dyDescent="0.3">
      <c r="A59" s="54"/>
      <c r="B59" s="54"/>
      <c r="C59" s="54"/>
      <c r="D59" s="37"/>
      <c r="Q59" s="5"/>
      <c r="R59" s="5"/>
      <c r="S59" s="5"/>
      <c r="T59" s="5"/>
    </row>
    <row r="60" spans="1:20" s="38" customFormat="1" x14ac:dyDescent="0.3">
      <c r="A60" s="54"/>
      <c r="B60" s="54"/>
      <c r="C60" s="54"/>
      <c r="D60" s="37"/>
      <c r="Q60" s="5"/>
      <c r="R60" s="5"/>
      <c r="S60" s="5"/>
      <c r="T60" s="5"/>
    </row>
    <row r="61" spans="1:20" s="38" customFormat="1" x14ac:dyDescent="0.3">
      <c r="A61" s="54"/>
      <c r="B61" s="54"/>
      <c r="C61" s="54"/>
      <c r="D61" s="37"/>
      <c r="Q61" s="5"/>
      <c r="R61" s="5"/>
      <c r="S61" s="5"/>
      <c r="T61" s="5"/>
    </row>
    <row r="62" spans="1:20" s="38" customFormat="1" x14ac:dyDescent="0.3">
      <c r="A62" s="54"/>
      <c r="B62" s="54"/>
      <c r="C62" s="54"/>
      <c r="D62" s="37"/>
      <c r="Q62" s="5"/>
      <c r="R62" s="5"/>
      <c r="S62" s="5"/>
      <c r="T62" s="5"/>
    </row>
    <row r="63" spans="1:20" s="38" customFormat="1" x14ac:dyDescent="0.3">
      <c r="A63" s="54"/>
      <c r="B63" s="54"/>
      <c r="C63" s="54"/>
      <c r="D63" s="37"/>
      <c r="Q63" s="5"/>
      <c r="R63" s="5"/>
      <c r="S63" s="5"/>
      <c r="T63" s="5"/>
    </row>
    <row r="64" spans="1:20" s="38" customFormat="1" x14ac:dyDescent="0.3">
      <c r="A64" s="54"/>
      <c r="B64" s="54"/>
      <c r="C64" s="54"/>
      <c r="D64" s="37"/>
      <c r="Q64" s="5"/>
      <c r="R64" s="5"/>
      <c r="S64" s="5"/>
      <c r="T64" s="5"/>
    </row>
  </sheetData>
  <mergeCells count="8">
    <mergeCell ref="N25:P25"/>
    <mergeCell ref="D26:E26"/>
    <mergeCell ref="H3:P3"/>
    <mergeCell ref="A4:A5"/>
    <mergeCell ref="B4:B5"/>
    <mergeCell ref="C4:C5"/>
    <mergeCell ref="D4:D5"/>
    <mergeCell ref="E4:T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E3B9-5719-4403-937A-605EEFB429F7}">
  <dimension ref="A1:T56"/>
  <sheetViews>
    <sheetView workbookViewId="0">
      <selection activeCell="B4" sqref="B4:B5"/>
    </sheetView>
  </sheetViews>
  <sheetFormatPr defaultRowHeight="15.6" x14ac:dyDescent="0.3"/>
  <cols>
    <col min="1" max="1" width="11.109375" style="37" customWidth="1"/>
    <col min="2" max="2" width="42.33203125" style="37" customWidth="1"/>
    <col min="3" max="3" width="13.44140625" style="37" customWidth="1"/>
    <col min="4" max="4" width="11.44140625" style="37" customWidth="1"/>
    <col min="5" max="5" width="13.109375" style="38" bestFit="1" customWidth="1"/>
    <col min="6" max="6" width="11.109375" style="38" customWidth="1"/>
    <col min="7" max="7" width="10.88671875" style="38" customWidth="1"/>
    <col min="8" max="8" width="13" style="38" hidden="1" customWidth="1"/>
    <col min="9" max="9" width="10.109375" style="38" customWidth="1"/>
    <col min="10" max="10" width="14.109375" style="38" customWidth="1"/>
    <col min="11" max="11" width="10.88671875" style="38" hidden="1" customWidth="1"/>
    <col min="12" max="12" width="10.44140625" style="38" hidden="1" customWidth="1"/>
    <col min="13" max="13" width="15.88671875" style="38" hidden="1" customWidth="1"/>
    <col min="14" max="14" width="10.109375" style="38" hidden="1" customWidth="1"/>
    <col min="15" max="15" width="29" style="38" hidden="1" customWidth="1"/>
    <col min="16" max="16" width="10.44140625" style="38" hidden="1" customWidth="1"/>
    <col min="17" max="17" width="7.6640625" style="5" hidden="1" customWidth="1"/>
    <col min="18" max="18" width="14" style="5" customWidth="1"/>
    <col min="19" max="19" width="10.5546875" style="5" customWidth="1"/>
    <col min="20" max="20" width="9.6640625" style="5" hidden="1" customWidth="1"/>
  </cols>
  <sheetData>
    <row r="1" spans="1:20" ht="29.4" x14ac:dyDescent="0.45">
      <c r="A1" s="1" t="s">
        <v>0</v>
      </c>
      <c r="B1" s="2"/>
      <c r="C1" s="2"/>
      <c r="D1" s="3"/>
      <c r="E1" s="3"/>
      <c r="F1" s="3"/>
      <c r="G1" s="3"/>
      <c r="H1" s="3"/>
      <c r="I1" s="3"/>
      <c r="J1" s="3" t="s">
        <v>1</v>
      </c>
      <c r="K1" s="4"/>
      <c r="L1" s="4"/>
      <c r="M1" s="4"/>
      <c r="N1" s="4"/>
      <c r="O1" s="4"/>
      <c r="P1" s="4"/>
    </row>
    <row r="2" spans="1:20" ht="29.4" x14ac:dyDescent="0.45">
      <c r="A2" s="1" t="s">
        <v>2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0" ht="20.399999999999999" x14ac:dyDescent="0.3">
      <c r="A3" s="6"/>
      <c r="B3" s="6"/>
      <c r="C3" s="6"/>
      <c r="D3" s="7"/>
      <c r="E3" s="7"/>
      <c r="F3" s="7"/>
      <c r="G3" s="7"/>
      <c r="H3" s="198" t="s">
        <v>107</v>
      </c>
      <c r="I3" s="198" t="s">
        <v>62</v>
      </c>
      <c r="J3" s="198"/>
      <c r="K3" s="198"/>
      <c r="L3" s="198"/>
      <c r="M3" s="198"/>
      <c r="N3" s="198"/>
      <c r="O3" s="198"/>
      <c r="P3" s="198"/>
    </row>
    <row r="4" spans="1:20" ht="15" customHeight="1" x14ac:dyDescent="0.3">
      <c r="A4" s="204" t="s">
        <v>4</v>
      </c>
      <c r="B4" s="206" t="s">
        <v>5</v>
      </c>
      <c r="C4" s="208" t="s">
        <v>6</v>
      </c>
      <c r="D4" s="208" t="s">
        <v>7</v>
      </c>
      <c r="E4" s="210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ht="79.2" x14ac:dyDescent="0.3">
      <c r="A5" s="205"/>
      <c r="B5" s="207"/>
      <c r="C5" s="209"/>
      <c r="D5" s="209"/>
      <c r="E5" s="9" t="s">
        <v>8</v>
      </c>
      <c r="F5" s="9" t="s">
        <v>99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86</v>
      </c>
      <c r="O5" s="9" t="s">
        <v>63</v>
      </c>
      <c r="P5" s="9" t="s">
        <v>19</v>
      </c>
      <c r="Q5" s="9" t="s">
        <v>12</v>
      </c>
      <c r="R5" s="9" t="s">
        <v>108</v>
      </c>
      <c r="S5" s="9" t="s">
        <v>65</v>
      </c>
      <c r="T5" s="9" t="s">
        <v>66</v>
      </c>
    </row>
    <row r="6" spans="1:20" ht="14.4" x14ac:dyDescent="0.3">
      <c r="A6" s="10"/>
      <c r="B6" s="11"/>
      <c r="C6" s="12"/>
      <c r="D6" s="13"/>
      <c r="E6" s="14"/>
      <c r="F6" s="20"/>
      <c r="G6" s="15"/>
      <c r="H6" s="16"/>
      <c r="I6" s="16"/>
      <c r="J6" s="16"/>
      <c r="K6" s="16"/>
      <c r="L6" s="16"/>
      <c r="M6" s="16"/>
      <c r="N6" s="16"/>
      <c r="O6" s="16"/>
      <c r="P6" s="17"/>
      <c r="Q6" s="18"/>
      <c r="R6" s="18"/>
      <c r="S6" s="18"/>
      <c r="T6" s="18"/>
    </row>
    <row r="7" spans="1:20" x14ac:dyDescent="0.3">
      <c r="A7" s="21">
        <v>45358</v>
      </c>
      <c r="B7" s="67" t="s">
        <v>109</v>
      </c>
      <c r="C7" s="23">
        <v>18320</v>
      </c>
      <c r="D7" s="68"/>
      <c r="E7" s="69">
        <v>2175</v>
      </c>
      <c r="F7" s="70">
        <f>E7</f>
        <v>2175</v>
      </c>
      <c r="G7" s="71"/>
      <c r="H7" s="17"/>
      <c r="I7" s="17"/>
      <c r="J7" s="17"/>
      <c r="K7" s="17"/>
      <c r="L7" s="17"/>
      <c r="M7" s="17"/>
      <c r="N7" s="17"/>
      <c r="O7" s="17"/>
      <c r="P7" s="17"/>
      <c r="Q7" s="72"/>
      <c r="R7" s="72"/>
      <c r="S7" s="73"/>
      <c r="T7" s="73"/>
    </row>
    <row r="8" spans="1:20" x14ac:dyDescent="0.3">
      <c r="A8" s="21">
        <v>45359</v>
      </c>
      <c r="B8" s="67" t="s">
        <v>71</v>
      </c>
      <c r="C8" s="23">
        <v>18321</v>
      </c>
      <c r="D8" s="24"/>
      <c r="E8" s="74">
        <v>2500</v>
      </c>
      <c r="F8" s="70"/>
      <c r="G8" s="71"/>
      <c r="H8" s="17"/>
      <c r="I8" s="17"/>
      <c r="J8" s="17"/>
      <c r="K8" s="17"/>
      <c r="L8" s="17"/>
      <c r="M8" s="17"/>
      <c r="N8" s="17"/>
      <c r="O8" s="17"/>
      <c r="P8" s="17"/>
      <c r="Q8" s="72"/>
      <c r="R8" s="72">
        <f>E8</f>
        <v>2500</v>
      </c>
      <c r="S8" s="73"/>
      <c r="T8" s="73"/>
    </row>
    <row r="9" spans="1:20" x14ac:dyDescent="0.3">
      <c r="A9" s="21">
        <v>45359</v>
      </c>
      <c r="B9" s="67" t="s">
        <v>110</v>
      </c>
      <c r="C9" s="23">
        <v>18322</v>
      </c>
      <c r="D9" s="24"/>
      <c r="E9" s="74">
        <v>860</v>
      </c>
      <c r="F9" s="70"/>
      <c r="G9" s="71">
        <f>E9</f>
        <v>860</v>
      </c>
      <c r="H9" s="17"/>
      <c r="I9" s="17"/>
      <c r="J9" s="17"/>
      <c r="K9" s="17"/>
      <c r="L9" s="17"/>
      <c r="M9" s="17"/>
      <c r="N9" s="17"/>
      <c r="O9" s="17"/>
      <c r="P9" s="17"/>
      <c r="Q9" s="72"/>
      <c r="R9" s="72"/>
      <c r="S9" s="73"/>
      <c r="T9" s="73"/>
    </row>
    <row r="10" spans="1:20" x14ac:dyDescent="0.3">
      <c r="A10" s="21">
        <v>45360</v>
      </c>
      <c r="B10" s="67" t="s">
        <v>111</v>
      </c>
      <c r="C10" s="23">
        <v>18323</v>
      </c>
      <c r="D10" s="24"/>
      <c r="E10" s="74">
        <v>650</v>
      </c>
      <c r="F10" s="70"/>
      <c r="G10" s="71"/>
      <c r="H10" s="17"/>
      <c r="I10" s="17"/>
      <c r="J10" s="17"/>
      <c r="K10" s="17"/>
      <c r="L10" s="17"/>
      <c r="M10" s="17"/>
      <c r="N10" s="17"/>
      <c r="O10" s="17"/>
      <c r="P10" s="17"/>
      <c r="Q10" s="72"/>
      <c r="R10" s="72"/>
      <c r="S10" s="73">
        <f>E10</f>
        <v>650</v>
      </c>
      <c r="T10" s="73"/>
    </row>
    <row r="11" spans="1:20" x14ac:dyDescent="0.3">
      <c r="A11" s="21">
        <v>45362</v>
      </c>
      <c r="B11" s="67" t="s">
        <v>77</v>
      </c>
      <c r="C11" s="75">
        <v>18324</v>
      </c>
      <c r="D11" s="24"/>
      <c r="E11" s="74">
        <v>1680</v>
      </c>
      <c r="F11" s="70"/>
      <c r="G11" s="71"/>
      <c r="H11" s="17"/>
      <c r="I11" s="17"/>
      <c r="J11" s="17">
        <f>E11</f>
        <v>1680</v>
      </c>
      <c r="K11" s="17"/>
      <c r="L11" s="17"/>
      <c r="M11" s="17"/>
      <c r="N11" s="17"/>
      <c r="O11" s="17"/>
      <c r="P11" s="17"/>
      <c r="Q11" s="72"/>
      <c r="R11" s="72"/>
      <c r="S11" s="73"/>
      <c r="T11" s="73"/>
    </row>
    <row r="12" spans="1:20" x14ac:dyDescent="0.3">
      <c r="A12" s="21">
        <v>45363</v>
      </c>
      <c r="B12" s="67" t="s">
        <v>112</v>
      </c>
      <c r="C12" s="76">
        <v>18325</v>
      </c>
      <c r="D12" s="77"/>
      <c r="E12" s="78">
        <v>300</v>
      </c>
      <c r="F12" s="70"/>
      <c r="G12" s="71"/>
      <c r="H12" s="17"/>
      <c r="I12" s="17">
        <f>E12</f>
        <v>300</v>
      </c>
      <c r="J12" s="17"/>
      <c r="K12" s="17"/>
      <c r="L12" s="17"/>
      <c r="M12" s="17"/>
      <c r="N12" s="17"/>
      <c r="O12" s="17"/>
      <c r="P12" s="17"/>
      <c r="Q12" s="72"/>
      <c r="R12" s="72"/>
      <c r="S12" s="73"/>
      <c r="T12" s="73"/>
    </row>
    <row r="13" spans="1:20" x14ac:dyDescent="0.3">
      <c r="A13" s="21">
        <v>45363</v>
      </c>
      <c r="B13" s="67" t="s">
        <v>110</v>
      </c>
      <c r="C13" s="23">
        <v>18326</v>
      </c>
      <c r="D13" s="24"/>
      <c r="E13" s="74">
        <v>2360</v>
      </c>
      <c r="F13" s="70"/>
      <c r="G13" s="71">
        <f>E13</f>
        <v>2360</v>
      </c>
      <c r="H13" s="17"/>
      <c r="I13" s="17"/>
      <c r="J13" s="17"/>
      <c r="K13" s="17"/>
      <c r="L13" s="17"/>
      <c r="M13" s="17"/>
      <c r="N13" s="17"/>
      <c r="O13" s="17"/>
      <c r="P13" s="17"/>
      <c r="Q13" s="72"/>
      <c r="R13" s="72"/>
      <c r="S13" s="73"/>
      <c r="T13" s="73"/>
    </row>
    <row r="14" spans="1:20" ht="14.4" x14ac:dyDescent="0.3">
      <c r="A14" s="10"/>
      <c r="B14" s="11"/>
      <c r="C14" s="12"/>
      <c r="D14" s="13"/>
      <c r="E14" s="20"/>
      <c r="F14" s="20"/>
      <c r="G14" s="15"/>
      <c r="H14" s="16"/>
      <c r="I14" s="16"/>
      <c r="J14" s="16"/>
      <c r="K14" s="16"/>
      <c r="L14" s="16"/>
      <c r="M14" s="16"/>
      <c r="N14" s="16"/>
      <c r="O14" s="16"/>
      <c r="P14" s="17"/>
      <c r="Q14" s="18"/>
      <c r="R14" s="18"/>
      <c r="S14" s="19"/>
      <c r="T14" s="19"/>
    </row>
    <row r="15" spans="1:20" ht="15" thickBot="1" x14ac:dyDescent="0.35">
      <c r="A15" s="32"/>
      <c r="B15" s="32"/>
      <c r="C15" s="32"/>
      <c r="D15" s="64"/>
      <c r="E15" s="65">
        <f>SUM(E7:E14)</f>
        <v>10525</v>
      </c>
      <c r="F15" s="65">
        <f t="shared" ref="F15:T15" si="0">SUM(F7:F14)</f>
        <v>2175</v>
      </c>
      <c r="G15" s="65">
        <f t="shared" si="0"/>
        <v>3220</v>
      </c>
      <c r="H15" s="65">
        <f t="shared" si="0"/>
        <v>0</v>
      </c>
      <c r="I15" s="65">
        <f t="shared" si="0"/>
        <v>300</v>
      </c>
      <c r="J15" s="65">
        <f t="shared" si="0"/>
        <v>1680</v>
      </c>
      <c r="K15" s="65">
        <f t="shared" si="0"/>
        <v>0</v>
      </c>
      <c r="L15" s="65">
        <f t="shared" si="0"/>
        <v>0</v>
      </c>
      <c r="M15" s="65">
        <f t="shared" si="0"/>
        <v>0</v>
      </c>
      <c r="N15" s="65">
        <f t="shared" si="0"/>
        <v>0</v>
      </c>
      <c r="O15" s="65">
        <f t="shared" si="0"/>
        <v>0</v>
      </c>
      <c r="P15" s="65">
        <f t="shared" si="0"/>
        <v>0</v>
      </c>
      <c r="Q15" s="65">
        <f t="shared" si="0"/>
        <v>0</v>
      </c>
      <c r="R15" s="65">
        <f t="shared" si="0"/>
        <v>2500</v>
      </c>
      <c r="S15" s="65">
        <f t="shared" si="0"/>
        <v>650</v>
      </c>
      <c r="T15" s="65">
        <f t="shared" si="0"/>
        <v>0</v>
      </c>
    </row>
    <row r="16" spans="1:20" ht="15" thickTop="1" x14ac:dyDescent="0.3">
      <c r="A16" s="213"/>
      <c r="B16" s="213"/>
      <c r="C16" s="35"/>
      <c r="D16" s="3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20" ht="16.2" thickBot="1" x14ac:dyDescent="0.35">
      <c r="D17" s="38"/>
      <c r="N17" s="201"/>
      <c r="O17" s="201"/>
      <c r="P17" s="201"/>
    </row>
    <row r="18" spans="1:20" ht="29.4" thickBot="1" x14ac:dyDescent="0.6">
      <c r="B18" s="40"/>
      <c r="C18" s="41"/>
      <c r="D18" s="196">
        <f>E15</f>
        <v>10525</v>
      </c>
      <c r="E18" s="197">
        <f>SUM(E14:E17)</f>
        <v>10525</v>
      </c>
      <c r="F18" s="42"/>
      <c r="G18" s="42"/>
      <c r="H18" s="43"/>
      <c r="I18" s="43"/>
      <c r="J18" s="43"/>
      <c r="K18" s="43"/>
      <c r="L18" s="43"/>
      <c r="M18" s="43"/>
    </row>
    <row r="19" spans="1:20" x14ac:dyDescent="0.3">
      <c r="A19" s="44" t="s">
        <v>43</v>
      </c>
      <c r="B19" s="45"/>
      <c r="C19" s="45"/>
      <c r="D19" s="45"/>
      <c r="E19" s="46"/>
      <c r="F19" s="46"/>
      <c r="G19" s="46"/>
      <c r="H19" s="46"/>
      <c r="I19" s="46"/>
      <c r="J19" s="46"/>
      <c r="K19" s="46"/>
      <c r="L19" s="46"/>
      <c r="M19" s="46"/>
      <c r="N19" s="47"/>
      <c r="O19" s="5"/>
      <c r="P19" s="5"/>
    </row>
    <row r="20" spans="1:20" x14ac:dyDescent="0.3">
      <c r="A20" s="44"/>
      <c r="B20" s="45"/>
      <c r="C20" s="45"/>
      <c r="D20" s="45"/>
      <c r="E20" s="46" t="s">
        <v>44</v>
      </c>
      <c r="F20" s="46"/>
      <c r="G20" s="46"/>
      <c r="H20" s="46"/>
      <c r="I20" s="46"/>
      <c r="J20" s="46"/>
      <c r="K20" s="46"/>
      <c r="L20" s="46"/>
      <c r="M20" s="46"/>
      <c r="N20" s="47"/>
      <c r="O20" s="5"/>
      <c r="P20" s="5"/>
    </row>
    <row r="21" spans="1:20" x14ac:dyDescent="0.3">
      <c r="A21" s="44"/>
      <c r="B21" s="45"/>
      <c r="C21" s="45"/>
      <c r="D21" s="45"/>
      <c r="E21" s="46"/>
      <c r="F21" s="46"/>
      <c r="G21" s="46"/>
      <c r="H21" s="46"/>
      <c r="I21" s="46"/>
      <c r="J21" s="46"/>
      <c r="K21" s="46"/>
      <c r="L21" s="46"/>
      <c r="M21" s="46"/>
      <c r="N21" s="47"/>
      <c r="O21" s="5"/>
      <c r="P21" s="5"/>
    </row>
    <row r="22" spans="1:20" ht="16.2" x14ac:dyDescent="0.35">
      <c r="A22" s="48"/>
      <c r="B22" s="49"/>
      <c r="D22" s="50"/>
      <c r="E22" s="50"/>
      <c r="F22" s="50"/>
      <c r="G22" s="50"/>
      <c r="H22" s="50"/>
      <c r="J22" s="50"/>
      <c r="L22" s="51"/>
      <c r="M22" s="50"/>
      <c r="N22" s="52"/>
      <c r="O22" s="50"/>
      <c r="Q22" s="51"/>
      <c r="R22" s="50"/>
      <c r="S22" s="50"/>
      <c r="T22" s="50"/>
    </row>
    <row r="23" spans="1:20" ht="16.2" x14ac:dyDescent="0.35">
      <c r="A23" s="48"/>
      <c r="B23" s="66" t="s">
        <v>46</v>
      </c>
      <c r="D23" s="50" t="s">
        <v>47</v>
      </c>
      <c r="E23" s="50"/>
      <c r="F23" s="50"/>
      <c r="G23" s="50" t="s">
        <v>47</v>
      </c>
      <c r="J23" s="50"/>
      <c r="L23" s="51"/>
      <c r="M23" s="50"/>
      <c r="N23" s="52" t="s">
        <v>48</v>
      </c>
      <c r="O23" s="50" t="s">
        <v>48</v>
      </c>
      <c r="Q23" s="51"/>
      <c r="R23" s="52" t="s">
        <v>48</v>
      </c>
      <c r="S23" s="50"/>
      <c r="T23" s="50"/>
    </row>
    <row r="24" spans="1:20" ht="16.2" x14ac:dyDescent="0.35">
      <c r="A24" s="48"/>
      <c r="B24" s="66" t="s">
        <v>49</v>
      </c>
      <c r="D24" s="50" t="s">
        <v>50</v>
      </c>
      <c r="E24" s="50"/>
      <c r="F24" s="50"/>
      <c r="G24" s="50" t="s">
        <v>51</v>
      </c>
      <c r="J24" s="50"/>
      <c r="L24" s="51"/>
      <c r="M24" s="50"/>
      <c r="N24" s="52" t="s">
        <v>52</v>
      </c>
      <c r="O24" s="50" t="s">
        <v>52</v>
      </c>
      <c r="Q24" s="51"/>
      <c r="R24" s="52" t="s">
        <v>52</v>
      </c>
      <c r="S24" s="50"/>
      <c r="T24" s="50"/>
    </row>
    <row r="25" spans="1:20" ht="16.2" x14ac:dyDescent="0.35">
      <c r="A25" s="48"/>
      <c r="B25" s="66" t="s">
        <v>105</v>
      </c>
      <c r="D25" s="50" t="s">
        <v>54</v>
      </c>
      <c r="E25" s="50"/>
      <c r="F25" s="50"/>
      <c r="G25" s="50" t="s">
        <v>55</v>
      </c>
      <c r="J25" s="50"/>
      <c r="L25" s="51"/>
      <c r="M25" s="50"/>
      <c r="N25" s="52" t="s">
        <v>56</v>
      </c>
      <c r="O25" s="50" t="s">
        <v>56</v>
      </c>
      <c r="Q25" s="51"/>
      <c r="R25" s="52" t="s">
        <v>56</v>
      </c>
      <c r="S25" s="50"/>
      <c r="T25" s="50"/>
    </row>
    <row r="26" spans="1:20" ht="16.2" x14ac:dyDescent="0.35">
      <c r="A26" s="48"/>
      <c r="B26" s="52" t="s">
        <v>106</v>
      </c>
      <c r="D26" s="50" t="s">
        <v>58</v>
      </c>
      <c r="E26" s="50"/>
      <c r="F26" s="50"/>
      <c r="G26" s="50" t="s">
        <v>59</v>
      </c>
      <c r="J26" s="50"/>
      <c r="L26" s="51"/>
      <c r="M26" s="50"/>
      <c r="N26" s="52" t="s">
        <v>60</v>
      </c>
      <c r="O26" s="50" t="s">
        <v>60</v>
      </c>
      <c r="Q26" s="51"/>
      <c r="R26" s="52" t="s">
        <v>60</v>
      </c>
      <c r="S26" s="50"/>
      <c r="T26" s="50"/>
    </row>
    <row r="27" spans="1:20" ht="14.4" x14ac:dyDescent="0.3">
      <c r="A27" s="48"/>
      <c r="B27" s="48"/>
      <c r="C27" s="48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</row>
    <row r="28" spans="1:20" x14ac:dyDescent="0.3">
      <c r="B28" s="54"/>
      <c r="C28" s="54"/>
    </row>
    <row r="29" spans="1:20" x14ac:dyDescent="0.3">
      <c r="A29" s="54"/>
      <c r="B29" s="54"/>
      <c r="C29" s="54"/>
    </row>
    <row r="30" spans="1:20" x14ac:dyDescent="0.3">
      <c r="A30" s="54"/>
      <c r="B30" s="54"/>
      <c r="C30" s="54"/>
    </row>
    <row r="31" spans="1:20" x14ac:dyDescent="0.3">
      <c r="A31" s="54"/>
      <c r="B31" s="54"/>
      <c r="C31" s="54"/>
    </row>
    <row r="32" spans="1:20" x14ac:dyDescent="0.3">
      <c r="A32" s="54"/>
      <c r="B32" s="54"/>
      <c r="C32" s="54"/>
    </row>
    <row r="33" spans="1:20" x14ac:dyDescent="0.3">
      <c r="A33" s="54"/>
      <c r="B33" s="54"/>
      <c r="C33" s="54"/>
    </row>
    <row r="34" spans="1:20" x14ac:dyDescent="0.3">
      <c r="A34" s="54"/>
      <c r="B34" s="54"/>
      <c r="C34" s="54"/>
    </row>
    <row r="35" spans="1:20" x14ac:dyDescent="0.3">
      <c r="A35" s="54"/>
      <c r="B35" s="54"/>
      <c r="C35" s="54"/>
    </row>
    <row r="36" spans="1:20" x14ac:dyDescent="0.3">
      <c r="A36" s="54"/>
      <c r="B36" s="54"/>
      <c r="C36" s="54"/>
    </row>
    <row r="37" spans="1:20" x14ac:dyDescent="0.3">
      <c r="A37" s="54"/>
      <c r="B37" s="54"/>
      <c r="C37" s="54"/>
    </row>
    <row r="38" spans="1:20" x14ac:dyDescent="0.3">
      <c r="A38" s="54"/>
      <c r="B38" s="54"/>
      <c r="C38" s="54"/>
    </row>
    <row r="39" spans="1:20" x14ac:dyDescent="0.3">
      <c r="A39" s="54"/>
      <c r="B39" s="54"/>
      <c r="C39" s="54"/>
    </row>
    <row r="40" spans="1:20" x14ac:dyDescent="0.3">
      <c r="A40" s="54"/>
      <c r="B40" s="54"/>
      <c r="C40" s="54"/>
    </row>
    <row r="41" spans="1:20" x14ac:dyDescent="0.3">
      <c r="A41" s="54"/>
      <c r="B41" s="54"/>
      <c r="C41" s="54"/>
    </row>
    <row r="42" spans="1:20" s="38" customFormat="1" x14ac:dyDescent="0.3">
      <c r="A42" s="54"/>
      <c r="B42" s="54"/>
      <c r="C42" s="54"/>
      <c r="D42" s="37"/>
      <c r="Q42" s="5"/>
      <c r="R42" s="5"/>
      <c r="S42" s="5"/>
      <c r="T42" s="5"/>
    </row>
    <row r="43" spans="1:20" s="38" customFormat="1" x14ac:dyDescent="0.3">
      <c r="A43" s="54"/>
      <c r="B43" s="54"/>
      <c r="C43" s="54"/>
      <c r="D43" s="37"/>
      <c r="Q43" s="5"/>
      <c r="R43" s="5"/>
      <c r="S43" s="5"/>
      <c r="T43" s="5"/>
    </row>
    <row r="44" spans="1:20" s="38" customFormat="1" x14ac:dyDescent="0.3">
      <c r="A44" s="54"/>
      <c r="B44" s="54"/>
      <c r="C44" s="54"/>
      <c r="D44" s="37"/>
      <c r="G44" s="38" t="s">
        <v>44</v>
      </c>
      <c r="Q44" s="5"/>
      <c r="R44" s="5"/>
      <c r="S44" s="5"/>
      <c r="T44" s="5"/>
    </row>
    <row r="45" spans="1:20" s="38" customFormat="1" x14ac:dyDescent="0.3">
      <c r="A45" s="54"/>
      <c r="B45" s="54"/>
      <c r="C45" s="54"/>
      <c r="D45" s="37"/>
      <c r="Q45" s="5"/>
      <c r="R45" s="5"/>
      <c r="S45" s="5"/>
      <c r="T45" s="5"/>
    </row>
    <row r="46" spans="1:20" s="38" customFormat="1" x14ac:dyDescent="0.3">
      <c r="A46" s="54"/>
      <c r="B46" s="54"/>
      <c r="C46" s="54"/>
      <c r="D46" s="37"/>
      <c r="Q46" s="5"/>
      <c r="R46" s="5"/>
      <c r="S46" s="5"/>
      <c r="T46" s="5"/>
    </row>
    <row r="47" spans="1:20" s="38" customFormat="1" x14ac:dyDescent="0.3">
      <c r="A47" s="54"/>
      <c r="B47" s="54"/>
      <c r="C47" s="54"/>
      <c r="D47" s="37"/>
      <c r="Q47" s="5"/>
      <c r="R47" s="5"/>
      <c r="S47" s="5"/>
      <c r="T47" s="5"/>
    </row>
    <row r="48" spans="1:20" s="38" customFormat="1" x14ac:dyDescent="0.3">
      <c r="A48" s="54"/>
      <c r="B48" s="54"/>
      <c r="C48" s="54"/>
      <c r="D48" s="37"/>
      <c r="Q48" s="5"/>
      <c r="R48" s="5"/>
      <c r="S48" s="5"/>
      <c r="T48" s="5"/>
    </row>
    <row r="49" spans="1:20" s="38" customFormat="1" x14ac:dyDescent="0.3">
      <c r="A49" s="54"/>
      <c r="B49" s="54"/>
      <c r="C49" s="54"/>
      <c r="D49" s="37"/>
      <c r="Q49" s="5"/>
      <c r="R49" s="5"/>
      <c r="S49" s="5"/>
      <c r="T49" s="5"/>
    </row>
    <row r="50" spans="1:20" s="38" customFormat="1" x14ac:dyDescent="0.3">
      <c r="A50" s="54"/>
      <c r="B50" s="54"/>
      <c r="C50" s="54"/>
      <c r="D50" s="37"/>
      <c r="Q50" s="5"/>
      <c r="R50" s="5"/>
      <c r="S50" s="5"/>
      <c r="T50" s="5"/>
    </row>
    <row r="51" spans="1:20" s="38" customFormat="1" x14ac:dyDescent="0.3">
      <c r="A51" s="54"/>
      <c r="B51" s="54"/>
      <c r="C51" s="54"/>
      <c r="D51" s="37"/>
      <c r="Q51" s="5"/>
      <c r="R51" s="5"/>
      <c r="S51" s="5"/>
      <c r="T51" s="5"/>
    </row>
    <row r="52" spans="1:20" s="38" customFormat="1" x14ac:dyDescent="0.3">
      <c r="A52" s="54"/>
      <c r="B52" s="54"/>
      <c r="C52" s="54"/>
      <c r="D52" s="37"/>
      <c r="Q52" s="5"/>
      <c r="R52" s="5"/>
      <c r="S52" s="5"/>
      <c r="T52" s="5"/>
    </row>
    <row r="53" spans="1:20" s="38" customFormat="1" x14ac:dyDescent="0.3">
      <c r="A53" s="54"/>
      <c r="B53" s="54"/>
      <c r="C53" s="54"/>
      <c r="D53" s="37"/>
      <c r="Q53" s="5"/>
      <c r="R53" s="5"/>
      <c r="S53" s="5"/>
      <c r="T53" s="5"/>
    </row>
    <row r="54" spans="1:20" s="38" customFormat="1" x14ac:dyDescent="0.3">
      <c r="A54" s="54"/>
      <c r="B54" s="54"/>
      <c r="C54" s="54"/>
      <c r="D54" s="37"/>
      <c r="Q54" s="5"/>
      <c r="R54" s="5"/>
      <c r="S54" s="5"/>
      <c r="T54" s="5"/>
    </row>
    <row r="55" spans="1:20" s="38" customFormat="1" x14ac:dyDescent="0.3">
      <c r="A55" s="54"/>
      <c r="B55" s="54"/>
      <c r="C55" s="54"/>
      <c r="D55" s="37"/>
      <c r="Q55" s="5"/>
      <c r="R55" s="5"/>
      <c r="S55" s="5"/>
      <c r="T55" s="5"/>
    </row>
    <row r="56" spans="1:20" s="38" customFormat="1" x14ac:dyDescent="0.3">
      <c r="A56" s="54"/>
      <c r="B56" s="54"/>
      <c r="C56" s="54"/>
      <c r="D56" s="37"/>
      <c r="Q56" s="5"/>
      <c r="R56" s="5"/>
      <c r="S56" s="5"/>
      <c r="T56" s="5"/>
    </row>
  </sheetData>
  <mergeCells count="9">
    <mergeCell ref="A16:B16"/>
    <mergeCell ref="N17:P17"/>
    <mergeCell ref="D18:E18"/>
    <mergeCell ref="H3:P3"/>
    <mergeCell ref="A4:A5"/>
    <mergeCell ref="B4:B5"/>
    <mergeCell ref="C4:C5"/>
    <mergeCell ref="D4:D5"/>
    <mergeCell ref="E4:T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5EA0-471D-426C-8CF2-678685CC5BCB}">
  <dimension ref="A1:T60"/>
  <sheetViews>
    <sheetView workbookViewId="0">
      <selection sqref="A1:XFD1048576"/>
    </sheetView>
  </sheetViews>
  <sheetFormatPr defaultRowHeight="15.6" x14ac:dyDescent="0.3"/>
  <cols>
    <col min="1" max="1" width="11.109375" style="37" customWidth="1"/>
    <col min="2" max="2" width="42.33203125" style="37" customWidth="1"/>
    <col min="3" max="3" width="13.44140625" style="37" customWidth="1"/>
    <col min="4" max="4" width="11.44140625" style="37" customWidth="1"/>
    <col min="5" max="5" width="13.109375" style="38" bestFit="1" customWidth="1"/>
    <col min="6" max="6" width="15.33203125" style="38" customWidth="1"/>
    <col min="7" max="7" width="13.109375" style="38" customWidth="1"/>
    <col min="8" max="8" width="13" style="38" hidden="1" customWidth="1"/>
    <col min="9" max="9" width="10.109375" style="38" hidden="1" customWidth="1"/>
    <col min="10" max="10" width="14.109375" style="38" customWidth="1"/>
    <col min="11" max="11" width="10.88671875" style="38" hidden="1" customWidth="1"/>
    <col min="12" max="12" width="10.44140625" style="38" hidden="1" customWidth="1"/>
    <col min="13" max="13" width="15.88671875" style="38" customWidth="1"/>
    <col min="14" max="14" width="10.109375" style="38" customWidth="1"/>
    <col min="15" max="15" width="29" style="38" hidden="1" customWidth="1"/>
    <col min="16" max="16" width="10.44140625" style="38" hidden="1" customWidth="1"/>
    <col min="17" max="17" width="7.6640625" style="5" hidden="1" customWidth="1"/>
    <col min="18" max="18" width="14" style="5" customWidth="1"/>
    <col min="19" max="19" width="10.5546875" style="5" hidden="1" customWidth="1"/>
    <col min="20" max="20" width="9.6640625" style="5" hidden="1" customWidth="1"/>
  </cols>
  <sheetData>
    <row r="1" spans="1:20" ht="29.4" x14ac:dyDescent="0.45">
      <c r="A1" s="1" t="s">
        <v>0</v>
      </c>
      <c r="B1" s="2"/>
      <c r="C1" s="2"/>
      <c r="D1" s="3"/>
      <c r="E1" s="3"/>
      <c r="F1" s="3"/>
      <c r="G1" s="3"/>
      <c r="H1" s="3"/>
      <c r="I1" s="3"/>
      <c r="J1" s="3" t="s">
        <v>1</v>
      </c>
      <c r="K1" s="4"/>
      <c r="L1" s="4"/>
      <c r="M1" s="4"/>
      <c r="N1" s="4"/>
      <c r="O1" s="4"/>
      <c r="P1" s="4"/>
    </row>
    <row r="2" spans="1:20" ht="29.4" x14ac:dyDescent="0.45">
      <c r="A2" s="1" t="s">
        <v>2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0" ht="20.399999999999999" x14ac:dyDescent="0.3">
      <c r="A3" s="6"/>
      <c r="B3" s="6"/>
      <c r="C3" s="6"/>
      <c r="D3" s="7"/>
      <c r="E3" s="7"/>
      <c r="F3" s="7"/>
      <c r="G3" s="7"/>
      <c r="H3" s="198" t="s">
        <v>98</v>
      </c>
      <c r="I3" s="198" t="s">
        <v>62</v>
      </c>
      <c r="J3" s="198"/>
      <c r="K3" s="198"/>
      <c r="L3" s="198"/>
      <c r="M3" s="198"/>
      <c r="N3" s="198"/>
      <c r="O3" s="198"/>
      <c r="P3" s="198"/>
    </row>
    <row r="4" spans="1:20" ht="15" customHeight="1" x14ac:dyDescent="0.3">
      <c r="A4" s="204" t="s">
        <v>4</v>
      </c>
      <c r="B4" s="206" t="s">
        <v>5</v>
      </c>
      <c r="C4" s="208" t="s">
        <v>6</v>
      </c>
      <c r="D4" s="208" t="s">
        <v>7</v>
      </c>
      <c r="E4" s="210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ht="79.2" x14ac:dyDescent="0.3">
      <c r="A5" s="205"/>
      <c r="B5" s="207"/>
      <c r="C5" s="209"/>
      <c r="D5" s="209"/>
      <c r="E5" s="9" t="s">
        <v>8</v>
      </c>
      <c r="F5" s="9" t="s">
        <v>99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86</v>
      </c>
      <c r="O5" s="9" t="s">
        <v>63</v>
      </c>
      <c r="P5" s="9" t="s">
        <v>19</v>
      </c>
      <c r="Q5" s="9" t="s">
        <v>12</v>
      </c>
      <c r="R5" s="9" t="s">
        <v>64</v>
      </c>
      <c r="S5" s="9" t="s">
        <v>65</v>
      </c>
      <c r="T5" s="9" t="s">
        <v>66</v>
      </c>
    </row>
    <row r="6" spans="1:20" ht="14.4" x14ac:dyDescent="0.3">
      <c r="A6" s="10"/>
      <c r="B6" s="11"/>
      <c r="C6" s="12"/>
      <c r="D6" s="13"/>
      <c r="E6" s="14"/>
      <c r="F6" s="20"/>
      <c r="G6" s="15"/>
      <c r="H6" s="16"/>
      <c r="I6" s="16"/>
      <c r="J6" s="16"/>
      <c r="K6" s="16"/>
      <c r="L6" s="16"/>
      <c r="M6" s="16"/>
      <c r="N6" s="16"/>
      <c r="O6" s="16"/>
      <c r="P6" s="17"/>
      <c r="Q6" s="18"/>
      <c r="R6" s="18"/>
      <c r="S6" s="18"/>
      <c r="T6" s="18"/>
    </row>
    <row r="7" spans="1:20" ht="14.4" x14ac:dyDescent="0.3">
      <c r="A7" s="10">
        <v>45344</v>
      </c>
      <c r="B7" s="11" t="s">
        <v>100</v>
      </c>
      <c r="C7" s="12">
        <v>18308</v>
      </c>
      <c r="D7" s="13"/>
      <c r="E7" s="14">
        <v>300</v>
      </c>
      <c r="F7" s="20"/>
      <c r="G7" s="15">
        <f>E7</f>
        <v>300</v>
      </c>
      <c r="H7" s="16"/>
      <c r="I7" s="16"/>
      <c r="J7" s="16"/>
      <c r="K7" s="16"/>
      <c r="L7" s="16"/>
      <c r="M7" s="16"/>
      <c r="N7" s="16"/>
      <c r="O7" s="16"/>
      <c r="P7" s="17"/>
      <c r="Q7" s="18"/>
      <c r="R7" s="18"/>
      <c r="S7" s="19"/>
      <c r="T7" s="19"/>
    </row>
    <row r="8" spans="1:20" ht="14.4" x14ac:dyDescent="0.3">
      <c r="A8" s="10">
        <v>45348</v>
      </c>
      <c r="B8" s="11" t="s">
        <v>77</v>
      </c>
      <c r="C8" s="12">
        <v>18309</v>
      </c>
      <c r="D8" s="13"/>
      <c r="E8" s="14">
        <v>1680</v>
      </c>
      <c r="F8" s="20"/>
      <c r="G8" s="15"/>
      <c r="H8" s="16"/>
      <c r="I8" s="16"/>
      <c r="J8" s="16">
        <f>E8</f>
        <v>1680</v>
      </c>
      <c r="K8" s="16"/>
      <c r="L8" s="16"/>
      <c r="M8" s="16"/>
      <c r="N8" s="16"/>
      <c r="O8" s="16"/>
      <c r="P8" s="17"/>
      <c r="Q8" s="18"/>
      <c r="R8" s="18"/>
      <c r="S8" s="19"/>
      <c r="T8" s="19"/>
    </row>
    <row r="9" spans="1:20" ht="14.4" x14ac:dyDescent="0.3">
      <c r="A9" s="10">
        <v>45349</v>
      </c>
      <c r="B9" s="11" t="s">
        <v>100</v>
      </c>
      <c r="C9" s="12">
        <v>18310</v>
      </c>
      <c r="D9" s="13"/>
      <c r="E9" s="14">
        <v>1110</v>
      </c>
      <c r="F9" s="20"/>
      <c r="G9" s="15">
        <f>E9</f>
        <v>1110</v>
      </c>
      <c r="H9" s="16"/>
      <c r="I9" s="16"/>
      <c r="J9" s="16"/>
      <c r="K9" s="16"/>
      <c r="L9" s="16"/>
      <c r="M9" s="16"/>
      <c r="N9" s="16"/>
      <c r="O9" s="16"/>
      <c r="P9" s="17"/>
      <c r="Q9" s="18"/>
      <c r="R9" s="18"/>
      <c r="S9" s="19"/>
      <c r="T9" s="19"/>
    </row>
    <row r="10" spans="1:20" ht="14.4" x14ac:dyDescent="0.3">
      <c r="A10" s="10">
        <v>45352</v>
      </c>
      <c r="B10" s="11" t="s">
        <v>77</v>
      </c>
      <c r="C10" s="12">
        <v>18311</v>
      </c>
      <c r="D10" s="13"/>
      <c r="E10" s="14">
        <v>910</v>
      </c>
      <c r="F10" s="20"/>
      <c r="G10" s="15"/>
      <c r="H10" s="16"/>
      <c r="I10" s="16"/>
      <c r="J10" s="16">
        <f>E10</f>
        <v>910</v>
      </c>
      <c r="K10" s="16"/>
      <c r="L10" s="16"/>
      <c r="M10" s="16"/>
      <c r="N10" s="16"/>
      <c r="O10" s="16"/>
      <c r="P10" s="17"/>
      <c r="Q10" s="18"/>
      <c r="R10" s="18"/>
      <c r="S10" s="19"/>
      <c r="T10" s="19"/>
    </row>
    <row r="11" spans="1:20" ht="14.4" x14ac:dyDescent="0.3">
      <c r="A11" s="10">
        <v>45352</v>
      </c>
      <c r="B11" s="11" t="s">
        <v>101</v>
      </c>
      <c r="C11" s="12">
        <v>18312</v>
      </c>
      <c r="D11" s="13"/>
      <c r="E11" s="14">
        <v>650</v>
      </c>
      <c r="F11" s="20"/>
      <c r="G11" s="15"/>
      <c r="H11" s="16"/>
      <c r="I11" s="16"/>
      <c r="J11" s="16"/>
      <c r="K11" s="16"/>
      <c r="L11" s="16"/>
      <c r="M11" s="16">
        <f>E11</f>
        <v>650</v>
      </c>
      <c r="N11" s="16"/>
      <c r="O11" s="16"/>
      <c r="P11" s="17"/>
      <c r="Q11" s="18"/>
      <c r="R11" s="18"/>
      <c r="S11" s="19"/>
      <c r="T11" s="19"/>
    </row>
    <row r="12" spans="1:20" ht="14.4" x14ac:dyDescent="0.3">
      <c r="A12" s="10">
        <v>45353</v>
      </c>
      <c r="B12" s="11" t="s">
        <v>77</v>
      </c>
      <c r="C12" s="12">
        <v>18313</v>
      </c>
      <c r="D12" s="13"/>
      <c r="E12" s="14">
        <v>1920</v>
      </c>
      <c r="F12" s="20"/>
      <c r="G12" s="15"/>
      <c r="H12" s="16"/>
      <c r="I12" s="16"/>
      <c r="J12" s="16">
        <f>E12</f>
        <v>1920</v>
      </c>
      <c r="K12" s="16"/>
      <c r="L12" s="16"/>
      <c r="M12" s="16"/>
      <c r="N12" s="16"/>
      <c r="O12" s="16"/>
      <c r="P12" s="17"/>
      <c r="Q12" s="18"/>
      <c r="R12" s="18"/>
      <c r="S12" s="19"/>
      <c r="T12" s="19"/>
    </row>
    <row r="13" spans="1:20" ht="14.4" x14ac:dyDescent="0.3">
      <c r="A13" s="10">
        <v>45353</v>
      </c>
      <c r="B13" s="11" t="s">
        <v>71</v>
      </c>
      <c r="C13" s="12">
        <v>18314</v>
      </c>
      <c r="D13" s="13"/>
      <c r="E13" s="14">
        <v>2500</v>
      </c>
      <c r="F13" s="20"/>
      <c r="G13" s="15"/>
      <c r="H13" s="16"/>
      <c r="I13" s="16"/>
      <c r="J13" s="16"/>
      <c r="K13" s="16"/>
      <c r="L13" s="16"/>
      <c r="M13" s="16"/>
      <c r="N13" s="16"/>
      <c r="O13" s="16"/>
      <c r="P13" s="17"/>
      <c r="Q13" s="18"/>
      <c r="R13" s="18">
        <f>E13</f>
        <v>2500</v>
      </c>
      <c r="S13" s="19"/>
      <c r="T13" s="19"/>
    </row>
    <row r="14" spans="1:20" ht="14.4" x14ac:dyDescent="0.3">
      <c r="A14" s="10">
        <v>45355</v>
      </c>
      <c r="B14" s="11" t="s">
        <v>102</v>
      </c>
      <c r="C14" s="12">
        <v>18315</v>
      </c>
      <c r="D14" s="13"/>
      <c r="E14" s="14">
        <v>100</v>
      </c>
      <c r="F14" s="20"/>
      <c r="G14" s="15"/>
      <c r="H14" s="16"/>
      <c r="I14" s="16"/>
      <c r="J14" s="16"/>
      <c r="K14" s="16"/>
      <c r="L14" s="16"/>
      <c r="M14" s="16"/>
      <c r="N14" s="16">
        <f>E14</f>
        <v>100</v>
      </c>
      <c r="O14" s="16"/>
      <c r="P14" s="17"/>
      <c r="Q14" s="18"/>
      <c r="R14" s="18"/>
      <c r="S14" s="19"/>
      <c r="T14" s="19"/>
    </row>
    <row r="15" spans="1:20" ht="14.4" x14ac:dyDescent="0.3">
      <c r="A15" s="10">
        <v>45355</v>
      </c>
      <c r="B15" s="11" t="s">
        <v>100</v>
      </c>
      <c r="C15" s="12">
        <v>18316</v>
      </c>
      <c r="D15" s="13"/>
      <c r="E15" s="14">
        <v>950</v>
      </c>
      <c r="F15" s="20"/>
      <c r="G15" s="15">
        <f>E15</f>
        <v>950</v>
      </c>
      <c r="H15" s="16"/>
      <c r="I15" s="16"/>
      <c r="J15" s="16"/>
      <c r="K15" s="16"/>
      <c r="L15" s="16"/>
      <c r="M15" s="16"/>
      <c r="N15" s="16"/>
      <c r="O15" s="16"/>
      <c r="P15" s="17"/>
      <c r="Q15" s="18"/>
      <c r="R15" s="18"/>
      <c r="S15" s="19"/>
      <c r="T15" s="19"/>
    </row>
    <row r="16" spans="1:20" ht="14.4" x14ac:dyDescent="0.3">
      <c r="A16" s="10">
        <v>45355</v>
      </c>
      <c r="B16" s="11" t="s">
        <v>103</v>
      </c>
      <c r="C16" s="12">
        <v>18317</v>
      </c>
      <c r="D16" s="13"/>
      <c r="E16" s="20">
        <v>3530</v>
      </c>
      <c r="F16" s="20"/>
      <c r="G16" s="15"/>
      <c r="H16" s="16"/>
      <c r="I16" s="16"/>
      <c r="J16" s="16">
        <f>E16</f>
        <v>3530</v>
      </c>
      <c r="K16" s="16"/>
      <c r="L16" s="16"/>
      <c r="M16" s="16"/>
      <c r="N16" s="16"/>
      <c r="O16" s="16"/>
      <c r="P16" s="17"/>
      <c r="Q16" s="18"/>
      <c r="R16" s="18"/>
      <c r="S16" s="19"/>
      <c r="T16" s="19"/>
    </row>
    <row r="17" spans="1:20" ht="14.4" x14ac:dyDescent="0.3">
      <c r="A17" s="10">
        <v>45357</v>
      </c>
      <c r="B17" s="11" t="s">
        <v>77</v>
      </c>
      <c r="C17" s="12">
        <v>18318</v>
      </c>
      <c r="D17" s="13"/>
      <c r="E17" s="20">
        <v>1680</v>
      </c>
      <c r="F17" s="20"/>
      <c r="G17" s="15"/>
      <c r="H17" s="16"/>
      <c r="I17" s="16"/>
      <c r="J17" s="16">
        <f>E17</f>
        <v>1680</v>
      </c>
      <c r="K17" s="16"/>
      <c r="L17" s="16"/>
      <c r="M17" s="16"/>
      <c r="N17" s="16"/>
      <c r="O17" s="16"/>
      <c r="P17" s="17"/>
      <c r="Q17" s="18"/>
      <c r="R17" s="18"/>
      <c r="S17" s="19"/>
      <c r="T17" s="19"/>
    </row>
    <row r="18" spans="1:20" ht="14.4" x14ac:dyDescent="0.3">
      <c r="A18" s="10">
        <v>45357</v>
      </c>
      <c r="B18" s="11" t="s">
        <v>104</v>
      </c>
      <c r="C18" s="12">
        <v>18319</v>
      </c>
      <c r="D18" s="13"/>
      <c r="E18" s="20">
        <v>300</v>
      </c>
      <c r="F18" s="20">
        <f>E18</f>
        <v>300</v>
      </c>
      <c r="G18" s="15"/>
      <c r="H18" s="16"/>
      <c r="I18" s="16"/>
      <c r="J18" s="16"/>
      <c r="K18" s="16"/>
      <c r="L18" s="16"/>
      <c r="M18" s="16"/>
      <c r="N18" s="16"/>
      <c r="O18" s="16"/>
      <c r="P18" s="17"/>
      <c r="Q18" s="18"/>
      <c r="R18" s="18"/>
      <c r="S18" s="19"/>
      <c r="T18" s="19"/>
    </row>
    <row r="19" spans="1:20" ht="15" thickBot="1" x14ac:dyDescent="0.35">
      <c r="A19" s="32"/>
      <c r="B19" s="32"/>
      <c r="C19" s="32"/>
      <c r="D19" s="64"/>
      <c r="E19" s="65">
        <f>SUM(E7:E18)</f>
        <v>15630</v>
      </c>
      <c r="F19" s="65">
        <f t="shared" ref="F19:S19" si="0">SUM(F7:F18)</f>
        <v>300</v>
      </c>
      <c r="G19" s="65">
        <f t="shared" si="0"/>
        <v>2360</v>
      </c>
      <c r="H19" s="65">
        <f t="shared" si="0"/>
        <v>0</v>
      </c>
      <c r="I19" s="65">
        <f t="shared" si="0"/>
        <v>0</v>
      </c>
      <c r="J19" s="65">
        <f t="shared" si="0"/>
        <v>9720</v>
      </c>
      <c r="K19" s="65">
        <f t="shared" si="0"/>
        <v>0</v>
      </c>
      <c r="L19" s="65">
        <f t="shared" si="0"/>
        <v>0</v>
      </c>
      <c r="M19" s="65">
        <f t="shared" si="0"/>
        <v>650</v>
      </c>
      <c r="N19" s="65">
        <f t="shared" si="0"/>
        <v>100</v>
      </c>
      <c r="O19" s="65">
        <f t="shared" si="0"/>
        <v>0</v>
      </c>
      <c r="P19" s="65">
        <f t="shared" si="0"/>
        <v>0</v>
      </c>
      <c r="Q19" s="65">
        <f t="shared" si="0"/>
        <v>0</v>
      </c>
      <c r="R19" s="65">
        <f t="shared" si="0"/>
        <v>2500</v>
      </c>
      <c r="S19" s="65">
        <f t="shared" si="0"/>
        <v>0</v>
      </c>
      <c r="T19" s="34"/>
    </row>
    <row r="20" spans="1:20" ht="15" thickTop="1" x14ac:dyDescent="0.3">
      <c r="A20" s="213"/>
      <c r="B20" s="213"/>
      <c r="C20" s="35"/>
      <c r="D20" s="3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20" ht="16.2" thickBot="1" x14ac:dyDescent="0.35">
      <c r="D21" s="38"/>
      <c r="N21" s="201"/>
      <c r="O21" s="201"/>
      <c r="P21" s="201"/>
    </row>
    <row r="22" spans="1:20" ht="29.4" thickBot="1" x14ac:dyDescent="0.6">
      <c r="B22" s="40"/>
      <c r="C22" s="41"/>
      <c r="D22" s="196">
        <f>E19</f>
        <v>15630</v>
      </c>
      <c r="E22" s="197">
        <f>SUM(E7:E21)</f>
        <v>31260</v>
      </c>
      <c r="F22" s="42"/>
      <c r="G22" s="42"/>
      <c r="H22" s="43"/>
      <c r="I22" s="43"/>
      <c r="J22" s="43"/>
      <c r="K22" s="43"/>
      <c r="L22" s="43"/>
      <c r="M22" s="43"/>
    </row>
    <row r="23" spans="1:20" x14ac:dyDescent="0.3">
      <c r="A23" s="44" t="s">
        <v>43</v>
      </c>
      <c r="B23" s="45"/>
      <c r="C23" s="45"/>
      <c r="D23" s="45"/>
      <c r="E23" s="46"/>
      <c r="F23" s="46"/>
      <c r="G23" s="46"/>
      <c r="H23" s="46"/>
      <c r="I23" s="46"/>
      <c r="J23" s="46"/>
      <c r="K23" s="46"/>
      <c r="L23" s="46"/>
      <c r="M23" s="46"/>
      <c r="N23" s="47"/>
      <c r="O23" s="5"/>
      <c r="P23" s="5"/>
    </row>
    <row r="24" spans="1:20" x14ac:dyDescent="0.3">
      <c r="A24" s="44"/>
      <c r="B24" s="45"/>
      <c r="C24" s="45"/>
      <c r="D24" s="45"/>
      <c r="E24" s="46" t="s">
        <v>44</v>
      </c>
      <c r="F24" s="46"/>
      <c r="G24" s="46"/>
      <c r="H24" s="46"/>
      <c r="I24" s="46"/>
      <c r="J24" s="46"/>
      <c r="K24" s="46"/>
      <c r="L24" s="46"/>
      <c r="M24" s="46"/>
      <c r="N24" s="47"/>
      <c r="O24" s="5"/>
      <c r="P24" s="5"/>
    </row>
    <row r="25" spans="1:20" x14ac:dyDescent="0.3">
      <c r="A25" s="44"/>
      <c r="B25" s="45"/>
      <c r="C25" s="45"/>
      <c r="D25" s="45"/>
      <c r="E25" s="46"/>
      <c r="F25" s="46"/>
      <c r="G25" s="46"/>
      <c r="H25" s="46"/>
      <c r="I25" s="46"/>
      <c r="J25" s="46"/>
      <c r="K25" s="46"/>
      <c r="L25" s="46"/>
      <c r="M25" s="46"/>
      <c r="N25" s="47"/>
      <c r="O25" s="5"/>
      <c r="P25" s="5"/>
    </row>
    <row r="26" spans="1:20" ht="16.2" x14ac:dyDescent="0.35">
      <c r="A26" s="48"/>
      <c r="B26" s="49"/>
      <c r="D26" s="50"/>
      <c r="E26" s="50"/>
      <c r="F26" s="50"/>
      <c r="G26" s="50"/>
      <c r="H26" s="50"/>
      <c r="J26" s="50"/>
      <c r="L26" s="51"/>
      <c r="M26" s="50"/>
      <c r="N26" s="52"/>
      <c r="O26" s="50"/>
      <c r="Q26" s="51"/>
      <c r="R26" s="50"/>
      <c r="S26" s="50"/>
      <c r="T26" s="50"/>
    </row>
    <row r="27" spans="1:20" ht="16.2" x14ac:dyDescent="0.35">
      <c r="A27" s="48"/>
      <c r="B27" s="66" t="s">
        <v>46</v>
      </c>
      <c r="D27" s="50" t="s">
        <v>47</v>
      </c>
      <c r="E27" s="50"/>
      <c r="F27" s="50"/>
      <c r="G27" s="50" t="s">
        <v>47</v>
      </c>
      <c r="J27" s="50"/>
      <c r="L27" s="51"/>
      <c r="M27" s="50"/>
      <c r="N27" s="52" t="s">
        <v>48</v>
      </c>
      <c r="O27" s="50" t="s">
        <v>48</v>
      </c>
      <c r="Q27" s="51"/>
      <c r="R27" s="50"/>
      <c r="S27" s="50"/>
      <c r="T27" s="50"/>
    </row>
    <row r="28" spans="1:20" ht="16.2" x14ac:dyDescent="0.35">
      <c r="A28" s="48"/>
      <c r="B28" s="66" t="s">
        <v>49</v>
      </c>
      <c r="D28" s="50" t="s">
        <v>50</v>
      </c>
      <c r="E28" s="50"/>
      <c r="F28" s="50"/>
      <c r="G28" s="50" t="s">
        <v>51</v>
      </c>
      <c r="J28" s="50"/>
      <c r="L28" s="51"/>
      <c r="M28" s="50"/>
      <c r="N28" s="52" t="s">
        <v>52</v>
      </c>
      <c r="O28" s="50" t="s">
        <v>52</v>
      </c>
      <c r="Q28" s="51"/>
      <c r="R28" s="50"/>
      <c r="S28" s="50"/>
      <c r="T28" s="50"/>
    </row>
    <row r="29" spans="1:20" ht="16.2" x14ac:dyDescent="0.35">
      <c r="A29" s="48"/>
      <c r="B29" s="66" t="s">
        <v>105</v>
      </c>
      <c r="D29" s="50" t="s">
        <v>54</v>
      </c>
      <c r="E29" s="50"/>
      <c r="F29" s="50"/>
      <c r="G29" s="50" t="s">
        <v>55</v>
      </c>
      <c r="J29" s="50"/>
      <c r="L29" s="51"/>
      <c r="M29" s="50"/>
      <c r="N29" s="52" t="s">
        <v>56</v>
      </c>
      <c r="O29" s="50" t="s">
        <v>56</v>
      </c>
      <c r="Q29" s="51"/>
      <c r="R29" s="50"/>
      <c r="S29" s="50"/>
      <c r="T29" s="50"/>
    </row>
    <row r="30" spans="1:20" ht="16.2" x14ac:dyDescent="0.35">
      <c r="A30" s="48"/>
      <c r="B30" s="52" t="s">
        <v>106</v>
      </c>
      <c r="D30" s="50" t="s">
        <v>58</v>
      </c>
      <c r="E30" s="50"/>
      <c r="F30" s="50"/>
      <c r="G30" s="50" t="s">
        <v>59</v>
      </c>
      <c r="J30" s="50"/>
      <c r="L30" s="51"/>
      <c r="M30" s="50"/>
      <c r="N30" s="52" t="s">
        <v>60</v>
      </c>
      <c r="O30" s="50" t="s">
        <v>60</v>
      </c>
      <c r="Q30" s="51"/>
      <c r="R30" s="50"/>
      <c r="S30" s="50"/>
      <c r="T30" s="50"/>
    </row>
    <row r="31" spans="1:20" ht="14.4" x14ac:dyDescent="0.3">
      <c r="A31" s="48"/>
      <c r="B31" s="48"/>
      <c r="C31" s="48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</row>
    <row r="32" spans="1:20" x14ac:dyDescent="0.3">
      <c r="B32" s="54"/>
      <c r="C32" s="54"/>
    </row>
    <row r="33" spans="1:20" x14ac:dyDescent="0.3">
      <c r="A33" s="54"/>
      <c r="B33" s="54"/>
      <c r="C33" s="54"/>
    </row>
    <row r="34" spans="1:20" x14ac:dyDescent="0.3">
      <c r="A34" s="54"/>
      <c r="B34" s="54"/>
      <c r="C34" s="54"/>
    </row>
    <row r="35" spans="1:20" x14ac:dyDescent="0.3">
      <c r="A35" s="54"/>
      <c r="B35" s="54"/>
      <c r="C35" s="54"/>
    </row>
    <row r="36" spans="1:20" x14ac:dyDescent="0.3">
      <c r="A36" s="54"/>
      <c r="B36" s="54"/>
      <c r="C36" s="54"/>
    </row>
    <row r="37" spans="1:20" x14ac:dyDescent="0.3">
      <c r="A37" s="54"/>
      <c r="B37" s="54"/>
      <c r="C37" s="54"/>
    </row>
    <row r="38" spans="1:20" x14ac:dyDescent="0.3">
      <c r="A38" s="54"/>
      <c r="B38" s="54"/>
      <c r="C38" s="54"/>
    </row>
    <row r="39" spans="1:20" x14ac:dyDescent="0.3">
      <c r="A39" s="54"/>
      <c r="B39" s="54"/>
      <c r="C39" s="54"/>
    </row>
    <row r="40" spans="1:20" x14ac:dyDescent="0.3">
      <c r="A40" s="54"/>
      <c r="B40" s="54"/>
      <c r="C40" s="54"/>
    </row>
    <row r="41" spans="1:20" x14ac:dyDescent="0.3">
      <c r="A41" s="54"/>
      <c r="B41" s="54"/>
      <c r="C41" s="54"/>
    </row>
    <row r="42" spans="1:20" x14ac:dyDescent="0.3">
      <c r="A42" s="54"/>
      <c r="B42" s="54"/>
      <c r="C42" s="54"/>
    </row>
    <row r="43" spans="1:20" x14ac:dyDescent="0.3">
      <c r="A43" s="54"/>
      <c r="B43" s="54"/>
      <c r="C43" s="54"/>
    </row>
    <row r="44" spans="1:20" x14ac:dyDescent="0.3">
      <c r="A44" s="54"/>
      <c r="B44" s="54"/>
      <c r="C44" s="54"/>
    </row>
    <row r="45" spans="1:20" x14ac:dyDescent="0.3">
      <c r="A45" s="54"/>
      <c r="B45" s="54"/>
      <c r="C45" s="54"/>
    </row>
    <row r="46" spans="1:20" s="38" customFormat="1" x14ac:dyDescent="0.3">
      <c r="A46" s="54"/>
      <c r="B46" s="54"/>
      <c r="C46" s="54"/>
      <c r="D46" s="37"/>
      <c r="Q46" s="5"/>
      <c r="R46" s="5"/>
      <c r="S46" s="5"/>
      <c r="T46" s="5"/>
    </row>
    <row r="47" spans="1:20" s="38" customFormat="1" x14ac:dyDescent="0.3">
      <c r="A47" s="54"/>
      <c r="B47" s="54"/>
      <c r="C47" s="54"/>
      <c r="D47" s="37"/>
      <c r="Q47" s="5"/>
      <c r="R47" s="5"/>
      <c r="S47" s="5"/>
      <c r="T47" s="5"/>
    </row>
    <row r="48" spans="1:20" s="38" customFormat="1" x14ac:dyDescent="0.3">
      <c r="A48" s="54"/>
      <c r="B48" s="54"/>
      <c r="C48" s="54"/>
      <c r="D48" s="37"/>
      <c r="G48" s="38" t="s">
        <v>44</v>
      </c>
      <c r="Q48" s="5"/>
      <c r="R48" s="5"/>
      <c r="S48" s="5"/>
      <c r="T48" s="5"/>
    </row>
    <row r="49" spans="1:20" s="38" customFormat="1" x14ac:dyDescent="0.3">
      <c r="A49" s="54"/>
      <c r="B49" s="54"/>
      <c r="C49" s="54"/>
      <c r="D49" s="37"/>
      <c r="Q49" s="5"/>
      <c r="R49" s="5"/>
      <c r="S49" s="5"/>
      <c r="T49" s="5"/>
    </row>
    <row r="50" spans="1:20" s="38" customFormat="1" x14ac:dyDescent="0.3">
      <c r="A50" s="54"/>
      <c r="B50" s="54"/>
      <c r="C50" s="54"/>
      <c r="D50" s="37"/>
      <c r="Q50" s="5"/>
      <c r="R50" s="5"/>
      <c r="S50" s="5"/>
      <c r="T50" s="5"/>
    </row>
    <row r="51" spans="1:20" s="38" customFormat="1" x14ac:dyDescent="0.3">
      <c r="A51" s="54"/>
      <c r="B51" s="54"/>
      <c r="C51" s="54"/>
      <c r="D51" s="37"/>
      <c r="Q51" s="5"/>
      <c r="R51" s="5"/>
      <c r="S51" s="5"/>
      <c r="T51" s="5"/>
    </row>
    <row r="52" spans="1:20" s="38" customFormat="1" x14ac:dyDescent="0.3">
      <c r="A52" s="54"/>
      <c r="B52" s="54"/>
      <c r="C52" s="54"/>
      <c r="D52" s="37"/>
      <c r="Q52" s="5"/>
      <c r="R52" s="5"/>
      <c r="S52" s="5"/>
      <c r="T52" s="5"/>
    </row>
    <row r="53" spans="1:20" s="38" customFormat="1" x14ac:dyDescent="0.3">
      <c r="A53" s="54"/>
      <c r="B53" s="54"/>
      <c r="C53" s="54"/>
      <c r="D53" s="37"/>
      <c r="Q53" s="5"/>
      <c r="R53" s="5"/>
      <c r="S53" s="5"/>
      <c r="T53" s="5"/>
    </row>
    <row r="54" spans="1:20" s="38" customFormat="1" x14ac:dyDescent="0.3">
      <c r="A54" s="54"/>
      <c r="B54" s="54"/>
      <c r="C54" s="54"/>
      <c r="D54" s="37"/>
      <c r="Q54" s="5"/>
      <c r="R54" s="5"/>
      <c r="S54" s="5"/>
      <c r="T54" s="5"/>
    </row>
    <row r="55" spans="1:20" s="38" customFormat="1" x14ac:dyDescent="0.3">
      <c r="A55" s="54"/>
      <c r="B55" s="54"/>
      <c r="C55" s="54"/>
      <c r="D55" s="37"/>
      <c r="Q55" s="5"/>
      <c r="R55" s="5"/>
      <c r="S55" s="5"/>
      <c r="T55" s="5"/>
    </row>
    <row r="56" spans="1:20" s="38" customFormat="1" x14ac:dyDescent="0.3">
      <c r="A56" s="54"/>
      <c r="B56" s="54"/>
      <c r="C56" s="54"/>
      <c r="D56" s="37"/>
      <c r="Q56" s="5"/>
      <c r="R56" s="5"/>
      <c r="S56" s="5"/>
      <c r="T56" s="5"/>
    </row>
    <row r="57" spans="1:20" s="38" customFormat="1" x14ac:dyDescent="0.3">
      <c r="A57" s="54"/>
      <c r="B57" s="54"/>
      <c r="C57" s="54"/>
      <c r="D57" s="37"/>
      <c r="Q57" s="5"/>
      <c r="R57" s="5"/>
      <c r="S57" s="5"/>
      <c r="T57" s="5"/>
    </row>
    <row r="58" spans="1:20" s="38" customFormat="1" x14ac:dyDescent="0.3">
      <c r="A58" s="54"/>
      <c r="B58" s="54"/>
      <c r="C58" s="54"/>
      <c r="D58" s="37"/>
      <c r="Q58" s="5"/>
      <c r="R58" s="5"/>
      <c r="S58" s="5"/>
      <c r="T58" s="5"/>
    </row>
    <row r="59" spans="1:20" s="38" customFormat="1" x14ac:dyDescent="0.3">
      <c r="A59" s="54"/>
      <c r="B59" s="54"/>
      <c r="C59" s="54"/>
      <c r="D59" s="37"/>
      <c r="Q59" s="5"/>
      <c r="R59" s="5"/>
      <c r="S59" s="5"/>
      <c r="T59" s="5"/>
    </row>
    <row r="60" spans="1:20" s="38" customFormat="1" x14ac:dyDescent="0.3">
      <c r="A60" s="54"/>
      <c r="B60" s="54"/>
      <c r="C60" s="54"/>
      <c r="D60" s="37"/>
      <c r="Q60" s="5"/>
      <c r="R60" s="5"/>
      <c r="S60" s="5"/>
      <c r="T60" s="5"/>
    </row>
  </sheetData>
  <mergeCells count="9">
    <mergeCell ref="A20:B20"/>
    <mergeCell ref="N21:P21"/>
    <mergeCell ref="D22:E22"/>
    <mergeCell ref="H3:P3"/>
    <mergeCell ref="A4:A5"/>
    <mergeCell ref="B4:B5"/>
    <mergeCell ref="C4:C5"/>
    <mergeCell ref="D4:D5"/>
    <mergeCell ref="E4:T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0F39-1332-42E0-B610-9D2794853E86}">
  <dimension ref="A1:S65"/>
  <sheetViews>
    <sheetView workbookViewId="0">
      <selection sqref="A1:XFD1048576"/>
    </sheetView>
  </sheetViews>
  <sheetFormatPr defaultRowHeight="15.6" x14ac:dyDescent="0.3"/>
  <cols>
    <col min="1" max="1" width="11.109375" style="37" customWidth="1"/>
    <col min="2" max="2" width="49.6640625" style="37" customWidth="1"/>
    <col min="3" max="3" width="8.44140625" style="37" customWidth="1"/>
    <col min="4" max="4" width="11.44140625" style="37" customWidth="1"/>
    <col min="5" max="5" width="14.6640625" style="38" customWidth="1"/>
    <col min="6" max="6" width="13.109375" style="38" customWidth="1"/>
    <col min="7" max="7" width="13" style="38" customWidth="1"/>
    <col min="8" max="8" width="10.109375" style="38" customWidth="1"/>
    <col min="9" max="9" width="14.109375" style="38" customWidth="1"/>
    <col min="10" max="10" width="10.88671875" style="38" customWidth="1"/>
    <col min="11" max="11" width="10.44140625" style="38" customWidth="1"/>
    <col min="12" max="12" width="10.5546875" style="38" customWidth="1"/>
    <col min="13" max="13" width="10.109375" style="38" customWidth="1"/>
    <col min="14" max="14" width="29" style="38" customWidth="1"/>
    <col min="15" max="15" width="10.44140625" style="38" customWidth="1"/>
    <col min="16" max="16" width="7.6640625" style="5" customWidth="1"/>
    <col min="17" max="17" width="9.88671875" style="5" customWidth="1"/>
    <col min="18" max="18" width="10.5546875" style="5" bestFit="1" customWidth="1"/>
    <col min="19" max="19" width="9.6640625" style="5" hidden="1" customWidth="1"/>
  </cols>
  <sheetData>
    <row r="1" spans="1:19" ht="29.4" x14ac:dyDescent="0.45">
      <c r="A1" s="1" t="s">
        <v>0</v>
      </c>
      <c r="B1" s="2"/>
      <c r="C1" s="2"/>
      <c r="D1" s="3"/>
      <c r="E1" s="3"/>
      <c r="F1" s="3"/>
      <c r="G1" s="3"/>
      <c r="H1" s="3"/>
      <c r="I1" s="3" t="s">
        <v>1</v>
      </c>
      <c r="J1" s="4"/>
      <c r="K1" s="4"/>
      <c r="L1" s="4"/>
      <c r="M1" s="4"/>
      <c r="N1" s="4"/>
      <c r="O1" s="4"/>
    </row>
    <row r="2" spans="1:19" ht="29.4" x14ac:dyDescent="0.45">
      <c r="A2" s="1" t="s">
        <v>2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9" ht="20.399999999999999" x14ac:dyDescent="0.3">
      <c r="A3" s="6"/>
      <c r="B3" s="6"/>
      <c r="C3" s="6"/>
      <c r="D3" s="7"/>
      <c r="E3" s="7"/>
      <c r="F3" s="7"/>
      <c r="G3" s="63" t="s">
        <v>85</v>
      </c>
      <c r="H3" s="63"/>
      <c r="I3" s="63"/>
      <c r="J3" s="63"/>
      <c r="K3" s="63"/>
      <c r="L3" s="63"/>
      <c r="M3" s="63"/>
      <c r="N3" s="63"/>
      <c r="O3" s="63"/>
    </row>
    <row r="4" spans="1:19" ht="15" customHeight="1" x14ac:dyDescent="0.3">
      <c r="A4" s="204" t="s">
        <v>4</v>
      </c>
      <c r="B4" s="206" t="s">
        <v>5</v>
      </c>
      <c r="C4" s="208" t="s">
        <v>6</v>
      </c>
      <c r="D4" s="208" t="s">
        <v>7</v>
      </c>
      <c r="E4" s="210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2"/>
    </row>
    <row r="5" spans="1:19" ht="79.2" x14ac:dyDescent="0.3">
      <c r="A5" s="205"/>
      <c r="B5" s="207"/>
      <c r="C5" s="209"/>
      <c r="D5" s="209"/>
      <c r="E5" s="9" t="s">
        <v>8</v>
      </c>
      <c r="F5" s="9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9" t="s">
        <v>15</v>
      </c>
      <c r="L5" s="9" t="s">
        <v>16</v>
      </c>
      <c r="M5" s="9" t="s">
        <v>86</v>
      </c>
      <c r="N5" s="9" t="s">
        <v>63</v>
      </c>
      <c r="O5" s="9" t="s">
        <v>19</v>
      </c>
      <c r="P5" s="9" t="s">
        <v>12</v>
      </c>
      <c r="Q5" s="9" t="s">
        <v>64</v>
      </c>
      <c r="R5" s="9" t="s">
        <v>65</v>
      </c>
      <c r="S5" s="9" t="s">
        <v>66</v>
      </c>
    </row>
    <row r="6" spans="1:19" ht="14.4" x14ac:dyDescent="0.3">
      <c r="A6" s="10"/>
      <c r="B6" s="11"/>
      <c r="C6" s="12"/>
      <c r="D6" s="13"/>
      <c r="E6" s="14"/>
      <c r="F6" s="15"/>
      <c r="G6" s="16"/>
      <c r="H6" s="16"/>
      <c r="I6" s="16"/>
      <c r="J6" s="16"/>
      <c r="K6" s="16"/>
      <c r="L6" s="16"/>
      <c r="M6" s="16"/>
      <c r="N6" s="16"/>
      <c r="O6" s="17"/>
      <c r="P6" s="18"/>
      <c r="Q6" s="18"/>
      <c r="R6" s="18"/>
      <c r="S6" s="18"/>
    </row>
    <row r="7" spans="1:19" ht="14.4" x14ac:dyDescent="0.3">
      <c r="A7" s="10"/>
      <c r="B7" s="11" t="s">
        <v>43</v>
      </c>
      <c r="C7" s="12"/>
      <c r="D7" s="13"/>
      <c r="E7" s="14"/>
      <c r="F7" s="15"/>
      <c r="G7" s="16"/>
      <c r="H7" s="16"/>
      <c r="I7" s="16"/>
      <c r="J7" s="16"/>
      <c r="K7" s="16"/>
      <c r="L7" s="16"/>
      <c r="M7" s="16"/>
      <c r="N7" s="16"/>
      <c r="O7" s="17"/>
      <c r="P7" s="18"/>
      <c r="Q7" s="18"/>
      <c r="R7" s="19"/>
      <c r="S7" s="19"/>
    </row>
    <row r="8" spans="1:19" ht="14.4" x14ac:dyDescent="0.3">
      <c r="A8" s="10">
        <v>45331</v>
      </c>
      <c r="B8" s="11" t="s">
        <v>87</v>
      </c>
      <c r="C8" s="12">
        <v>18293</v>
      </c>
      <c r="D8" s="13"/>
      <c r="E8" s="14">
        <v>1500</v>
      </c>
      <c r="F8" s="15"/>
      <c r="G8" s="16"/>
      <c r="H8" s="16"/>
      <c r="I8" s="16"/>
      <c r="J8" s="16"/>
      <c r="K8" s="16"/>
      <c r="L8" s="16"/>
      <c r="M8" s="16"/>
      <c r="N8" s="16"/>
      <c r="O8" s="17"/>
      <c r="P8" s="18"/>
      <c r="Q8" s="18"/>
      <c r="R8" s="19">
        <f>E8</f>
        <v>1500</v>
      </c>
      <c r="S8" s="19"/>
    </row>
    <row r="9" spans="1:19" ht="14.4" x14ac:dyDescent="0.3">
      <c r="A9" s="10">
        <v>45332</v>
      </c>
      <c r="B9" s="11" t="s">
        <v>87</v>
      </c>
      <c r="C9" s="12">
        <v>18294</v>
      </c>
      <c r="D9" s="13"/>
      <c r="E9" s="14">
        <v>1500</v>
      </c>
      <c r="F9" s="15"/>
      <c r="G9" s="16"/>
      <c r="H9" s="16"/>
      <c r="I9" s="16"/>
      <c r="J9" s="16"/>
      <c r="K9" s="16"/>
      <c r="L9" s="16"/>
      <c r="M9" s="16"/>
      <c r="N9" s="16"/>
      <c r="O9" s="17"/>
      <c r="P9" s="18"/>
      <c r="Q9" s="18"/>
      <c r="R9" s="19">
        <f>E9</f>
        <v>1500</v>
      </c>
      <c r="S9" s="19"/>
    </row>
    <row r="10" spans="1:19" ht="14.4" x14ac:dyDescent="0.3">
      <c r="A10" s="10">
        <v>45332</v>
      </c>
      <c r="B10" s="11" t="s">
        <v>88</v>
      </c>
      <c r="C10" s="12">
        <v>18295</v>
      </c>
      <c r="D10" s="13"/>
      <c r="E10" s="14">
        <v>2750</v>
      </c>
      <c r="F10" s="15"/>
      <c r="G10" s="16"/>
      <c r="H10" s="16"/>
      <c r="I10" s="16"/>
      <c r="J10" s="16">
        <f>E10</f>
        <v>2750</v>
      </c>
      <c r="K10" s="16"/>
      <c r="L10" s="16"/>
      <c r="M10" s="16"/>
      <c r="N10" s="16"/>
      <c r="O10" s="17"/>
      <c r="P10" s="18"/>
      <c r="Q10" s="18"/>
      <c r="R10" s="19"/>
      <c r="S10" s="19"/>
    </row>
    <row r="11" spans="1:19" ht="14.4" x14ac:dyDescent="0.3">
      <c r="A11" s="10">
        <v>45334</v>
      </c>
      <c r="B11" s="11" t="s">
        <v>89</v>
      </c>
      <c r="C11" s="12">
        <v>18296</v>
      </c>
      <c r="D11" s="13"/>
      <c r="E11" s="14">
        <v>1440</v>
      </c>
      <c r="F11" s="15"/>
      <c r="G11" s="16"/>
      <c r="H11" s="16"/>
      <c r="I11" s="16">
        <f>E11</f>
        <v>1440</v>
      </c>
      <c r="J11" s="16"/>
      <c r="K11" s="16"/>
      <c r="L11" s="16"/>
      <c r="M11" s="16"/>
      <c r="N11" s="16"/>
      <c r="O11" s="17"/>
      <c r="P11" s="18"/>
      <c r="Q11" s="18"/>
      <c r="R11" s="19"/>
      <c r="S11" s="19"/>
    </row>
    <row r="12" spans="1:19" ht="14.4" x14ac:dyDescent="0.3">
      <c r="A12" s="10">
        <v>45334</v>
      </c>
      <c r="B12" s="11" t="s">
        <v>90</v>
      </c>
      <c r="C12" s="12">
        <v>18297</v>
      </c>
      <c r="D12" s="13"/>
      <c r="E12" s="14">
        <v>320</v>
      </c>
      <c r="F12" s="15">
        <f>E12</f>
        <v>320</v>
      </c>
      <c r="G12" s="16"/>
      <c r="H12" s="16"/>
      <c r="I12" s="16"/>
      <c r="J12" s="16"/>
      <c r="K12" s="16"/>
      <c r="L12" s="16"/>
      <c r="M12" s="16"/>
      <c r="N12" s="16"/>
      <c r="O12" s="17"/>
      <c r="P12" s="18"/>
      <c r="Q12" s="18"/>
      <c r="R12" s="19"/>
      <c r="S12" s="19"/>
    </row>
    <row r="13" spans="1:19" ht="14.4" x14ac:dyDescent="0.3">
      <c r="A13" s="10">
        <v>45335</v>
      </c>
      <c r="B13" s="11" t="s">
        <v>91</v>
      </c>
      <c r="C13" s="12">
        <v>18298</v>
      </c>
      <c r="D13" s="13"/>
      <c r="E13" s="14">
        <v>150</v>
      </c>
      <c r="F13" s="15"/>
      <c r="G13" s="16"/>
      <c r="H13" s="16"/>
      <c r="I13" s="16"/>
      <c r="J13" s="16"/>
      <c r="K13" s="16"/>
      <c r="L13" s="16"/>
      <c r="M13" s="16"/>
      <c r="N13" s="16"/>
      <c r="O13" s="17"/>
      <c r="P13" s="18"/>
      <c r="Q13" s="18">
        <f>E13</f>
        <v>150</v>
      </c>
      <c r="R13" s="19"/>
      <c r="S13" s="19"/>
    </row>
    <row r="14" spans="1:19" ht="14.4" x14ac:dyDescent="0.3">
      <c r="A14" s="10">
        <v>45337</v>
      </c>
      <c r="B14" s="11" t="s">
        <v>89</v>
      </c>
      <c r="C14" s="12">
        <v>18299</v>
      </c>
      <c r="D14" s="13"/>
      <c r="E14" s="14">
        <v>1440</v>
      </c>
      <c r="F14" s="15"/>
      <c r="G14" s="16"/>
      <c r="H14" s="16"/>
      <c r="I14" s="16">
        <f>E14</f>
        <v>1440</v>
      </c>
      <c r="J14" s="16"/>
      <c r="K14" s="16"/>
      <c r="L14" s="16"/>
      <c r="M14" s="16"/>
      <c r="N14" s="16"/>
      <c r="O14" s="17"/>
      <c r="P14" s="18"/>
      <c r="Q14" s="18"/>
      <c r="R14" s="19"/>
      <c r="S14" s="19"/>
    </row>
    <row r="15" spans="1:19" ht="14.4" x14ac:dyDescent="0.3">
      <c r="A15" s="10">
        <v>45337</v>
      </c>
      <c r="B15" s="11" t="s">
        <v>92</v>
      </c>
      <c r="C15" s="12">
        <v>18300</v>
      </c>
      <c r="D15" s="13"/>
      <c r="E15" s="14">
        <v>450</v>
      </c>
      <c r="F15" s="15"/>
      <c r="G15" s="16"/>
      <c r="H15" s="16">
        <f>E15</f>
        <v>450</v>
      </c>
      <c r="I15" s="16"/>
      <c r="J15" s="16"/>
      <c r="K15" s="16"/>
      <c r="L15" s="16"/>
      <c r="M15" s="16"/>
      <c r="N15" s="16"/>
      <c r="O15" s="17"/>
      <c r="P15" s="18"/>
      <c r="Q15" s="18"/>
      <c r="R15" s="19"/>
      <c r="S15" s="19"/>
    </row>
    <row r="16" spans="1:19" ht="14.4" x14ac:dyDescent="0.3">
      <c r="A16" s="10">
        <v>45338</v>
      </c>
      <c r="B16" s="11" t="s">
        <v>93</v>
      </c>
      <c r="C16" s="12">
        <v>18301</v>
      </c>
      <c r="D16" s="13"/>
      <c r="E16" s="14">
        <v>2500</v>
      </c>
      <c r="F16" s="15"/>
      <c r="G16" s="16"/>
      <c r="H16" s="16"/>
      <c r="I16" s="16"/>
      <c r="J16" s="16"/>
      <c r="K16" s="16"/>
      <c r="L16" s="16"/>
      <c r="M16" s="16"/>
      <c r="N16" s="16"/>
      <c r="O16" s="17"/>
      <c r="P16" s="18"/>
      <c r="Q16" s="18">
        <f>E16</f>
        <v>2500</v>
      </c>
      <c r="R16" s="19"/>
      <c r="S16" s="19"/>
    </row>
    <row r="17" spans="1:19" ht="14.4" x14ac:dyDescent="0.3">
      <c r="A17" s="10">
        <v>45344</v>
      </c>
      <c r="B17" s="11" t="s">
        <v>94</v>
      </c>
      <c r="C17" s="12">
        <v>18302</v>
      </c>
      <c r="D17" s="13"/>
      <c r="E17" s="20">
        <v>1360</v>
      </c>
      <c r="F17" s="15">
        <f>E17</f>
        <v>1360</v>
      </c>
      <c r="G17" s="16"/>
      <c r="H17" s="16"/>
      <c r="I17" s="16"/>
      <c r="J17" s="16"/>
      <c r="K17" s="16"/>
      <c r="L17" s="16"/>
      <c r="M17" s="16"/>
      <c r="N17" s="16"/>
      <c r="O17" s="17"/>
      <c r="P17" s="18"/>
      <c r="Q17" s="18"/>
      <c r="R17" s="19"/>
      <c r="S17" s="19"/>
    </row>
    <row r="18" spans="1:19" ht="14.4" x14ac:dyDescent="0.3">
      <c r="A18" s="10">
        <v>45344</v>
      </c>
      <c r="B18" s="11" t="s">
        <v>89</v>
      </c>
      <c r="C18" s="12">
        <v>18303</v>
      </c>
      <c r="D18" s="13"/>
      <c r="E18" s="20">
        <v>480</v>
      </c>
      <c r="F18" s="15"/>
      <c r="G18" s="16"/>
      <c r="H18" s="16"/>
      <c r="I18" s="16">
        <f>E18</f>
        <v>480</v>
      </c>
      <c r="J18" s="16"/>
      <c r="K18" s="16"/>
      <c r="L18" s="16"/>
      <c r="M18" s="16"/>
      <c r="N18" s="16"/>
      <c r="O18" s="17"/>
      <c r="P18" s="18"/>
      <c r="Q18" s="18"/>
      <c r="R18" s="19"/>
      <c r="S18" s="19"/>
    </row>
    <row r="19" spans="1:19" ht="14.4" x14ac:dyDescent="0.3">
      <c r="A19" s="10">
        <v>45344</v>
      </c>
      <c r="B19" s="11" t="s">
        <v>95</v>
      </c>
      <c r="C19" s="12">
        <v>18304</v>
      </c>
      <c r="D19" s="13"/>
      <c r="E19" s="20">
        <v>100</v>
      </c>
      <c r="F19" s="15"/>
      <c r="G19" s="16"/>
      <c r="H19" s="16"/>
      <c r="I19" s="16"/>
      <c r="J19" s="16"/>
      <c r="K19" s="16"/>
      <c r="L19" s="16"/>
      <c r="M19" s="16">
        <f>E19</f>
        <v>100</v>
      </c>
      <c r="N19" s="16"/>
      <c r="O19" s="17"/>
      <c r="P19" s="18"/>
      <c r="Q19" s="18"/>
      <c r="R19" s="19"/>
      <c r="S19" s="19"/>
    </row>
    <row r="20" spans="1:19" ht="14.4" x14ac:dyDescent="0.3">
      <c r="A20" s="10">
        <v>45344</v>
      </c>
      <c r="B20" s="11" t="s">
        <v>93</v>
      </c>
      <c r="C20" s="12">
        <v>18305</v>
      </c>
      <c r="D20" s="13"/>
      <c r="E20" s="20">
        <v>2000</v>
      </c>
      <c r="F20" s="15"/>
      <c r="G20" s="16"/>
      <c r="H20" s="16"/>
      <c r="I20" s="16"/>
      <c r="J20" s="16"/>
      <c r="K20" s="16"/>
      <c r="L20" s="16"/>
      <c r="M20" s="16"/>
      <c r="N20" s="16"/>
      <c r="O20" s="17"/>
      <c r="P20" s="18"/>
      <c r="Q20" s="18">
        <f>E20</f>
        <v>2000</v>
      </c>
      <c r="R20" s="19"/>
      <c r="S20" s="19"/>
    </row>
    <row r="21" spans="1:19" ht="14.4" x14ac:dyDescent="0.3">
      <c r="A21" s="10">
        <v>45344</v>
      </c>
      <c r="B21" s="11" t="s">
        <v>96</v>
      </c>
      <c r="C21" s="12">
        <v>18306</v>
      </c>
      <c r="D21" s="13"/>
      <c r="E21" s="20">
        <v>5400</v>
      </c>
      <c r="F21" s="15"/>
      <c r="G21" s="16"/>
      <c r="H21" s="16"/>
      <c r="I21" s="16"/>
      <c r="J21" s="16">
        <f>E21</f>
        <v>5400</v>
      </c>
      <c r="K21" s="16"/>
      <c r="L21" s="16"/>
      <c r="M21" s="16"/>
      <c r="N21" s="16"/>
      <c r="O21" s="17"/>
      <c r="P21" s="18"/>
      <c r="Q21" s="18"/>
      <c r="R21" s="19"/>
      <c r="S21" s="19"/>
    </row>
    <row r="22" spans="1:19" ht="14.4" x14ac:dyDescent="0.3">
      <c r="A22" s="10">
        <v>45344</v>
      </c>
      <c r="B22" s="11" t="s">
        <v>97</v>
      </c>
      <c r="C22" s="12">
        <v>18307</v>
      </c>
      <c r="D22" s="13"/>
      <c r="E22" s="20">
        <v>1920</v>
      </c>
      <c r="F22" s="15"/>
      <c r="G22" s="16"/>
      <c r="H22" s="16"/>
      <c r="I22" s="16">
        <f>E22</f>
        <v>1920</v>
      </c>
      <c r="J22" s="16"/>
      <c r="K22" s="16"/>
      <c r="L22" s="16"/>
      <c r="M22" s="16"/>
      <c r="N22" s="16"/>
      <c r="O22" s="17"/>
      <c r="P22" s="18"/>
      <c r="Q22" s="18"/>
      <c r="R22" s="19"/>
      <c r="S22" s="19"/>
    </row>
    <row r="23" spans="1:19" ht="14.4" x14ac:dyDescent="0.3">
      <c r="A23" s="21"/>
      <c r="B23" s="11"/>
      <c r="C23" s="12">
        <v>18308</v>
      </c>
      <c r="D23" s="24"/>
      <c r="E23" s="25"/>
      <c r="F23" s="15"/>
      <c r="G23" s="26"/>
      <c r="H23" s="26"/>
      <c r="I23" s="26"/>
      <c r="J23" s="26"/>
      <c r="K23" s="26"/>
      <c r="L23" s="27"/>
      <c r="M23" s="26"/>
      <c r="N23" s="28"/>
      <c r="O23" s="26"/>
      <c r="P23" s="29"/>
      <c r="Q23" s="29"/>
      <c r="R23" s="30"/>
      <c r="S23" s="31"/>
    </row>
    <row r="24" spans="1:19" ht="15" thickBot="1" x14ac:dyDescent="0.35">
      <c r="A24" s="60"/>
      <c r="B24" s="60"/>
      <c r="C24" s="60"/>
      <c r="D24" s="61"/>
      <c r="E24" s="62">
        <f>SUM(E7:E23)</f>
        <v>23310</v>
      </c>
      <c r="F24" s="62">
        <f>SUM(F8:F23)</f>
        <v>1680</v>
      </c>
      <c r="G24" s="62"/>
      <c r="H24" s="62"/>
      <c r="I24" s="62">
        <f>SUM(I8:I23)</f>
        <v>5280</v>
      </c>
      <c r="J24" s="62">
        <f>SUM(J8:J23)</f>
        <v>8150</v>
      </c>
      <c r="K24" s="62">
        <f>SUM(K8:K23)</f>
        <v>0</v>
      </c>
      <c r="L24" s="62">
        <f>SUM(L8:L23)</f>
        <v>0</v>
      </c>
      <c r="M24" s="62"/>
      <c r="N24" s="62"/>
      <c r="O24" s="62"/>
      <c r="P24" s="62"/>
      <c r="Q24" s="62">
        <f>SUM(Q8:Q23)</f>
        <v>4650</v>
      </c>
      <c r="R24" s="62">
        <f>SUM(R8:R23)</f>
        <v>3000</v>
      </c>
      <c r="S24" s="34"/>
    </row>
    <row r="25" spans="1:19" ht="15" thickTop="1" x14ac:dyDescent="0.3">
      <c r="A25" s="213"/>
      <c r="B25" s="213"/>
      <c r="C25" s="35"/>
      <c r="D25" s="3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9" ht="16.2" thickBot="1" x14ac:dyDescent="0.35">
      <c r="B26" s="37" t="s">
        <v>84</v>
      </c>
      <c r="D26" s="38"/>
      <c r="M26" s="201"/>
      <c r="N26" s="201"/>
      <c r="O26" s="201"/>
    </row>
    <row r="27" spans="1:19" ht="29.4" thickBot="1" x14ac:dyDescent="0.6">
      <c r="B27" s="40"/>
      <c r="C27" s="41"/>
      <c r="D27" s="196">
        <f>E24</f>
        <v>23310</v>
      </c>
      <c r="E27" s="197">
        <f>SUM(E7:E26)</f>
        <v>46620</v>
      </c>
      <c r="F27" s="42"/>
      <c r="G27" s="43"/>
      <c r="H27" s="43"/>
      <c r="I27" s="43"/>
      <c r="J27" s="43"/>
      <c r="K27" s="43"/>
      <c r="L27" s="43"/>
    </row>
    <row r="28" spans="1:19" x14ac:dyDescent="0.3">
      <c r="A28" s="44" t="s">
        <v>43</v>
      </c>
      <c r="B28" s="45"/>
      <c r="C28" s="45"/>
      <c r="D28" s="45"/>
      <c r="E28" s="46"/>
      <c r="F28" s="46"/>
      <c r="G28" s="46"/>
      <c r="H28" s="46"/>
      <c r="I28" s="46"/>
      <c r="J28" s="46"/>
      <c r="K28" s="46"/>
      <c r="L28" s="46"/>
      <c r="M28" s="47"/>
      <c r="N28" s="5"/>
      <c r="O28" s="5"/>
    </row>
    <row r="29" spans="1:19" x14ac:dyDescent="0.3">
      <c r="A29" s="44"/>
      <c r="B29" s="45"/>
      <c r="C29" s="45"/>
      <c r="D29" s="45"/>
      <c r="E29" s="46" t="s">
        <v>44</v>
      </c>
      <c r="F29" s="46"/>
      <c r="G29" s="46"/>
      <c r="H29" s="46"/>
      <c r="I29" s="46"/>
      <c r="J29" s="46"/>
      <c r="K29" s="46"/>
      <c r="L29" s="46"/>
      <c r="M29" s="47"/>
      <c r="N29" s="5"/>
      <c r="O29" s="5"/>
    </row>
    <row r="30" spans="1:19" x14ac:dyDescent="0.3">
      <c r="A30" s="44"/>
      <c r="B30" s="45"/>
      <c r="C30" s="45"/>
      <c r="D30" s="45"/>
      <c r="E30" s="46"/>
      <c r="F30" s="46"/>
      <c r="G30" s="46"/>
      <c r="H30" s="46"/>
      <c r="I30" s="46"/>
      <c r="J30" s="46"/>
      <c r="K30" s="46"/>
      <c r="L30" s="46"/>
      <c r="M30" s="47"/>
      <c r="N30" s="5"/>
      <c r="O30" s="5"/>
    </row>
    <row r="31" spans="1:19" ht="16.2" x14ac:dyDescent="0.35">
      <c r="A31" s="48"/>
      <c r="B31" s="49"/>
      <c r="D31" s="50"/>
      <c r="E31" s="50"/>
      <c r="F31" s="50"/>
      <c r="G31" s="50"/>
      <c r="I31" s="50"/>
      <c r="K31" s="51"/>
      <c r="L31" s="50"/>
      <c r="M31" s="52"/>
      <c r="N31" s="50"/>
      <c r="P31" s="51"/>
      <c r="Q31" s="50"/>
      <c r="R31" s="50"/>
      <c r="S31" s="50"/>
    </row>
    <row r="32" spans="1:19" ht="16.2" x14ac:dyDescent="0.35">
      <c r="A32" s="48"/>
      <c r="B32" s="49" t="s">
        <v>46</v>
      </c>
      <c r="D32" s="50" t="s">
        <v>47</v>
      </c>
      <c r="E32" s="50"/>
      <c r="F32" s="50"/>
      <c r="G32" s="50" t="s">
        <v>47</v>
      </c>
      <c r="I32" s="50"/>
      <c r="K32" s="51"/>
      <c r="L32" s="50"/>
      <c r="M32" s="52" t="s">
        <v>48</v>
      </c>
      <c r="N32" s="50" t="s">
        <v>48</v>
      </c>
      <c r="P32" s="51"/>
      <c r="Q32" s="50" t="s">
        <v>48</v>
      </c>
      <c r="R32" s="50"/>
      <c r="S32" s="50"/>
    </row>
    <row r="33" spans="1:19" ht="16.2" x14ac:dyDescent="0.35">
      <c r="A33" s="48"/>
      <c r="B33" s="49" t="s">
        <v>49</v>
      </c>
      <c r="D33" s="50" t="s">
        <v>50</v>
      </c>
      <c r="E33" s="50"/>
      <c r="F33" s="50"/>
      <c r="G33" s="50" t="s">
        <v>51</v>
      </c>
      <c r="I33" s="50"/>
      <c r="K33" s="51"/>
      <c r="L33" s="50"/>
      <c r="M33" s="52" t="s">
        <v>52</v>
      </c>
      <c r="N33" s="50" t="s">
        <v>52</v>
      </c>
      <c r="P33" s="51"/>
      <c r="Q33" s="50" t="s">
        <v>52</v>
      </c>
      <c r="R33" s="50"/>
      <c r="S33" s="50"/>
    </row>
    <row r="34" spans="1:19" ht="16.2" x14ac:dyDescent="0.35">
      <c r="A34" s="48"/>
      <c r="B34" s="49" t="s">
        <v>53</v>
      </c>
      <c r="D34" s="50" t="s">
        <v>54</v>
      </c>
      <c r="E34" s="50"/>
      <c r="F34" s="50"/>
      <c r="G34" s="50" t="s">
        <v>55</v>
      </c>
      <c r="I34" s="50"/>
      <c r="K34" s="51"/>
      <c r="L34" s="50"/>
      <c r="M34" s="52" t="s">
        <v>56</v>
      </c>
      <c r="N34" s="50" t="s">
        <v>56</v>
      </c>
      <c r="P34" s="51"/>
      <c r="Q34" s="50" t="s">
        <v>56</v>
      </c>
      <c r="R34" s="50"/>
      <c r="S34" s="50"/>
    </row>
    <row r="35" spans="1:19" ht="16.2" x14ac:dyDescent="0.35">
      <c r="A35" s="48"/>
      <c r="B35" s="49" t="s">
        <v>57</v>
      </c>
      <c r="D35" s="50" t="s">
        <v>58</v>
      </c>
      <c r="E35" s="50"/>
      <c r="F35" s="50"/>
      <c r="G35" s="50" t="s">
        <v>59</v>
      </c>
      <c r="I35" s="50"/>
      <c r="K35" s="51"/>
      <c r="L35" s="50"/>
      <c r="M35" s="52" t="s">
        <v>60</v>
      </c>
      <c r="N35" s="50" t="s">
        <v>60</v>
      </c>
      <c r="P35" s="51"/>
      <c r="Q35" s="50" t="s">
        <v>60</v>
      </c>
      <c r="R35" s="50"/>
      <c r="S35" s="50"/>
    </row>
    <row r="36" spans="1:19" ht="14.4" x14ac:dyDescent="0.3">
      <c r="A36" s="48"/>
      <c r="B36" s="48"/>
      <c r="C36" s="48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</row>
    <row r="37" spans="1:19" x14ac:dyDescent="0.3">
      <c r="B37" s="54"/>
      <c r="C37" s="54"/>
    </row>
    <row r="38" spans="1:19" x14ac:dyDescent="0.3">
      <c r="A38" s="54"/>
      <c r="B38" s="54"/>
      <c r="C38" s="54"/>
    </row>
    <row r="39" spans="1:19" x14ac:dyDescent="0.3">
      <c r="A39" s="54"/>
      <c r="B39" s="54"/>
      <c r="C39" s="54"/>
    </row>
    <row r="40" spans="1:19" x14ac:dyDescent="0.3">
      <c r="A40" s="54"/>
      <c r="B40" s="54"/>
      <c r="C40" s="54"/>
    </row>
    <row r="41" spans="1:19" x14ac:dyDescent="0.3">
      <c r="A41" s="54"/>
      <c r="B41" s="54"/>
      <c r="C41" s="54"/>
    </row>
    <row r="42" spans="1:19" x14ac:dyDescent="0.3">
      <c r="A42" s="54"/>
      <c r="B42" s="54"/>
      <c r="C42" s="54"/>
    </row>
    <row r="43" spans="1:19" x14ac:dyDescent="0.3">
      <c r="A43" s="54"/>
      <c r="B43" s="54"/>
      <c r="C43" s="54"/>
    </row>
    <row r="44" spans="1:19" x14ac:dyDescent="0.3">
      <c r="A44" s="54"/>
      <c r="B44" s="54"/>
      <c r="C44" s="54"/>
    </row>
    <row r="45" spans="1:19" x14ac:dyDescent="0.3">
      <c r="A45" s="54"/>
      <c r="B45" s="54"/>
      <c r="C45" s="54"/>
    </row>
    <row r="46" spans="1:19" x14ac:dyDescent="0.3">
      <c r="A46" s="54"/>
      <c r="B46" s="54"/>
      <c r="C46" s="54"/>
    </row>
    <row r="47" spans="1:19" x14ac:dyDescent="0.3">
      <c r="A47" s="54"/>
      <c r="B47" s="54"/>
      <c r="C47" s="54"/>
    </row>
    <row r="48" spans="1:19" x14ac:dyDescent="0.3">
      <c r="A48" s="54"/>
      <c r="B48" s="54"/>
      <c r="C48" s="54"/>
    </row>
    <row r="49" spans="1:19" x14ac:dyDescent="0.3">
      <c r="A49" s="54"/>
      <c r="B49" s="54"/>
      <c r="C49" s="54"/>
    </row>
    <row r="50" spans="1:19" x14ac:dyDescent="0.3">
      <c r="A50" s="54"/>
      <c r="B50" s="54"/>
      <c r="C50" s="54"/>
    </row>
    <row r="51" spans="1:19" s="38" customFormat="1" x14ac:dyDescent="0.3">
      <c r="A51" s="54"/>
      <c r="B51" s="54"/>
      <c r="C51" s="54"/>
      <c r="D51" s="37"/>
      <c r="P51" s="5"/>
      <c r="Q51" s="5"/>
      <c r="R51" s="5"/>
      <c r="S51" s="5"/>
    </row>
    <row r="52" spans="1:19" s="38" customFormat="1" x14ac:dyDescent="0.3">
      <c r="A52" s="54"/>
      <c r="B52" s="54"/>
      <c r="C52" s="54"/>
      <c r="D52" s="37"/>
      <c r="P52" s="5"/>
      <c r="Q52" s="5"/>
      <c r="R52" s="5"/>
      <c r="S52" s="5"/>
    </row>
    <row r="53" spans="1:19" s="38" customFormat="1" x14ac:dyDescent="0.3">
      <c r="A53" s="54"/>
      <c r="B53" s="54"/>
      <c r="C53" s="54"/>
      <c r="D53" s="37"/>
      <c r="F53" s="38" t="s">
        <v>44</v>
      </c>
      <c r="P53" s="5"/>
      <c r="Q53" s="5"/>
      <c r="R53" s="5"/>
      <c r="S53" s="5"/>
    </row>
    <row r="54" spans="1:19" s="38" customFormat="1" x14ac:dyDescent="0.3">
      <c r="A54" s="54"/>
      <c r="B54" s="54"/>
      <c r="C54" s="54"/>
      <c r="D54" s="37"/>
      <c r="P54" s="5"/>
      <c r="Q54" s="5"/>
      <c r="R54" s="5"/>
      <c r="S54" s="5"/>
    </row>
    <row r="55" spans="1:19" s="38" customFormat="1" x14ac:dyDescent="0.3">
      <c r="A55" s="54"/>
      <c r="B55" s="54"/>
      <c r="C55" s="54"/>
      <c r="D55" s="37"/>
      <c r="P55" s="5"/>
      <c r="Q55" s="5"/>
      <c r="R55" s="5"/>
      <c r="S55" s="5"/>
    </row>
    <row r="56" spans="1:19" s="38" customFormat="1" x14ac:dyDescent="0.3">
      <c r="A56" s="54"/>
      <c r="B56" s="54"/>
      <c r="C56" s="54"/>
      <c r="D56" s="37"/>
      <c r="P56" s="5"/>
      <c r="Q56" s="5"/>
      <c r="R56" s="5"/>
      <c r="S56" s="5"/>
    </row>
    <row r="57" spans="1:19" s="38" customFormat="1" x14ac:dyDescent="0.3">
      <c r="A57" s="54"/>
      <c r="B57" s="54"/>
      <c r="C57" s="54"/>
      <c r="D57" s="37"/>
      <c r="P57" s="5"/>
      <c r="Q57" s="5"/>
      <c r="R57" s="5"/>
      <c r="S57" s="5"/>
    </row>
    <row r="58" spans="1:19" s="38" customFormat="1" x14ac:dyDescent="0.3">
      <c r="A58" s="54"/>
      <c r="B58" s="54"/>
      <c r="C58" s="54"/>
      <c r="D58" s="37"/>
      <c r="P58" s="5"/>
      <c r="Q58" s="5"/>
      <c r="R58" s="5"/>
      <c r="S58" s="5"/>
    </row>
    <row r="59" spans="1:19" s="38" customFormat="1" x14ac:dyDescent="0.3">
      <c r="A59" s="54"/>
      <c r="B59" s="54"/>
      <c r="C59" s="54"/>
      <c r="D59" s="37"/>
      <c r="P59" s="5"/>
      <c r="Q59" s="5"/>
      <c r="R59" s="5"/>
      <c r="S59" s="5"/>
    </row>
    <row r="60" spans="1:19" s="38" customFormat="1" x14ac:dyDescent="0.3">
      <c r="A60" s="54"/>
      <c r="B60" s="54"/>
      <c r="C60" s="54"/>
      <c r="D60" s="37"/>
      <c r="P60" s="5"/>
      <c r="Q60" s="5"/>
      <c r="R60" s="5"/>
      <c r="S60" s="5"/>
    </row>
    <row r="61" spans="1:19" s="38" customFormat="1" x14ac:dyDescent="0.3">
      <c r="A61" s="54"/>
      <c r="B61" s="54"/>
      <c r="C61" s="54"/>
      <c r="D61" s="37"/>
      <c r="P61" s="5"/>
      <c r="Q61" s="5"/>
      <c r="R61" s="5"/>
      <c r="S61" s="5"/>
    </row>
    <row r="62" spans="1:19" s="38" customFormat="1" x14ac:dyDescent="0.3">
      <c r="A62" s="54"/>
      <c r="B62" s="54"/>
      <c r="C62" s="54"/>
      <c r="D62" s="37"/>
      <c r="P62" s="5"/>
      <c r="Q62" s="5"/>
      <c r="R62" s="5"/>
      <c r="S62" s="5"/>
    </row>
    <row r="63" spans="1:19" s="38" customFormat="1" x14ac:dyDescent="0.3">
      <c r="A63" s="54"/>
      <c r="B63" s="54"/>
      <c r="C63" s="54"/>
      <c r="D63" s="37"/>
      <c r="P63" s="5"/>
      <c r="Q63" s="5"/>
      <c r="R63" s="5"/>
      <c r="S63" s="5"/>
    </row>
    <row r="64" spans="1:19" s="38" customFormat="1" x14ac:dyDescent="0.3">
      <c r="A64" s="54"/>
      <c r="B64" s="54"/>
      <c r="C64" s="54"/>
      <c r="D64" s="37"/>
      <c r="P64" s="5"/>
      <c r="Q64" s="5"/>
      <c r="R64" s="5"/>
      <c r="S64" s="5"/>
    </row>
    <row r="65" spans="1:19" s="38" customFormat="1" x14ac:dyDescent="0.3">
      <c r="A65" s="54"/>
      <c r="B65" s="54"/>
      <c r="C65" s="54"/>
      <c r="D65" s="37"/>
      <c r="P65" s="5"/>
      <c r="Q65" s="5"/>
      <c r="R65" s="5"/>
      <c r="S65" s="5"/>
    </row>
  </sheetData>
  <mergeCells count="8">
    <mergeCell ref="M26:O26"/>
    <mergeCell ref="D27:E27"/>
    <mergeCell ref="A4:A5"/>
    <mergeCell ref="B4:B5"/>
    <mergeCell ref="C4:C5"/>
    <mergeCell ref="D4:D5"/>
    <mergeCell ref="E4:S4"/>
    <mergeCell ref="A25:B2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D17F-E447-4D22-840D-91C5ECBD3345}">
  <dimension ref="A1:S68"/>
  <sheetViews>
    <sheetView workbookViewId="0">
      <selection activeCell="B4" sqref="B4:B5"/>
    </sheetView>
  </sheetViews>
  <sheetFormatPr defaultRowHeight="15.6" x14ac:dyDescent="0.3"/>
  <cols>
    <col min="1" max="1" width="11.109375" style="37" customWidth="1"/>
    <col min="2" max="2" width="49.6640625" style="37" customWidth="1"/>
    <col min="3" max="3" width="8.44140625" style="37" customWidth="1"/>
    <col min="4" max="4" width="11.44140625" style="37" customWidth="1"/>
    <col min="5" max="5" width="14.6640625" style="38" customWidth="1"/>
    <col min="6" max="6" width="13.109375" style="38" customWidth="1"/>
    <col min="7" max="7" width="13" style="38" hidden="1" customWidth="1"/>
    <col min="8" max="8" width="10.109375" style="38" hidden="1" customWidth="1"/>
    <col min="9" max="9" width="14.109375" style="38" customWidth="1"/>
    <col min="10" max="10" width="10.88671875" style="38" customWidth="1"/>
    <col min="11" max="11" width="10.44140625" style="38" customWidth="1"/>
    <col min="12" max="12" width="10.5546875" style="38" customWidth="1"/>
    <col min="13" max="13" width="10.109375" style="38" hidden="1" customWidth="1"/>
    <col min="14" max="14" width="29" style="38" hidden="1" customWidth="1"/>
    <col min="15" max="15" width="10.44140625" style="38" hidden="1" customWidth="1"/>
    <col min="16" max="16" width="7.6640625" style="5" hidden="1" customWidth="1"/>
    <col min="17" max="17" width="9.88671875" style="5" customWidth="1"/>
    <col min="18" max="18" width="10.5546875" style="5" bestFit="1" customWidth="1"/>
    <col min="19" max="19" width="9.6640625" style="5" hidden="1" customWidth="1"/>
  </cols>
  <sheetData>
    <row r="1" spans="1:19" ht="29.4" x14ac:dyDescent="0.45">
      <c r="A1" s="1" t="s">
        <v>0</v>
      </c>
      <c r="B1" s="2"/>
      <c r="C1" s="2"/>
      <c r="D1" s="3"/>
      <c r="E1" s="3"/>
      <c r="F1" s="3"/>
      <c r="G1" s="3"/>
      <c r="H1" s="3"/>
      <c r="I1" s="3" t="s">
        <v>1</v>
      </c>
      <c r="J1" s="4"/>
      <c r="K1" s="4"/>
      <c r="L1" s="4"/>
      <c r="M1" s="4"/>
      <c r="N1" s="4"/>
      <c r="O1" s="4"/>
    </row>
    <row r="2" spans="1:19" ht="29.4" x14ac:dyDescent="0.45">
      <c r="A2" s="1" t="s">
        <v>2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9" ht="20.399999999999999" x14ac:dyDescent="0.3">
      <c r="A3" s="6"/>
      <c r="B3" s="6"/>
      <c r="C3" s="6"/>
      <c r="D3" s="7"/>
      <c r="E3" s="7"/>
      <c r="F3" s="7"/>
      <c r="G3" s="198" t="s">
        <v>61</v>
      </c>
      <c r="H3" s="198" t="s">
        <v>62</v>
      </c>
      <c r="I3" s="198"/>
      <c r="J3" s="198"/>
      <c r="K3" s="198"/>
      <c r="L3" s="198"/>
      <c r="M3" s="198"/>
      <c r="N3" s="198"/>
      <c r="O3" s="198"/>
    </row>
    <row r="4" spans="1:19" ht="15" customHeight="1" x14ac:dyDescent="0.3">
      <c r="A4" s="204" t="s">
        <v>4</v>
      </c>
      <c r="B4" s="206" t="s">
        <v>5</v>
      </c>
      <c r="C4" s="208" t="s">
        <v>6</v>
      </c>
      <c r="D4" s="208" t="s">
        <v>7</v>
      </c>
      <c r="E4" s="210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2"/>
    </row>
    <row r="5" spans="1:19" ht="79.2" x14ac:dyDescent="0.3">
      <c r="A5" s="205"/>
      <c r="B5" s="207"/>
      <c r="C5" s="209"/>
      <c r="D5" s="209"/>
      <c r="E5" s="9" t="s">
        <v>8</v>
      </c>
      <c r="F5" s="9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9" t="s">
        <v>15</v>
      </c>
      <c r="L5" s="9" t="s">
        <v>16</v>
      </c>
      <c r="M5" s="9" t="s">
        <v>19</v>
      </c>
      <c r="N5" s="9" t="s">
        <v>63</v>
      </c>
      <c r="O5" s="9" t="s">
        <v>19</v>
      </c>
      <c r="P5" s="9" t="s">
        <v>12</v>
      </c>
      <c r="Q5" s="9" t="s">
        <v>64</v>
      </c>
      <c r="R5" s="9" t="s">
        <v>65</v>
      </c>
      <c r="S5" s="9" t="s">
        <v>66</v>
      </c>
    </row>
    <row r="6" spans="1:19" ht="14.4" x14ac:dyDescent="0.3">
      <c r="A6" s="10"/>
      <c r="B6" s="11"/>
      <c r="C6" s="12"/>
      <c r="D6" s="13"/>
      <c r="E6" s="14"/>
      <c r="F6" s="15"/>
      <c r="G6" s="16"/>
      <c r="H6" s="16"/>
      <c r="I6" s="16"/>
      <c r="J6" s="16"/>
      <c r="K6" s="16"/>
      <c r="L6" s="16"/>
      <c r="M6" s="16"/>
      <c r="N6" s="16"/>
      <c r="O6" s="17"/>
      <c r="P6" s="18"/>
      <c r="Q6" s="18"/>
      <c r="R6" s="18"/>
      <c r="S6" s="18"/>
    </row>
    <row r="7" spans="1:19" ht="14.4" x14ac:dyDescent="0.3">
      <c r="A7" s="10"/>
      <c r="B7" s="11" t="s">
        <v>43</v>
      </c>
      <c r="C7" s="12"/>
      <c r="D7" s="13">
        <v>6670</v>
      </c>
      <c r="E7" s="14"/>
      <c r="F7" s="15"/>
      <c r="G7" s="16"/>
      <c r="H7" s="16"/>
      <c r="I7" s="16"/>
      <c r="J7" s="16"/>
      <c r="K7" s="16"/>
      <c r="L7" s="16"/>
      <c r="M7" s="16"/>
      <c r="N7" s="16"/>
      <c r="O7" s="17"/>
      <c r="P7" s="18"/>
      <c r="Q7" s="18"/>
      <c r="R7" s="19"/>
      <c r="S7" s="19"/>
    </row>
    <row r="8" spans="1:19" ht="14.4" x14ac:dyDescent="0.3">
      <c r="A8" s="10">
        <v>45318</v>
      </c>
      <c r="B8" s="11" t="s">
        <v>67</v>
      </c>
      <c r="C8" s="12">
        <v>18275</v>
      </c>
      <c r="D8" s="13"/>
      <c r="E8" s="14">
        <v>3000</v>
      </c>
      <c r="F8" s="15"/>
      <c r="G8" s="16"/>
      <c r="H8" s="16"/>
      <c r="I8" s="16"/>
      <c r="J8" s="16"/>
      <c r="K8" s="16"/>
      <c r="L8" s="16"/>
      <c r="M8" s="16"/>
      <c r="N8" s="16"/>
      <c r="O8" s="17"/>
      <c r="P8" s="18"/>
      <c r="Q8" s="18"/>
      <c r="R8" s="19">
        <f>E8</f>
        <v>3000</v>
      </c>
      <c r="S8" s="19"/>
    </row>
    <row r="9" spans="1:19" ht="14.4" x14ac:dyDescent="0.3">
      <c r="A9" s="10">
        <v>45322</v>
      </c>
      <c r="B9" s="11" t="s">
        <v>68</v>
      </c>
      <c r="C9" s="12">
        <v>18276</v>
      </c>
      <c r="D9" s="13"/>
      <c r="E9" s="14">
        <v>3000</v>
      </c>
      <c r="F9" s="15"/>
      <c r="G9" s="16"/>
      <c r="H9" s="16"/>
      <c r="I9" s="16"/>
      <c r="J9" s="16"/>
      <c r="K9" s="16"/>
      <c r="L9" s="16"/>
      <c r="M9" s="16"/>
      <c r="N9" s="16"/>
      <c r="O9" s="17"/>
      <c r="P9" s="18"/>
      <c r="Q9" s="18"/>
      <c r="R9" s="19">
        <f>E9</f>
        <v>3000</v>
      </c>
      <c r="S9" s="19"/>
    </row>
    <row r="10" spans="1:19" ht="14.4" x14ac:dyDescent="0.3">
      <c r="A10" s="10">
        <v>45323</v>
      </c>
      <c r="B10" s="11" t="s">
        <v>69</v>
      </c>
      <c r="C10" s="12">
        <v>18277</v>
      </c>
      <c r="D10" s="13"/>
      <c r="E10" s="14">
        <v>1680</v>
      </c>
      <c r="F10" s="15"/>
      <c r="G10" s="16"/>
      <c r="H10" s="16"/>
      <c r="I10" s="16">
        <f>E10</f>
        <v>1680</v>
      </c>
      <c r="J10" s="16"/>
      <c r="K10" s="16"/>
      <c r="L10" s="16"/>
      <c r="M10" s="16"/>
      <c r="N10" s="16"/>
      <c r="O10" s="17"/>
      <c r="P10" s="18"/>
      <c r="Q10" s="18"/>
      <c r="R10" s="19"/>
      <c r="S10" s="19"/>
    </row>
    <row r="11" spans="1:19" ht="14.4" x14ac:dyDescent="0.3">
      <c r="A11" s="10">
        <v>45324</v>
      </c>
      <c r="B11" s="11" t="s">
        <v>70</v>
      </c>
      <c r="C11" s="12">
        <v>18278</v>
      </c>
      <c r="D11" s="13"/>
      <c r="E11" s="14">
        <v>1700</v>
      </c>
      <c r="F11" s="15"/>
      <c r="G11" s="16"/>
      <c r="H11" s="16"/>
      <c r="I11" s="16"/>
      <c r="J11" s="16"/>
      <c r="K11" s="16">
        <f>E11</f>
        <v>1700</v>
      </c>
      <c r="L11" s="16"/>
      <c r="M11" s="16"/>
      <c r="N11" s="16"/>
      <c r="O11" s="17"/>
      <c r="P11" s="18"/>
      <c r="Q11" s="18"/>
      <c r="R11" s="19"/>
      <c r="S11" s="19"/>
    </row>
    <row r="12" spans="1:19" ht="14.4" x14ac:dyDescent="0.3">
      <c r="A12" s="10">
        <v>45324</v>
      </c>
      <c r="B12" s="11" t="s">
        <v>71</v>
      </c>
      <c r="C12" s="12">
        <v>18279</v>
      </c>
      <c r="D12" s="13"/>
      <c r="E12" s="14">
        <v>2500</v>
      </c>
      <c r="F12" s="15"/>
      <c r="G12" s="16"/>
      <c r="H12" s="16"/>
      <c r="I12" s="16"/>
      <c r="J12" s="16"/>
      <c r="K12" s="16"/>
      <c r="L12" s="16"/>
      <c r="M12" s="16"/>
      <c r="N12" s="16"/>
      <c r="O12" s="17"/>
      <c r="P12" s="18"/>
      <c r="Q12" s="18">
        <f>E12</f>
        <v>2500</v>
      </c>
      <c r="R12" s="19"/>
      <c r="S12" s="19"/>
    </row>
    <row r="13" spans="1:19" ht="14.4" x14ac:dyDescent="0.3">
      <c r="A13" s="10">
        <v>45323</v>
      </c>
      <c r="B13" s="11" t="s">
        <v>72</v>
      </c>
      <c r="C13" s="12">
        <v>18280</v>
      </c>
      <c r="D13" s="13"/>
      <c r="E13" s="14">
        <v>2000</v>
      </c>
      <c r="F13" s="15"/>
      <c r="G13" s="16"/>
      <c r="H13" s="16"/>
      <c r="I13" s="16"/>
      <c r="J13" s="16">
        <f>E13</f>
        <v>2000</v>
      </c>
      <c r="K13" s="16"/>
      <c r="L13" s="16"/>
      <c r="M13" s="16"/>
      <c r="N13" s="16"/>
      <c r="O13" s="17"/>
      <c r="P13" s="18"/>
      <c r="Q13" s="18"/>
      <c r="R13" s="19"/>
      <c r="S13" s="19"/>
    </row>
    <row r="14" spans="1:19" ht="14.4" x14ac:dyDescent="0.3">
      <c r="A14" s="10">
        <v>45324</v>
      </c>
      <c r="B14" s="11" t="s">
        <v>68</v>
      </c>
      <c r="C14" s="12">
        <v>18281</v>
      </c>
      <c r="D14" s="13"/>
      <c r="E14" s="14">
        <v>3000</v>
      </c>
      <c r="F14" s="15"/>
      <c r="G14" s="16"/>
      <c r="H14" s="16"/>
      <c r="I14" s="16"/>
      <c r="J14" s="16"/>
      <c r="K14" s="16"/>
      <c r="L14" s="16"/>
      <c r="M14" s="16"/>
      <c r="N14" s="16"/>
      <c r="O14" s="17"/>
      <c r="P14" s="18"/>
      <c r="Q14" s="18"/>
      <c r="R14" s="19">
        <f>E14</f>
        <v>3000</v>
      </c>
      <c r="S14" s="19"/>
    </row>
    <row r="15" spans="1:19" ht="14.4" x14ac:dyDescent="0.3">
      <c r="A15" s="10">
        <v>45325</v>
      </c>
      <c r="B15" s="11" t="s">
        <v>73</v>
      </c>
      <c r="C15" s="12">
        <v>18282</v>
      </c>
      <c r="D15" s="13"/>
      <c r="E15" s="14">
        <v>1500</v>
      </c>
      <c r="F15" s="15"/>
      <c r="G15" s="16"/>
      <c r="H15" s="16"/>
      <c r="I15" s="16"/>
      <c r="J15" s="16"/>
      <c r="K15" s="16"/>
      <c r="L15" s="16"/>
      <c r="M15" s="16"/>
      <c r="N15" s="16"/>
      <c r="O15" s="17"/>
      <c r="P15" s="18"/>
      <c r="Q15" s="18"/>
      <c r="R15" s="19">
        <f>E15</f>
        <v>1500</v>
      </c>
      <c r="S15" s="19"/>
    </row>
    <row r="16" spans="1:19" ht="14.4" x14ac:dyDescent="0.3">
      <c r="A16" s="10">
        <v>45325</v>
      </c>
      <c r="B16" s="11" t="s">
        <v>74</v>
      </c>
      <c r="C16" s="12">
        <v>18283</v>
      </c>
      <c r="D16" s="13"/>
      <c r="E16" s="14">
        <v>3000</v>
      </c>
      <c r="F16" s="15"/>
      <c r="G16" s="16"/>
      <c r="H16" s="16"/>
      <c r="I16" s="16"/>
      <c r="J16" s="16"/>
      <c r="K16" s="16"/>
      <c r="L16" s="16"/>
      <c r="M16" s="16"/>
      <c r="N16" s="16"/>
      <c r="O16" s="17"/>
      <c r="P16" s="18"/>
      <c r="Q16" s="18"/>
      <c r="R16" s="19">
        <f>E16</f>
        <v>3000</v>
      </c>
      <c r="S16" s="19"/>
    </row>
    <row r="17" spans="1:19" ht="14.4" x14ac:dyDescent="0.3">
      <c r="A17" s="10">
        <v>45325</v>
      </c>
      <c r="B17" s="11" t="s">
        <v>75</v>
      </c>
      <c r="C17" s="12">
        <v>18284</v>
      </c>
      <c r="D17" s="13"/>
      <c r="E17" s="20">
        <v>1500</v>
      </c>
      <c r="F17" s="15"/>
      <c r="G17" s="16"/>
      <c r="H17" s="16"/>
      <c r="I17" s="16"/>
      <c r="J17" s="16"/>
      <c r="K17" s="16"/>
      <c r="L17" s="16"/>
      <c r="M17" s="16"/>
      <c r="N17" s="16"/>
      <c r="O17" s="17"/>
      <c r="P17" s="18"/>
      <c r="Q17" s="18"/>
      <c r="R17" s="19">
        <f>E17</f>
        <v>1500</v>
      </c>
      <c r="S17" s="19"/>
    </row>
    <row r="18" spans="1:19" ht="14.4" x14ac:dyDescent="0.3">
      <c r="A18" s="10">
        <v>45327</v>
      </c>
      <c r="B18" s="11" t="s">
        <v>76</v>
      </c>
      <c r="C18" s="12">
        <v>18285</v>
      </c>
      <c r="D18" s="13"/>
      <c r="E18" s="20">
        <v>1500</v>
      </c>
      <c r="F18" s="15"/>
      <c r="G18" s="16"/>
      <c r="H18" s="16"/>
      <c r="I18" s="16"/>
      <c r="J18" s="16"/>
      <c r="K18" s="16"/>
      <c r="L18" s="16"/>
      <c r="M18" s="16"/>
      <c r="N18" s="16"/>
      <c r="O18" s="17"/>
      <c r="P18" s="18"/>
      <c r="Q18" s="18"/>
      <c r="R18" s="19">
        <f>E18</f>
        <v>1500</v>
      </c>
      <c r="S18" s="19"/>
    </row>
    <row r="19" spans="1:19" ht="14.4" x14ac:dyDescent="0.3">
      <c r="A19" s="10">
        <v>45328</v>
      </c>
      <c r="B19" s="11" t="s">
        <v>77</v>
      </c>
      <c r="C19" s="12">
        <v>18286</v>
      </c>
      <c r="D19" s="13"/>
      <c r="E19" s="20">
        <v>1680</v>
      </c>
      <c r="F19" s="15"/>
      <c r="G19" s="16"/>
      <c r="H19" s="16"/>
      <c r="I19" s="16">
        <f>E19</f>
        <v>1680</v>
      </c>
      <c r="J19" s="16"/>
      <c r="K19" s="16"/>
      <c r="L19" s="16"/>
      <c r="M19" s="16"/>
      <c r="N19" s="16"/>
      <c r="O19" s="17"/>
      <c r="P19" s="18"/>
      <c r="Q19" s="18"/>
      <c r="R19" s="19"/>
      <c r="S19" s="19"/>
    </row>
    <row r="20" spans="1:19" ht="14.4" x14ac:dyDescent="0.3">
      <c r="A20" s="10">
        <v>45328</v>
      </c>
      <c r="B20" s="11" t="s">
        <v>78</v>
      </c>
      <c r="C20" s="12">
        <v>18287</v>
      </c>
      <c r="D20" s="13"/>
      <c r="E20" s="20">
        <v>1500</v>
      </c>
      <c r="F20" s="15"/>
      <c r="G20" s="16"/>
      <c r="H20" s="16"/>
      <c r="I20" s="16"/>
      <c r="J20" s="16"/>
      <c r="K20" s="16"/>
      <c r="L20" s="16"/>
      <c r="M20" s="16"/>
      <c r="N20" s="16"/>
      <c r="O20" s="17"/>
      <c r="P20" s="18"/>
      <c r="Q20" s="18"/>
      <c r="R20" s="19">
        <f>E20</f>
        <v>1500</v>
      </c>
      <c r="S20" s="19"/>
    </row>
    <row r="21" spans="1:19" ht="14.4" x14ac:dyDescent="0.3">
      <c r="A21" s="10">
        <v>45330</v>
      </c>
      <c r="B21" s="11" t="s">
        <v>79</v>
      </c>
      <c r="C21" s="12">
        <v>18288</v>
      </c>
      <c r="D21" s="13"/>
      <c r="E21" s="20">
        <v>2660</v>
      </c>
      <c r="F21" s="15">
        <f>E21</f>
        <v>2660</v>
      </c>
      <c r="G21" s="16"/>
      <c r="H21" s="16"/>
      <c r="I21" s="16"/>
      <c r="J21" s="16"/>
      <c r="K21" s="16"/>
      <c r="L21" s="16"/>
      <c r="M21" s="16"/>
      <c r="N21" s="16"/>
      <c r="O21" s="17"/>
      <c r="P21" s="18"/>
      <c r="Q21" s="18"/>
      <c r="R21" s="19"/>
      <c r="S21" s="19"/>
    </row>
    <row r="22" spans="1:19" ht="14.4" x14ac:dyDescent="0.3">
      <c r="A22" s="10">
        <v>45330</v>
      </c>
      <c r="B22" s="11" t="s">
        <v>80</v>
      </c>
      <c r="C22" s="12">
        <v>18289</v>
      </c>
      <c r="D22" s="13"/>
      <c r="E22" s="20">
        <v>1075</v>
      </c>
      <c r="F22" s="15"/>
      <c r="G22" s="16"/>
      <c r="H22" s="16"/>
      <c r="I22" s="16"/>
      <c r="J22" s="16"/>
      <c r="K22" s="16"/>
      <c r="L22" s="16">
        <f>E22</f>
        <v>1075</v>
      </c>
      <c r="M22" s="16"/>
      <c r="N22" s="16"/>
      <c r="O22" s="17"/>
      <c r="P22" s="18"/>
      <c r="Q22" s="18"/>
      <c r="R22" s="19"/>
      <c r="S22" s="19"/>
    </row>
    <row r="23" spans="1:19" ht="14.4" x14ac:dyDescent="0.3">
      <c r="A23" s="21">
        <v>45330</v>
      </c>
      <c r="B23" s="11" t="s">
        <v>81</v>
      </c>
      <c r="C23" s="23">
        <v>18290</v>
      </c>
      <c r="D23" s="24"/>
      <c r="E23" s="25">
        <v>1500</v>
      </c>
      <c r="F23" s="15"/>
      <c r="G23" s="26"/>
      <c r="H23" s="26"/>
      <c r="I23" s="26"/>
      <c r="J23" s="26"/>
      <c r="K23" s="26"/>
      <c r="L23" s="27"/>
      <c r="M23" s="26"/>
      <c r="N23" s="28"/>
      <c r="O23" s="26"/>
      <c r="P23" s="29"/>
      <c r="Q23" s="29"/>
      <c r="R23" s="30">
        <f>E23</f>
        <v>1500</v>
      </c>
      <c r="S23" s="31"/>
    </row>
    <row r="24" spans="1:19" ht="14.4" x14ac:dyDescent="0.3">
      <c r="A24" s="21">
        <v>45331</v>
      </c>
      <c r="B24" s="22" t="s">
        <v>82</v>
      </c>
      <c r="C24" s="23">
        <v>18291</v>
      </c>
      <c r="D24" s="24"/>
      <c r="E24" s="55">
        <v>2500</v>
      </c>
      <c r="F24" s="56"/>
      <c r="G24" s="57"/>
      <c r="H24" s="57"/>
      <c r="I24" s="57"/>
      <c r="J24" s="57"/>
      <c r="K24" s="57"/>
      <c r="L24" s="27"/>
      <c r="M24" s="57"/>
      <c r="N24" s="58"/>
      <c r="O24" s="57"/>
      <c r="P24" s="29"/>
      <c r="Q24" s="29">
        <f>E24</f>
        <v>2500</v>
      </c>
      <c r="R24" s="29"/>
      <c r="S24" s="59"/>
    </row>
    <row r="25" spans="1:19" ht="14.4" x14ac:dyDescent="0.3">
      <c r="A25" s="21">
        <v>45331</v>
      </c>
      <c r="B25" s="22" t="s">
        <v>83</v>
      </c>
      <c r="C25" s="23">
        <v>18292</v>
      </c>
      <c r="D25" s="24"/>
      <c r="E25" s="55">
        <v>1850</v>
      </c>
      <c r="F25" s="56"/>
      <c r="G25" s="57"/>
      <c r="H25" s="57"/>
      <c r="I25" s="57"/>
      <c r="J25" s="57">
        <f>E25</f>
        <v>1850</v>
      </c>
      <c r="K25" s="57"/>
      <c r="L25" s="27"/>
      <c r="M25" s="57"/>
      <c r="N25" s="58"/>
      <c r="O25" s="57"/>
      <c r="P25" s="29"/>
      <c r="Q25" s="29"/>
      <c r="R25" s="29"/>
      <c r="S25" s="59"/>
    </row>
    <row r="26" spans="1:19" ht="14.4" x14ac:dyDescent="0.3">
      <c r="A26" s="21"/>
      <c r="B26" s="22"/>
      <c r="C26" s="23"/>
      <c r="D26" s="24"/>
      <c r="E26" s="55"/>
      <c r="F26" s="56"/>
      <c r="G26" s="57"/>
      <c r="H26" s="57"/>
      <c r="I26" s="57"/>
      <c r="J26" s="57"/>
      <c r="K26" s="57"/>
      <c r="L26" s="27"/>
      <c r="M26" s="57"/>
      <c r="N26" s="58"/>
      <c r="O26" s="57"/>
      <c r="P26" s="29"/>
      <c r="Q26" s="29"/>
      <c r="R26" s="29"/>
      <c r="S26" s="59"/>
    </row>
    <row r="27" spans="1:19" ht="15" thickBot="1" x14ac:dyDescent="0.35">
      <c r="A27" s="60"/>
      <c r="B27" s="60"/>
      <c r="C27" s="60"/>
      <c r="D27" s="61"/>
      <c r="E27" s="62">
        <f>SUM(E7:E26)</f>
        <v>37145</v>
      </c>
      <c r="F27" s="62">
        <f>SUM(F8:F26)</f>
        <v>2660</v>
      </c>
      <c r="G27" s="62"/>
      <c r="H27" s="62"/>
      <c r="I27" s="62">
        <f>SUM(I8:I26)</f>
        <v>3360</v>
      </c>
      <c r="J27" s="62">
        <f>SUM(J8:J26)</f>
        <v>3850</v>
      </c>
      <c r="K27" s="62">
        <f>SUM(K8:K26)</f>
        <v>1700</v>
      </c>
      <c r="L27" s="62">
        <f>SUM(L8:L26)</f>
        <v>1075</v>
      </c>
      <c r="M27" s="62"/>
      <c r="N27" s="62"/>
      <c r="O27" s="62"/>
      <c r="P27" s="62"/>
      <c r="Q27" s="62">
        <f>SUM(Q8:Q26)</f>
        <v>5000</v>
      </c>
      <c r="R27" s="62">
        <f>SUM(R8:R26)</f>
        <v>19500</v>
      </c>
      <c r="S27" s="34"/>
    </row>
    <row r="28" spans="1:19" ht="15" thickTop="1" x14ac:dyDescent="0.3">
      <c r="A28" s="213"/>
      <c r="B28" s="213"/>
      <c r="C28" s="35"/>
      <c r="D28" s="3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9" ht="16.2" thickBot="1" x14ac:dyDescent="0.35">
      <c r="B29" s="37" t="s">
        <v>84</v>
      </c>
      <c r="D29" s="38"/>
      <c r="M29" s="201"/>
      <c r="N29" s="201"/>
      <c r="O29" s="201"/>
    </row>
    <row r="30" spans="1:19" ht="29.4" thickBot="1" x14ac:dyDescent="0.6">
      <c r="B30" s="40"/>
      <c r="C30" s="41"/>
      <c r="D30" s="196">
        <f>E27</f>
        <v>37145</v>
      </c>
      <c r="E30" s="197">
        <f>SUM(E7:E29)</f>
        <v>74290</v>
      </c>
      <c r="F30" s="42"/>
      <c r="G30" s="43"/>
      <c r="H30" s="43"/>
      <c r="I30" s="43"/>
      <c r="J30" s="43"/>
      <c r="K30" s="43"/>
      <c r="L30" s="43"/>
    </row>
    <row r="31" spans="1:19" x14ac:dyDescent="0.3">
      <c r="A31" s="44" t="s">
        <v>43</v>
      </c>
      <c r="B31" s="45"/>
      <c r="C31" s="45"/>
      <c r="D31" s="45"/>
      <c r="E31" s="46"/>
      <c r="F31" s="46"/>
      <c r="G31" s="46"/>
      <c r="H31" s="46"/>
      <c r="I31" s="46"/>
      <c r="J31" s="46"/>
      <c r="K31" s="46"/>
      <c r="L31" s="46"/>
      <c r="M31" s="47"/>
      <c r="N31" s="5"/>
      <c r="O31" s="5"/>
    </row>
    <row r="32" spans="1:19" x14ac:dyDescent="0.3">
      <c r="A32" s="44"/>
      <c r="B32" s="45"/>
      <c r="C32" s="45"/>
      <c r="D32" s="45"/>
      <c r="E32" s="46" t="s">
        <v>44</v>
      </c>
      <c r="F32" s="46"/>
      <c r="G32" s="46"/>
      <c r="H32" s="46"/>
      <c r="I32" s="46"/>
      <c r="J32" s="46"/>
      <c r="K32" s="46"/>
      <c r="L32" s="46"/>
      <c r="M32" s="47"/>
      <c r="N32" s="5"/>
      <c r="O32" s="5"/>
    </row>
    <row r="33" spans="1:19" x14ac:dyDescent="0.3">
      <c r="A33" s="44"/>
      <c r="B33" s="45"/>
      <c r="C33" s="45"/>
      <c r="D33" s="45"/>
      <c r="E33" s="46"/>
      <c r="F33" s="46"/>
      <c r="G33" s="46"/>
      <c r="H33" s="46"/>
      <c r="I33" s="46"/>
      <c r="J33" s="46"/>
      <c r="K33" s="46"/>
      <c r="L33" s="46"/>
      <c r="M33" s="47"/>
      <c r="N33" s="5"/>
      <c r="O33" s="5"/>
    </row>
    <row r="34" spans="1:19" ht="16.2" x14ac:dyDescent="0.35">
      <c r="A34" s="48"/>
      <c r="B34" s="49"/>
      <c r="D34" s="50"/>
      <c r="E34" s="50"/>
      <c r="F34" s="50"/>
      <c r="G34" s="50"/>
      <c r="I34" s="50"/>
      <c r="K34" s="51"/>
      <c r="L34" s="50"/>
      <c r="M34" s="52"/>
      <c r="N34" s="50"/>
      <c r="P34" s="51"/>
      <c r="Q34" s="50"/>
      <c r="R34" s="50"/>
      <c r="S34" s="50"/>
    </row>
    <row r="35" spans="1:19" ht="16.2" x14ac:dyDescent="0.35">
      <c r="A35" s="48"/>
      <c r="B35" s="49" t="s">
        <v>46</v>
      </c>
      <c r="D35" s="50" t="s">
        <v>47</v>
      </c>
      <c r="E35" s="50"/>
      <c r="F35" s="50"/>
      <c r="G35" s="50" t="s">
        <v>47</v>
      </c>
      <c r="I35" s="50"/>
      <c r="K35" s="51"/>
      <c r="L35" s="50"/>
      <c r="M35" s="52" t="s">
        <v>48</v>
      </c>
      <c r="N35" s="50" t="s">
        <v>48</v>
      </c>
      <c r="P35" s="51"/>
      <c r="Q35" s="50" t="s">
        <v>48</v>
      </c>
      <c r="R35" s="50"/>
      <c r="S35" s="50"/>
    </row>
    <row r="36" spans="1:19" ht="16.2" x14ac:dyDescent="0.35">
      <c r="A36" s="48"/>
      <c r="B36" s="49" t="s">
        <v>49</v>
      </c>
      <c r="D36" s="50" t="s">
        <v>50</v>
      </c>
      <c r="E36" s="50"/>
      <c r="F36" s="50"/>
      <c r="G36" s="50" t="s">
        <v>51</v>
      </c>
      <c r="I36" s="50"/>
      <c r="K36" s="51"/>
      <c r="L36" s="50"/>
      <c r="M36" s="52" t="s">
        <v>52</v>
      </c>
      <c r="N36" s="50" t="s">
        <v>52</v>
      </c>
      <c r="P36" s="51"/>
      <c r="Q36" s="50" t="s">
        <v>52</v>
      </c>
      <c r="R36" s="50"/>
      <c r="S36" s="50"/>
    </row>
    <row r="37" spans="1:19" ht="16.2" x14ac:dyDescent="0.35">
      <c r="A37" s="48"/>
      <c r="B37" s="49" t="s">
        <v>53</v>
      </c>
      <c r="D37" s="50" t="s">
        <v>54</v>
      </c>
      <c r="E37" s="50"/>
      <c r="F37" s="50"/>
      <c r="G37" s="50" t="s">
        <v>55</v>
      </c>
      <c r="I37" s="50"/>
      <c r="K37" s="51"/>
      <c r="L37" s="50"/>
      <c r="M37" s="52" t="s">
        <v>56</v>
      </c>
      <c r="N37" s="50" t="s">
        <v>56</v>
      </c>
      <c r="P37" s="51"/>
      <c r="Q37" s="50" t="s">
        <v>56</v>
      </c>
      <c r="R37" s="50"/>
      <c r="S37" s="50"/>
    </row>
    <row r="38" spans="1:19" ht="16.2" x14ac:dyDescent="0.35">
      <c r="A38" s="48"/>
      <c r="B38" s="49" t="s">
        <v>57</v>
      </c>
      <c r="D38" s="50" t="s">
        <v>58</v>
      </c>
      <c r="E38" s="50"/>
      <c r="F38" s="50"/>
      <c r="G38" s="50" t="s">
        <v>59</v>
      </c>
      <c r="I38" s="50"/>
      <c r="K38" s="51"/>
      <c r="L38" s="50"/>
      <c r="M38" s="52" t="s">
        <v>60</v>
      </c>
      <c r="N38" s="50" t="s">
        <v>60</v>
      </c>
      <c r="P38" s="51"/>
      <c r="Q38" s="50" t="s">
        <v>60</v>
      </c>
      <c r="R38" s="50"/>
      <c r="S38" s="50"/>
    </row>
    <row r="39" spans="1:19" ht="14.4" x14ac:dyDescent="0.3">
      <c r="A39" s="48"/>
      <c r="B39" s="48"/>
      <c r="C39" s="48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</row>
    <row r="40" spans="1:19" x14ac:dyDescent="0.3">
      <c r="B40" s="54"/>
      <c r="C40" s="54"/>
    </row>
    <row r="41" spans="1:19" x14ac:dyDescent="0.3">
      <c r="A41" s="54"/>
      <c r="B41" s="54"/>
      <c r="C41" s="54"/>
    </row>
    <row r="42" spans="1:19" x14ac:dyDescent="0.3">
      <c r="A42" s="54"/>
      <c r="B42" s="54"/>
      <c r="C42" s="54"/>
    </row>
    <row r="43" spans="1:19" x14ac:dyDescent="0.3">
      <c r="A43" s="54"/>
      <c r="B43" s="54"/>
      <c r="C43" s="54"/>
    </row>
    <row r="44" spans="1:19" x14ac:dyDescent="0.3">
      <c r="A44" s="54"/>
      <c r="B44" s="54"/>
      <c r="C44" s="54"/>
    </row>
    <row r="45" spans="1:19" x14ac:dyDescent="0.3">
      <c r="A45" s="54"/>
      <c r="B45" s="54"/>
      <c r="C45" s="54"/>
    </row>
    <row r="46" spans="1:19" x14ac:dyDescent="0.3">
      <c r="A46" s="54"/>
      <c r="B46" s="54"/>
      <c r="C46" s="54"/>
    </row>
    <row r="47" spans="1:19" x14ac:dyDescent="0.3">
      <c r="A47" s="54"/>
      <c r="B47" s="54"/>
      <c r="C47" s="54"/>
    </row>
    <row r="48" spans="1:19" x14ac:dyDescent="0.3">
      <c r="A48" s="54"/>
      <c r="B48" s="54"/>
      <c r="C48" s="54"/>
    </row>
    <row r="49" spans="1:19" x14ac:dyDescent="0.3">
      <c r="A49" s="54"/>
      <c r="B49" s="54"/>
      <c r="C49" s="54"/>
    </row>
    <row r="50" spans="1:19" x14ac:dyDescent="0.3">
      <c r="A50" s="54"/>
      <c r="B50" s="54"/>
      <c r="C50" s="54"/>
    </row>
    <row r="51" spans="1:19" x14ac:dyDescent="0.3">
      <c r="A51" s="54"/>
      <c r="B51" s="54"/>
      <c r="C51" s="54"/>
    </row>
    <row r="52" spans="1:19" x14ac:dyDescent="0.3">
      <c r="A52" s="54"/>
      <c r="B52" s="54"/>
      <c r="C52" s="54"/>
    </row>
    <row r="53" spans="1:19" x14ac:dyDescent="0.3">
      <c r="A53" s="54"/>
      <c r="B53" s="54"/>
      <c r="C53" s="54"/>
    </row>
    <row r="54" spans="1:19" s="38" customFormat="1" x14ac:dyDescent="0.3">
      <c r="A54" s="54"/>
      <c r="B54" s="54"/>
      <c r="C54" s="54"/>
      <c r="D54" s="37"/>
      <c r="P54" s="5"/>
      <c r="Q54" s="5"/>
      <c r="R54" s="5"/>
      <c r="S54" s="5"/>
    </row>
    <row r="55" spans="1:19" s="38" customFormat="1" x14ac:dyDescent="0.3">
      <c r="A55" s="54"/>
      <c r="B55" s="54"/>
      <c r="C55" s="54"/>
      <c r="D55" s="37"/>
      <c r="P55" s="5"/>
      <c r="Q55" s="5"/>
      <c r="R55" s="5"/>
      <c r="S55" s="5"/>
    </row>
    <row r="56" spans="1:19" s="38" customFormat="1" x14ac:dyDescent="0.3">
      <c r="A56" s="54"/>
      <c r="B56" s="54"/>
      <c r="C56" s="54"/>
      <c r="D56" s="37"/>
      <c r="F56" s="38" t="s">
        <v>44</v>
      </c>
      <c r="P56" s="5"/>
      <c r="Q56" s="5"/>
      <c r="R56" s="5"/>
      <c r="S56" s="5"/>
    </row>
    <row r="57" spans="1:19" s="38" customFormat="1" x14ac:dyDescent="0.3">
      <c r="A57" s="54"/>
      <c r="B57" s="54"/>
      <c r="C57" s="54"/>
      <c r="D57" s="37"/>
      <c r="P57" s="5"/>
      <c r="Q57" s="5"/>
      <c r="R57" s="5"/>
      <c r="S57" s="5"/>
    </row>
    <row r="58" spans="1:19" s="38" customFormat="1" x14ac:dyDescent="0.3">
      <c r="A58" s="54"/>
      <c r="B58" s="54"/>
      <c r="C58" s="54"/>
      <c r="D58" s="37"/>
      <c r="P58" s="5"/>
      <c r="Q58" s="5"/>
      <c r="R58" s="5"/>
      <c r="S58" s="5"/>
    </row>
    <row r="59" spans="1:19" s="38" customFormat="1" x14ac:dyDescent="0.3">
      <c r="A59" s="54"/>
      <c r="B59" s="54"/>
      <c r="C59" s="54"/>
      <c r="D59" s="37"/>
      <c r="P59" s="5"/>
      <c r="Q59" s="5"/>
      <c r="R59" s="5"/>
      <c r="S59" s="5"/>
    </row>
    <row r="60" spans="1:19" s="38" customFormat="1" x14ac:dyDescent="0.3">
      <c r="A60" s="54"/>
      <c r="B60" s="54"/>
      <c r="C60" s="54"/>
      <c r="D60" s="37"/>
      <c r="P60" s="5"/>
      <c r="Q60" s="5"/>
      <c r="R60" s="5"/>
      <c r="S60" s="5"/>
    </row>
    <row r="61" spans="1:19" s="38" customFormat="1" x14ac:dyDescent="0.3">
      <c r="A61" s="54"/>
      <c r="B61" s="54"/>
      <c r="C61" s="54"/>
      <c r="D61" s="37"/>
      <c r="P61" s="5"/>
      <c r="Q61" s="5"/>
      <c r="R61" s="5"/>
      <c r="S61" s="5"/>
    </row>
    <row r="62" spans="1:19" s="38" customFormat="1" x14ac:dyDescent="0.3">
      <c r="A62" s="54"/>
      <c r="B62" s="54"/>
      <c r="C62" s="54"/>
      <c r="D62" s="37"/>
      <c r="P62" s="5"/>
      <c r="Q62" s="5"/>
      <c r="R62" s="5"/>
      <c r="S62" s="5"/>
    </row>
    <row r="63" spans="1:19" s="38" customFormat="1" x14ac:dyDescent="0.3">
      <c r="A63" s="54"/>
      <c r="B63" s="54"/>
      <c r="C63" s="54"/>
      <c r="D63" s="37"/>
      <c r="P63" s="5"/>
      <c r="Q63" s="5"/>
      <c r="R63" s="5"/>
      <c r="S63" s="5"/>
    </row>
    <row r="64" spans="1:19" s="38" customFormat="1" x14ac:dyDescent="0.3">
      <c r="A64" s="54"/>
      <c r="B64" s="54"/>
      <c r="C64" s="54"/>
      <c r="D64" s="37"/>
      <c r="P64" s="5"/>
      <c r="Q64" s="5"/>
      <c r="R64" s="5"/>
      <c r="S64" s="5"/>
    </row>
    <row r="65" spans="1:19" s="38" customFormat="1" x14ac:dyDescent="0.3">
      <c r="A65" s="54"/>
      <c r="B65" s="54"/>
      <c r="C65" s="54"/>
      <c r="D65" s="37"/>
      <c r="P65" s="5"/>
      <c r="Q65" s="5"/>
      <c r="R65" s="5"/>
      <c r="S65" s="5"/>
    </row>
    <row r="66" spans="1:19" s="38" customFormat="1" x14ac:dyDescent="0.3">
      <c r="A66" s="54"/>
      <c r="B66" s="54"/>
      <c r="C66" s="54"/>
      <c r="D66" s="37"/>
      <c r="P66" s="5"/>
      <c r="Q66" s="5"/>
      <c r="R66" s="5"/>
      <c r="S66" s="5"/>
    </row>
    <row r="67" spans="1:19" s="38" customFormat="1" x14ac:dyDescent="0.3">
      <c r="A67" s="54"/>
      <c r="B67" s="54"/>
      <c r="C67" s="54"/>
      <c r="D67" s="37"/>
      <c r="P67" s="5"/>
      <c r="Q67" s="5"/>
      <c r="R67" s="5"/>
      <c r="S67" s="5"/>
    </row>
    <row r="68" spans="1:19" s="38" customFormat="1" x14ac:dyDescent="0.3">
      <c r="A68" s="54"/>
      <c r="B68" s="54"/>
      <c r="C68" s="54"/>
      <c r="D68" s="37"/>
      <c r="P68" s="5"/>
      <c r="Q68" s="5"/>
      <c r="R68" s="5"/>
      <c r="S68" s="5"/>
    </row>
  </sheetData>
  <mergeCells count="9">
    <mergeCell ref="A28:B28"/>
    <mergeCell ref="M29:O29"/>
    <mergeCell ref="D30:E30"/>
    <mergeCell ref="G3:O3"/>
    <mergeCell ref="A4:A5"/>
    <mergeCell ref="B4:B5"/>
    <mergeCell ref="C4:C5"/>
    <mergeCell ref="D4:D5"/>
    <mergeCell ref="E4:S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643F-598C-4861-BFA6-29F5095B9408}">
  <dimension ref="A1:S66"/>
  <sheetViews>
    <sheetView workbookViewId="0">
      <selection activeCell="B6" sqref="B6"/>
    </sheetView>
  </sheetViews>
  <sheetFormatPr defaultRowHeight="15.6" x14ac:dyDescent="0.3"/>
  <cols>
    <col min="1" max="1" width="11.109375" style="37" customWidth="1"/>
    <col min="2" max="2" width="49.6640625" style="37" customWidth="1"/>
    <col min="3" max="3" width="8.44140625" style="37" customWidth="1"/>
    <col min="4" max="4" width="11.44140625" style="37" customWidth="1"/>
    <col min="5" max="5" width="14.6640625" style="38" customWidth="1"/>
    <col min="6" max="6" width="13.109375" style="38" customWidth="1"/>
    <col min="7" max="7" width="13" style="38" customWidth="1"/>
    <col min="8" max="8" width="10.109375" style="38" customWidth="1"/>
    <col min="9" max="9" width="14.109375" style="38" customWidth="1"/>
    <col min="10" max="10" width="10.88671875" style="38" customWidth="1"/>
    <col min="11" max="11" width="10.44140625" style="38" customWidth="1"/>
    <col min="12" max="12" width="10.5546875" style="38" customWidth="1"/>
    <col min="13" max="13" width="10.109375" style="38" customWidth="1"/>
    <col min="14" max="14" width="29" style="38" customWidth="1"/>
    <col min="15" max="15" width="10.44140625" style="38" bestFit="1" customWidth="1"/>
    <col min="16" max="16" width="7.6640625" style="5" customWidth="1"/>
    <col min="17" max="18" width="9.88671875" style="5" customWidth="1"/>
    <col min="19" max="19" width="9.6640625" style="5" customWidth="1"/>
  </cols>
  <sheetData>
    <row r="1" spans="1:19" ht="29.4" x14ac:dyDescent="0.45">
      <c r="A1" s="1" t="s">
        <v>0</v>
      </c>
      <c r="B1" s="2"/>
      <c r="C1" s="2"/>
      <c r="D1" s="3"/>
      <c r="E1" s="3"/>
      <c r="F1" s="3"/>
      <c r="G1" s="3"/>
      <c r="H1" s="3"/>
      <c r="I1" s="3"/>
      <c r="J1" s="4" t="s">
        <v>1</v>
      </c>
      <c r="K1" s="4"/>
      <c r="L1" s="4"/>
      <c r="M1" s="4"/>
      <c r="N1" s="4"/>
      <c r="O1" s="4"/>
    </row>
    <row r="2" spans="1:19" ht="29.4" x14ac:dyDescent="0.45">
      <c r="A2" s="1" t="s">
        <v>2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9" ht="20.399999999999999" x14ac:dyDescent="0.3">
      <c r="A3" s="6"/>
      <c r="B3" s="6"/>
      <c r="C3" s="6"/>
      <c r="D3" s="7"/>
      <c r="E3" s="7"/>
      <c r="F3" s="7"/>
      <c r="G3" s="8" t="s">
        <v>3</v>
      </c>
      <c r="H3" s="8"/>
      <c r="I3" s="8"/>
      <c r="J3" s="8"/>
      <c r="K3" s="8"/>
      <c r="L3" s="8"/>
      <c r="M3" s="8"/>
      <c r="N3" s="8"/>
      <c r="O3" s="8"/>
    </row>
    <row r="4" spans="1:19" ht="15" customHeight="1" x14ac:dyDescent="0.3">
      <c r="A4" s="204" t="s">
        <v>4</v>
      </c>
      <c r="B4" s="206" t="s">
        <v>5</v>
      </c>
      <c r="C4" s="208" t="s">
        <v>6</v>
      </c>
      <c r="D4" s="208" t="s">
        <v>7</v>
      </c>
      <c r="E4" s="210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2"/>
    </row>
    <row r="5" spans="1:19" ht="52.8" x14ac:dyDescent="0.3">
      <c r="A5" s="205"/>
      <c r="B5" s="207"/>
      <c r="C5" s="209"/>
      <c r="D5" s="209"/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17</v>
      </c>
      <c r="O5" s="9" t="s">
        <v>18</v>
      </c>
      <c r="P5" s="9" t="s">
        <v>19</v>
      </c>
      <c r="Q5" s="9" t="s">
        <v>16</v>
      </c>
      <c r="R5" s="9" t="s">
        <v>20</v>
      </c>
      <c r="S5" s="9" t="s">
        <v>21</v>
      </c>
    </row>
    <row r="6" spans="1:19" ht="14.4" x14ac:dyDescent="0.3">
      <c r="A6" s="10"/>
      <c r="B6" s="11"/>
      <c r="C6" s="12"/>
      <c r="D6" s="13"/>
      <c r="E6" s="14"/>
      <c r="F6" s="15"/>
      <c r="G6" s="16"/>
      <c r="H6" s="16"/>
      <c r="I6" s="16"/>
      <c r="J6" s="16"/>
      <c r="K6" s="16"/>
      <c r="L6" s="16"/>
      <c r="M6" s="16"/>
      <c r="N6" s="16"/>
      <c r="O6" s="17"/>
      <c r="P6" s="18"/>
      <c r="Q6" s="18"/>
      <c r="R6" s="18"/>
      <c r="S6" s="18"/>
    </row>
    <row r="7" spans="1:19" ht="14.4" x14ac:dyDescent="0.3">
      <c r="A7" s="10" t="s">
        <v>22</v>
      </c>
      <c r="B7" s="11" t="s">
        <v>23</v>
      </c>
      <c r="C7" s="12">
        <v>18259</v>
      </c>
      <c r="D7" s="13"/>
      <c r="E7" s="14">
        <v>1500</v>
      </c>
      <c r="F7" s="15"/>
      <c r="G7" s="16"/>
      <c r="H7" s="16"/>
      <c r="I7" s="16"/>
      <c r="J7" s="16"/>
      <c r="K7" s="16"/>
      <c r="L7" s="16"/>
      <c r="M7" s="16"/>
      <c r="N7" s="16"/>
      <c r="O7" s="17">
        <f>E7</f>
        <v>1500</v>
      </c>
      <c r="P7" s="18"/>
      <c r="Q7" s="18"/>
      <c r="R7" s="19"/>
      <c r="S7" s="19"/>
    </row>
    <row r="8" spans="1:19" ht="14.4" x14ac:dyDescent="0.3">
      <c r="A8" s="10" t="s">
        <v>22</v>
      </c>
      <c r="B8" s="11" t="s">
        <v>24</v>
      </c>
      <c r="C8" s="12">
        <v>18260</v>
      </c>
      <c r="D8" s="13"/>
      <c r="E8" s="14">
        <v>375</v>
      </c>
      <c r="F8" s="15"/>
      <c r="G8" s="16"/>
      <c r="H8" s="16"/>
      <c r="I8" s="16"/>
      <c r="J8" s="16"/>
      <c r="K8" s="16">
        <f>E8</f>
        <v>375</v>
      </c>
      <c r="L8" s="16"/>
      <c r="M8" s="16"/>
      <c r="N8" s="16"/>
      <c r="O8" s="17"/>
      <c r="P8" s="18"/>
      <c r="Q8" s="18"/>
      <c r="R8" s="19"/>
      <c r="S8" s="19"/>
    </row>
    <row r="9" spans="1:19" ht="14.4" x14ac:dyDescent="0.3">
      <c r="A9" s="10" t="s">
        <v>25</v>
      </c>
      <c r="B9" s="11" t="s">
        <v>26</v>
      </c>
      <c r="C9" s="12">
        <v>18261</v>
      </c>
      <c r="D9" s="13"/>
      <c r="E9" s="14">
        <v>1500</v>
      </c>
      <c r="F9" s="15"/>
      <c r="G9" s="16"/>
      <c r="H9" s="16"/>
      <c r="I9" s="16"/>
      <c r="J9" s="16"/>
      <c r="K9" s="16"/>
      <c r="L9" s="16"/>
      <c r="M9" s="16"/>
      <c r="N9" s="16"/>
      <c r="O9" s="17">
        <f>E9</f>
        <v>1500</v>
      </c>
      <c r="P9" s="18"/>
      <c r="Q9" s="18"/>
      <c r="R9" s="19"/>
      <c r="S9" s="19"/>
    </row>
    <row r="10" spans="1:19" ht="14.4" x14ac:dyDescent="0.3">
      <c r="A10" s="10" t="s">
        <v>27</v>
      </c>
      <c r="B10" s="11" t="s">
        <v>28</v>
      </c>
      <c r="C10" s="12">
        <v>18262</v>
      </c>
      <c r="D10" s="13"/>
      <c r="E10" s="14">
        <v>1500</v>
      </c>
      <c r="F10" s="15"/>
      <c r="G10" s="16"/>
      <c r="H10" s="16"/>
      <c r="I10" s="16"/>
      <c r="J10" s="16"/>
      <c r="K10" s="16"/>
      <c r="L10" s="16"/>
      <c r="M10" s="16"/>
      <c r="N10" s="16"/>
      <c r="O10" s="17">
        <f>E10</f>
        <v>1500</v>
      </c>
      <c r="P10" s="18"/>
      <c r="Q10" s="18"/>
      <c r="R10" s="19"/>
      <c r="S10" s="19"/>
    </row>
    <row r="11" spans="1:19" ht="14.4" x14ac:dyDescent="0.3">
      <c r="A11" s="10" t="s">
        <v>29</v>
      </c>
      <c r="B11" s="11" t="s">
        <v>30</v>
      </c>
      <c r="C11" s="12">
        <v>18263</v>
      </c>
      <c r="D11" s="13"/>
      <c r="E11" s="14">
        <v>2000</v>
      </c>
      <c r="F11" s="15"/>
      <c r="G11" s="16"/>
      <c r="H11" s="16"/>
      <c r="I11" s="16"/>
      <c r="J11" s="16"/>
      <c r="K11" s="16"/>
      <c r="L11" s="16"/>
      <c r="M11" s="16"/>
      <c r="N11" s="16"/>
      <c r="O11" s="17"/>
      <c r="P11" s="18"/>
      <c r="Q11" s="18"/>
      <c r="R11" s="19"/>
      <c r="S11" s="19">
        <f>E11</f>
        <v>2000</v>
      </c>
    </row>
    <row r="12" spans="1:19" ht="14.4" x14ac:dyDescent="0.3">
      <c r="A12" s="10" t="s">
        <v>29</v>
      </c>
      <c r="B12" s="11" t="s">
        <v>31</v>
      </c>
      <c r="C12" s="12">
        <v>18264</v>
      </c>
      <c r="D12" s="13"/>
      <c r="E12" s="14">
        <v>960</v>
      </c>
      <c r="F12" s="15"/>
      <c r="G12" s="16"/>
      <c r="H12" s="16"/>
      <c r="I12" s="16"/>
      <c r="J12" s="16">
        <f>E12</f>
        <v>960</v>
      </c>
      <c r="K12" s="16"/>
      <c r="L12" s="16"/>
      <c r="M12" s="16"/>
      <c r="N12" s="16"/>
      <c r="O12" s="17">
        <f>E12</f>
        <v>960</v>
      </c>
      <c r="P12" s="18"/>
      <c r="Q12" s="18"/>
      <c r="R12" s="19"/>
      <c r="S12" s="19"/>
    </row>
    <row r="13" spans="1:19" ht="14.4" x14ac:dyDescent="0.3">
      <c r="A13" s="10" t="s">
        <v>29</v>
      </c>
      <c r="B13" s="11" t="s">
        <v>32</v>
      </c>
      <c r="C13" s="12">
        <v>18265</v>
      </c>
      <c r="D13" s="13"/>
      <c r="E13" s="14">
        <v>1080</v>
      </c>
      <c r="F13" s="15"/>
      <c r="G13" s="16">
        <f>E13</f>
        <v>1080</v>
      </c>
      <c r="H13" s="16"/>
      <c r="I13" s="16"/>
      <c r="J13" s="16"/>
      <c r="K13" s="16"/>
      <c r="L13" s="16"/>
      <c r="M13" s="16"/>
      <c r="N13" s="16"/>
      <c r="O13" s="17">
        <f>E13</f>
        <v>1080</v>
      </c>
      <c r="P13" s="18"/>
      <c r="Q13" s="18"/>
      <c r="R13" s="19"/>
      <c r="S13" s="19"/>
    </row>
    <row r="14" spans="1:19" ht="14.4" x14ac:dyDescent="0.3">
      <c r="A14" s="10" t="s">
        <v>33</v>
      </c>
      <c r="B14" s="11" t="s">
        <v>34</v>
      </c>
      <c r="C14" s="12">
        <v>18266</v>
      </c>
      <c r="D14" s="13"/>
      <c r="E14" s="14">
        <v>1500</v>
      </c>
      <c r="F14" s="15"/>
      <c r="G14" s="16"/>
      <c r="H14" s="16"/>
      <c r="I14" s="16"/>
      <c r="J14" s="16"/>
      <c r="K14" s="16"/>
      <c r="L14" s="16"/>
      <c r="M14" s="16"/>
      <c r="N14" s="16"/>
      <c r="O14" s="17">
        <f>E14</f>
        <v>1500</v>
      </c>
      <c r="P14" s="18"/>
      <c r="Q14" s="18"/>
      <c r="R14" s="19"/>
      <c r="S14" s="19"/>
    </row>
    <row r="15" spans="1:19" ht="14.4" x14ac:dyDescent="0.3">
      <c r="A15" s="10" t="s">
        <v>35</v>
      </c>
      <c r="B15" s="11" t="s">
        <v>36</v>
      </c>
      <c r="C15" s="12">
        <v>18267</v>
      </c>
      <c r="D15" s="13"/>
      <c r="E15" s="14">
        <v>3000</v>
      </c>
      <c r="F15" s="15"/>
      <c r="G15" s="16"/>
      <c r="H15" s="16"/>
      <c r="I15" s="16"/>
      <c r="J15" s="16"/>
      <c r="K15" s="16"/>
      <c r="L15" s="16"/>
      <c r="M15" s="16"/>
      <c r="N15" s="16"/>
      <c r="O15" s="17">
        <f>E15</f>
        <v>3000</v>
      </c>
      <c r="P15" s="18"/>
      <c r="Q15" s="18"/>
      <c r="R15" s="19"/>
      <c r="S15" s="19"/>
    </row>
    <row r="16" spans="1:19" ht="14.4" x14ac:dyDescent="0.3">
      <c r="A16" s="10" t="s">
        <v>37</v>
      </c>
      <c r="B16" s="11" t="s">
        <v>31</v>
      </c>
      <c r="C16" s="12">
        <v>18268</v>
      </c>
      <c r="D16" s="13"/>
      <c r="E16" s="14">
        <v>480</v>
      </c>
      <c r="F16" s="15"/>
      <c r="G16" s="16"/>
      <c r="H16" s="16"/>
      <c r="I16" s="16"/>
      <c r="J16" s="16">
        <f>E16</f>
        <v>480</v>
      </c>
      <c r="K16" s="16"/>
      <c r="L16" s="16"/>
      <c r="M16" s="16"/>
      <c r="N16" s="16"/>
      <c r="O16" s="17">
        <f>E16</f>
        <v>480</v>
      </c>
      <c r="P16" s="18"/>
      <c r="Q16" s="18"/>
      <c r="R16" s="19"/>
      <c r="S16" s="19"/>
    </row>
    <row r="17" spans="1:19" ht="14.4" x14ac:dyDescent="0.3">
      <c r="A17" s="10" t="s">
        <v>38</v>
      </c>
      <c r="B17" s="11" t="s">
        <v>30</v>
      </c>
      <c r="C17" s="12">
        <v>18269</v>
      </c>
      <c r="D17" s="13"/>
      <c r="E17" s="20">
        <v>2000</v>
      </c>
      <c r="F17" s="15"/>
      <c r="G17" s="16"/>
      <c r="H17" s="16"/>
      <c r="I17" s="16"/>
      <c r="J17" s="16"/>
      <c r="K17" s="16"/>
      <c r="L17" s="16"/>
      <c r="M17" s="16"/>
      <c r="N17" s="16"/>
      <c r="O17" s="17"/>
      <c r="P17" s="18"/>
      <c r="Q17" s="18"/>
      <c r="R17" s="19"/>
      <c r="S17" s="19">
        <v>2000</v>
      </c>
    </row>
    <row r="18" spans="1:19" ht="14.4" x14ac:dyDescent="0.3">
      <c r="A18" s="10" t="s">
        <v>39</v>
      </c>
      <c r="B18" s="11" t="s">
        <v>32</v>
      </c>
      <c r="C18" s="12">
        <v>18270</v>
      </c>
      <c r="D18" s="13"/>
      <c r="E18" s="20">
        <v>200</v>
      </c>
      <c r="F18" s="15"/>
      <c r="G18" s="16">
        <f>E18</f>
        <v>200</v>
      </c>
      <c r="H18" s="16"/>
      <c r="I18" s="16"/>
      <c r="J18" s="16"/>
      <c r="K18" s="16"/>
      <c r="L18" s="16"/>
      <c r="M18" s="16"/>
      <c r="N18" s="16"/>
      <c r="O18" s="17"/>
      <c r="P18" s="18"/>
      <c r="Q18" s="18"/>
      <c r="R18" s="19"/>
      <c r="S18" s="19"/>
    </row>
    <row r="19" spans="1:19" ht="14.4" x14ac:dyDescent="0.3">
      <c r="A19" s="10" t="s">
        <v>39</v>
      </c>
      <c r="B19" s="11" t="s">
        <v>31</v>
      </c>
      <c r="C19" s="12">
        <v>18271</v>
      </c>
      <c r="D19" s="13"/>
      <c r="E19" s="20">
        <v>2160</v>
      </c>
      <c r="F19" s="15"/>
      <c r="G19" s="16"/>
      <c r="H19" s="16"/>
      <c r="I19" s="16"/>
      <c r="J19" s="16">
        <f>E19</f>
        <v>2160</v>
      </c>
      <c r="K19" s="16"/>
      <c r="L19" s="16"/>
      <c r="M19" s="16"/>
      <c r="N19" s="16"/>
      <c r="O19" s="17"/>
      <c r="P19" s="18"/>
      <c r="Q19" s="18"/>
      <c r="R19" s="19"/>
      <c r="S19" s="19"/>
    </row>
    <row r="20" spans="1:19" ht="14.4" x14ac:dyDescent="0.3">
      <c r="A20" s="10" t="s">
        <v>39</v>
      </c>
      <c r="B20" s="11" t="s">
        <v>40</v>
      </c>
      <c r="C20" s="12">
        <v>18272</v>
      </c>
      <c r="D20" s="13"/>
      <c r="E20" s="20">
        <v>4350</v>
      </c>
      <c r="F20" s="15"/>
      <c r="G20" s="16"/>
      <c r="H20" s="16"/>
      <c r="I20" s="16"/>
      <c r="J20" s="16"/>
      <c r="K20" s="16"/>
      <c r="L20" s="16">
        <f>E20</f>
        <v>4350</v>
      </c>
      <c r="M20" s="16"/>
      <c r="N20" s="16"/>
      <c r="O20" s="17"/>
      <c r="P20" s="18"/>
      <c r="Q20" s="18"/>
      <c r="R20" s="19"/>
      <c r="S20" s="19"/>
    </row>
    <row r="21" spans="1:19" ht="14.4" x14ac:dyDescent="0.3">
      <c r="A21" s="10" t="s">
        <v>41</v>
      </c>
      <c r="B21" s="11" t="s">
        <v>32</v>
      </c>
      <c r="C21" s="12">
        <v>18273</v>
      </c>
      <c r="D21" s="13"/>
      <c r="E21" s="20">
        <v>2385</v>
      </c>
      <c r="F21" s="15"/>
      <c r="G21" s="16">
        <f>E21</f>
        <v>2385</v>
      </c>
      <c r="H21" s="16"/>
      <c r="I21" s="16"/>
      <c r="J21" s="16"/>
      <c r="K21" s="16"/>
      <c r="L21" s="16"/>
      <c r="M21" s="16"/>
      <c r="N21" s="16"/>
      <c r="O21" s="17"/>
      <c r="P21" s="18"/>
      <c r="Q21" s="18"/>
      <c r="R21" s="19"/>
      <c r="S21" s="19"/>
    </row>
    <row r="22" spans="1:19" ht="14.4" x14ac:dyDescent="0.3">
      <c r="A22" s="10" t="s">
        <v>41</v>
      </c>
      <c r="B22" s="11" t="s">
        <v>42</v>
      </c>
      <c r="C22" s="12">
        <v>18274</v>
      </c>
      <c r="D22" s="13"/>
      <c r="E22" s="20">
        <v>750</v>
      </c>
      <c r="F22" s="15"/>
      <c r="G22" s="16"/>
      <c r="H22" s="16"/>
      <c r="I22" s="16"/>
      <c r="J22" s="16"/>
      <c r="K22" s="16">
        <f>E22</f>
        <v>750</v>
      </c>
      <c r="L22" s="16"/>
      <c r="M22" s="16"/>
      <c r="N22" s="16"/>
      <c r="O22" s="17"/>
      <c r="P22" s="18"/>
      <c r="Q22" s="18"/>
      <c r="R22" s="19"/>
      <c r="S22" s="19"/>
    </row>
    <row r="23" spans="1:19" ht="14.4" x14ac:dyDescent="0.3">
      <c r="A23" s="10"/>
      <c r="B23" s="11"/>
      <c r="C23" s="12">
        <v>18275</v>
      </c>
      <c r="D23" s="13"/>
      <c r="E23" s="20"/>
      <c r="F23" s="15"/>
      <c r="G23" s="16"/>
      <c r="H23" s="16"/>
      <c r="I23" s="16"/>
      <c r="J23" s="16"/>
      <c r="K23" s="16"/>
      <c r="L23" s="16"/>
      <c r="M23" s="16"/>
      <c r="N23" s="16"/>
      <c r="O23" s="17"/>
      <c r="P23" s="18"/>
      <c r="Q23" s="18"/>
      <c r="R23" s="19"/>
      <c r="S23" s="19"/>
    </row>
    <row r="24" spans="1:19" ht="14.4" x14ac:dyDescent="0.3">
      <c r="A24" s="21"/>
      <c r="B24" s="22"/>
      <c r="C24" s="23"/>
      <c r="D24" s="24"/>
      <c r="E24" s="25"/>
      <c r="F24" s="15"/>
      <c r="G24" s="26"/>
      <c r="H24" s="26"/>
      <c r="I24" s="26"/>
      <c r="J24" s="26"/>
      <c r="K24" s="26"/>
      <c r="L24" s="27"/>
      <c r="M24" s="26"/>
      <c r="N24" s="28"/>
      <c r="O24" s="26"/>
      <c r="P24" s="29"/>
      <c r="Q24" s="29"/>
      <c r="R24" s="30"/>
      <c r="S24" s="31"/>
    </row>
    <row r="25" spans="1:19" ht="15" thickBot="1" x14ac:dyDescent="0.35">
      <c r="A25" s="32"/>
      <c r="B25" s="32"/>
      <c r="C25" s="32"/>
      <c r="D25" s="33">
        <v>60000</v>
      </c>
      <c r="E25" s="34">
        <f t="shared" ref="E25:S25" si="0">SUM(E6:E24)</f>
        <v>25740</v>
      </c>
      <c r="F25" s="34">
        <f t="shared" si="0"/>
        <v>0</v>
      </c>
      <c r="G25" s="34">
        <f t="shared" si="0"/>
        <v>3665</v>
      </c>
      <c r="H25" s="34">
        <f t="shared" si="0"/>
        <v>0</v>
      </c>
      <c r="I25" s="34">
        <f t="shared" si="0"/>
        <v>0</v>
      </c>
      <c r="J25" s="34">
        <f t="shared" si="0"/>
        <v>3600</v>
      </c>
      <c r="K25" s="34">
        <f t="shared" si="0"/>
        <v>1125</v>
      </c>
      <c r="L25" s="34">
        <f t="shared" si="0"/>
        <v>4350</v>
      </c>
      <c r="M25" s="34">
        <f t="shared" si="0"/>
        <v>0</v>
      </c>
      <c r="N25" s="34">
        <f t="shared" si="0"/>
        <v>0</v>
      </c>
      <c r="O25" s="34">
        <f t="shared" si="0"/>
        <v>11520</v>
      </c>
      <c r="P25" s="34">
        <f t="shared" si="0"/>
        <v>0</v>
      </c>
      <c r="Q25" s="34">
        <f t="shared" si="0"/>
        <v>0</v>
      </c>
      <c r="R25" s="34">
        <f t="shared" si="0"/>
        <v>0</v>
      </c>
      <c r="S25" s="34">
        <f t="shared" si="0"/>
        <v>4000</v>
      </c>
    </row>
    <row r="26" spans="1:19" ht="15" thickTop="1" x14ac:dyDescent="0.3">
      <c r="A26" s="213" t="s">
        <v>43</v>
      </c>
      <c r="B26" s="213"/>
      <c r="C26" s="35"/>
      <c r="D26" s="36">
        <f>SUM(D25)-E25</f>
        <v>34260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9" ht="16.2" thickBot="1" x14ac:dyDescent="0.35">
      <c r="D27" s="38"/>
      <c r="E27" s="38" t="s">
        <v>44</v>
      </c>
      <c r="M27" s="201"/>
      <c r="N27" s="201"/>
      <c r="O27" s="201"/>
    </row>
    <row r="28" spans="1:19" ht="29.4" thickBot="1" x14ac:dyDescent="0.6">
      <c r="B28" s="40" t="s">
        <v>45</v>
      </c>
      <c r="C28" s="41"/>
      <c r="D28" s="196">
        <f>E25</f>
        <v>25740</v>
      </c>
      <c r="E28" s="197"/>
      <c r="F28" s="42"/>
      <c r="G28" s="43"/>
      <c r="H28" s="43"/>
      <c r="I28" s="43"/>
      <c r="J28" s="43"/>
      <c r="K28" s="43"/>
      <c r="L28" s="43"/>
    </row>
    <row r="29" spans="1:19" x14ac:dyDescent="0.3">
      <c r="A29" s="44"/>
      <c r="B29" s="45"/>
      <c r="C29" s="45"/>
      <c r="D29" s="45"/>
      <c r="E29" s="46"/>
      <c r="F29" s="46"/>
      <c r="G29" s="46"/>
      <c r="H29" s="46"/>
      <c r="I29" s="46"/>
      <c r="J29" s="46"/>
      <c r="K29" s="46"/>
      <c r="L29" s="46"/>
      <c r="M29" s="47"/>
      <c r="N29" s="5"/>
      <c r="O29" s="5"/>
    </row>
    <row r="30" spans="1:19" x14ac:dyDescent="0.3">
      <c r="A30" s="44"/>
      <c r="B30" s="45"/>
      <c r="C30" s="45"/>
      <c r="D30" s="45"/>
      <c r="E30" s="46"/>
      <c r="F30" s="46"/>
      <c r="G30" s="46"/>
      <c r="H30" s="46"/>
      <c r="I30" s="46"/>
      <c r="J30" s="46"/>
      <c r="K30" s="46"/>
      <c r="L30" s="46"/>
      <c r="M30" s="47"/>
      <c r="N30" s="5"/>
      <c r="O30" s="5"/>
    </row>
    <row r="31" spans="1:19" x14ac:dyDescent="0.3">
      <c r="A31" s="44"/>
      <c r="B31" s="45"/>
      <c r="C31" s="45"/>
      <c r="D31" s="45"/>
      <c r="E31" s="46"/>
      <c r="F31" s="46"/>
      <c r="G31" s="46"/>
      <c r="H31" s="46"/>
      <c r="I31" s="46"/>
      <c r="J31" s="46"/>
      <c r="K31" s="46"/>
      <c r="L31" s="46"/>
      <c r="M31" s="47"/>
      <c r="N31" s="5"/>
      <c r="O31" s="5"/>
    </row>
    <row r="32" spans="1:19" ht="16.2" x14ac:dyDescent="0.35">
      <c r="A32" s="48"/>
      <c r="B32" s="49" t="s">
        <v>46</v>
      </c>
      <c r="D32" s="50" t="s">
        <v>47</v>
      </c>
      <c r="E32" s="50"/>
      <c r="F32" s="50"/>
      <c r="G32" s="50" t="s">
        <v>47</v>
      </c>
      <c r="I32" s="50"/>
      <c r="K32" s="51"/>
      <c r="L32" s="50"/>
      <c r="M32" s="52" t="s">
        <v>48</v>
      </c>
      <c r="N32" s="50" t="s">
        <v>48</v>
      </c>
      <c r="P32" s="51"/>
      <c r="Q32" s="50" t="s">
        <v>48</v>
      </c>
      <c r="R32" s="50"/>
      <c r="S32" s="50"/>
    </row>
    <row r="33" spans="1:19" ht="16.2" x14ac:dyDescent="0.35">
      <c r="A33" s="48"/>
      <c r="B33" s="49" t="s">
        <v>49</v>
      </c>
      <c r="D33" s="50" t="s">
        <v>50</v>
      </c>
      <c r="E33" s="50"/>
      <c r="F33" s="50"/>
      <c r="G33" s="50" t="s">
        <v>51</v>
      </c>
      <c r="I33" s="50"/>
      <c r="K33" s="51"/>
      <c r="L33" s="50"/>
      <c r="M33" s="52" t="s">
        <v>52</v>
      </c>
      <c r="N33" s="50" t="s">
        <v>52</v>
      </c>
      <c r="P33" s="51"/>
      <c r="Q33" s="50" t="s">
        <v>52</v>
      </c>
      <c r="R33" s="50"/>
      <c r="S33" s="50"/>
    </row>
    <row r="34" spans="1:19" ht="16.2" x14ac:dyDescent="0.35">
      <c r="A34" s="48"/>
      <c r="B34" s="49" t="s">
        <v>53</v>
      </c>
      <c r="D34" s="50" t="s">
        <v>54</v>
      </c>
      <c r="E34" s="50"/>
      <c r="F34" s="50"/>
      <c r="G34" s="50" t="s">
        <v>55</v>
      </c>
      <c r="I34" s="50"/>
      <c r="K34" s="51"/>
      <c r="L34" s="50"/>
      <c r="M34" s="52" t="s">
        <v>56</v>
      </c>
      <c r="N34" s="50" t="s">
        <v>56</v>
      </c>
      <c r="P34" s="51"/>
      <c r="Q34" s="50" t="s">
        <v>56</v>
      </c>
      <c r="R34" s="50"/>
      <c r="S34" s="50"/>
    </row>
    <row r="35" spans="1:19" ht="16.2" x14ac:dyDescent="0.35">
      <c r="A35" s="48"/>
      <c r="B35" s="49" t="s">
        <v>57</v>
      </c>
      <c r="D35" s="50" t="s">
        <v>58</v>
      </c>
      <c r="E35" s="50"/>
      <c r="F35" s="50"/>
      <c r="G35" s="50" t="s">
        <v>59</v>
      </c>
      <c r="I35" s="50"/>
      <c r="K35" s="51"/>
      <c r="L35" s="50"/>
      <c r="M35" s="52" t="s">
        <v>60</v>
      </c>
      <c r="N35" s="50" t="s">
        <v>60</v>
      </c>
      <c r="P35" s="51"/>
      <c r="Q35" s="50" t="s">
        <v>60</v>
      </c>
      <c r="R35" s="50"/>
      <c r="S35" s="50"/>
    </row>
    <row r="36" spans="1:19" ht="14.4" x14ac:dyDescent="0.3">
      <c r="A36" s="48"/>
      <c r="B36" s="48"/>
      <c r="C36" s="48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</row>
    <row r="38" spans="1:19" x14ac:dyDescent="0.3">
      <c r="B38" s="54"/>
      <c r="C38" s="54"/>
    </row>
    <row r="39" spans="1:19" x14ac:dyDescent="0.3">
      <c r="A39" s="54"/>
      <c r="B39" s="54"/>
      <c r="C39" s="54"/>
    </row>
    <row r="40" spans="1:19" x14ac:dyDescent="0.3">
      <c r="A40" s="54"/>
      <c r="B40" s="54"/>
      <c r="C40" s="54"/>
    </row>
    <row r="41" spans="1:19" x14ac:dyDescent="0.3">
      <c r="A41" s="54"/>
      <c r="B41" s="54"/>
      <c r="C41" s="54"/>
    </row>
    <row r="42" spans="1:19" x14ac:dyDescent="0.3">
      <c r="A42" s="54"/>
      <c r="B42" s="54"/>
      <c r="C42" s="54"/>
    </row>
    <row r="43" spans="1:19" x14ac:dyDescent="0.3">
      <c r="A43" s="54"/>
      <c r="B43" s="54"/>
      <c r="C43" s="54"/>
    </row>
    <row r="44" spans="1:19" x14ac:dyDescent="0.3">
      <c r="A44" s="54"/>
      <c r="B44" s="54"/>
      <c r="C44" s="54"/>
    </row>
    <row r="45" spans="1:19" x14ac:dyDescent="0.3">
      <c r="A45" s="54"/>
      <c r="B45" s="54"/>
      <c r="C45" s="54"/>
    </row>
    <row r="46" spans="1:19" x14ac:dyDescent="0.3">
      <c r="A46" s="54"/>
      <c r="B46" s="54"/>
      <c r="C46" s="54"/>
    </row>
    <row r="47" spans="1:19" x14ac:dyDescent="0.3">
      <c r="A47" s="54"/>
      <c r="B47" s="54"/>
      <c r="C47" s="54"/>
    </row>
    <row r="48" spans="1:19" x14ac:dyDescent="0.3">
      <c r="A48" s="54"/>
      <c r="B48" s="54"/>
      <c r="C48" s="54"/>
    </row>
    <row r="49" spans="1:19" x14ac:dyDescent="0.3">
      <c r="A49" s="54"/>
      <c r="B49" s="54"/>
      <c r="C49" s="54"/>
    </row>
    <row r="50" spans="1:19" x14ac:dyDescent="0.3">
      <c r="A50" s="54"/>
      <c r="B50" s="54"/>
      <c r="C50" s="54"/>
    </row>
    <row r="51" spans="1:19" x14ac:dyDescent="0.3">
      <c r="A51" s="54"/>
      <c r="B51" s="54"/>
      <c r="C51" s="54"/>
    </row>
    <row r="52" spans="1:19" s="38" customFormat="1" x14ac:dyDescent="0.3">
      <c r="A52" s="54"/>
      <c r="B52" s="54"/>
      <c r="C52" s="54"/>
      <c r="D52" s="37"/>
      <c r="P52" s="5"/>
      <c r="Q52" s="5"/>
      <c r="R52" s="5"/>
      <c r="S52" s="5"/>
    </row>
    <row r="53" spans="1:19" s="38" customFormat="1" x14ac:dyDescent="0.3">
      <c r="A53" s="54"/>
      <c r="B53" s="54"/>
      <c r="C53" s="54"/>
      <c r="D53" s="37"/>
      <c r="G53" s="38" t="s">
        <v>44</v>
      </c>
      <c r="P53" s="5"/>
      <c r="Q53" s="5"/>
      <c r="R53" s="5"/>
      <c r="S53" s="5"/>
    </row>
    <row r="54" spans="1:19" s="38" customFormat="1" x14ac:dyDescent="0.3">
      <c r="A54" s="54"/>
      <c r="B54" s="54"/>
      <c r="C54" s="54"/>
      <c r="D54" s="37"/>
      <c r="P54" s="5"/>
      <c r="Q54" s="5"/>
      <c r="R54" s="5"/>
      <c r="S54" s="5"/>
    </row>
    <row r="55" spans="1:19" s="38" customFormat="1" x14ac:dyDescent="0.3">
      <c r="A55" s="54"/>
      <c r="B55" s="54"/>
      <c r="C55" s="54"/>
      <c r="D55" s="37"/>
      <c r="P55" s="5"/>
      <c r="Q55" s="5"/>
      <c r="R55" s="5"/>
      <c r="S55" s="5"/>
    </row>
    <row r="56" spans="1:19" s="38" customFormat="1" x14ac:dyDescent="0.3">
      <c r="A56" s="54"/>
      <c r="B56" s="54"/>
      <c r="C56" s="54"/>
      <c r="D56" s="37"/>
      <c r="P56" s="5"/>
      <c r="Q56" s="5"/>
      <c r="R56" s="5"/>
      <c r="S56" s="5"/>
    </row>
    <row r="57" spans="1:19" s="38" customFormat="1" x14ac:dyDescent="0.3">
      <c r="A57" s="54"/>
      <c r="B57" s="54"/>
      <c r="C57" s="54"/>
      <c r="D57" s="37"/>
      <c r="P57" s="5"/>
      <c r="Q57" s="5"/>
      <c r="R57" s="5"/>
      <c r="S57" s="5"/>
    </row>
    <row r="58" spans="1:19" s="38" customFormat="1" x14ac:dyDescent="0.3">
      <c r="A58" s="54"/>
      <c r="B58" s="54"/>
      <c r="C58" s="54"/>
      <c r="D58" s="37"/>
      <c r="P58" s="5"/>
      <c r="Q58" s="5"/>
      <c r="R58" s="5"/>
      <c r="S58" s="5"/>
    </row>
    <row r="59" spans="1:19" s="38" customFormat="1" x14ac:dyDescent="0.3">
      <c r="A59" s="54"/>
      <c r="B59" s="54"/>
      <c r="C59" s="54"/>
      <c r="D59" s="37"/>
      <c r="P59" s="5"/>
      <c r="Q59" s="5"/>
      <c r="R59" s="5"/>
      <c r="S59" s="5"/>
    </row>
    <row r="60" spans="1:19" s="38" customFormat="1" x14ac:dyDescent="0.3">
      <c r="A60" s="54"/>
      <c r="B60" s="54"/>
      <c r="C60" s="54"/>
      <c r="D60" s="37"/>
      <c r="P60" s="5"/>
      <c r="Q60" s="5"/>
      <c r="R60" s="5"/>
      <c r="S60" s="5"/>
    </row>
    <row r="61" spans="1:19" s="38" customFormat="1" x14ac:dyDescent="0.3">
      <c r="A61" s="54"/>
      <c r="B61" s="54"/>
      <c r="C61" s="54"/>
      <c r="D61" s="37"/>
      <c r="P61" s="5"/>
      <c r="Q61" s="5"/>
      <c r="R61" s="5"/>
      <c r="S61" s="5"/>
    </row>
    <row r="62" spans="1:19" s="38" customFormat="1" x14ac:dyDescent="0.3">
      <c r="A62" s="54"/>
      <c r="B62" s="54"/>
      <c r="C62" s="54"/>
      <c r="D62" s="37"/>
      <c r="P62" s="5"/>
      <c r="Q62" s="5"/>
      <c r="R62" s="5"/>
      <c r="S62" s="5"/>
    </row>
    <row r="63" spans="1:19" s="38" customFormat="1" x14ac:dyDescent="0.3">
      <c r="A63" s="54"/>
      <c r="B63" s="54"/>
      <c r="C63" s="54"/>
      <c r="D63" s="37"/>
      <c r="P63" s="5"/>
      <c r="Q63" s="5"/>
      <c r="R63" s="5"/>
      <c r="S63" s="5"/>
    </row>
    <row r="64" spans="1:19" s="38" customFormat="1" x14ac:dyDescent="0.3">
      <c r="A64" s="54"/>
      <c r="B64" s="54"/>
      <c r="C64" s="54"/>
      <c r="D64" s="37"/>
      <c r="P64" s="5"/>
      <c r="Q64" s="5"/>
      <c r="R64" s="5"/>
      <c r="S64" s="5"/>
    </row>
    <row r="65" spans="1:19" s="38" customFormat="1" x14ac:dyDescent="0.3">
      <c r="A65" s="54"/>
      <c r="B65" s="54"/>
      <c r="C65" s="54"/>
      <c r="D65" s="37"/>
      <c r="P65" s="5"/>
      <c r="Q65" s="5"/>
      <c r="R65" s="5"/>
      <c r="S65" s="5"/>
    </row>
    <row r="66" spans="1:19" s="38" customFormat="1" x14ac:dyDescent="0.3">
      <c r="A66" s="54"/>
      <c r="B66" s="54"/>
      <c r="C66" s="54"/>
      <c r="D66" s="37"/>
      <c r="P66" s="5"/>
      <c r="Q66" s="5"/>
      <c r="R66" s="5"/>
      <c r="S66" s="5"/>
    </row>
  </sheetData>
  <mergeCells count="8">
    <mergeCell ref="M27:O27"/>
    <mergeCell ref="D28:E28"/>
    <mergeCell ref="A4:A5"/>
    <mergeCell ref="B4:B5"/>
    <mergeCell ref="C4:C5"/>
    <mergeCell ref="D4:D5"/>
    <mergeCell ref="E4:S4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2024.10.16</vt:lpstr>
      <vt:lpstr>2024.10.07</vt:lpstr>
      <vt:lpstr>2024.08.13</vt:lpstr>
      <vt:lpstr>2024.08.12</vt:lpstr>
      <vt:lpstr>2024.07.24</vt:lpstr>
      <vt:lpstr>2024.07.18</vt:lpstr>
      <vt:lpstr>2024.07.14</vt:lpstr>
      <vt:lpstr>2024.06.11</vt:lpstr>
      <vt:lpstr>2024.06.06</vt:lpstr>
      <vt:lpstr>2024.05.17</vt:lpstr>
      <vt:lpstr>2024.05.16</vt:lpstr>
      <vt:lpstr>2024.04.29</vt:lpstr>
      <vt:lpstr>2024.04.09</vt:lpstr>
      <vt:lpstr>2024.03.04</vt:lpstr>
      <vt:lpstr>2024.03.28</vt:lpstr>
      <vt:lpstr>2024.03.13-II</vt:lpstr>
      <vt:lpstr>2024.03.13</vt:lpstr>
      <vt:lpstr>2024.03.01</vt:lpstr>
      <vt:lpstr>2024.02.19</vt:lpstr>
      <vt:lpstr>2024.02.05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LIHINI</dc:creator>
  <cp:lastModifiedBy>Iresha Ravihari</cp:lastModifiedBy>
  <dcterms:created xsi:type="dcterms:W3CDTF">2015-06-05T18:17:20Z</dcterms:created>
  <dcterms:modified xsi:type="dcterms:W3CDTF">2024-11-06T04:40:51Z</dcterms:modified>
</cp:coreProperties>
</file>