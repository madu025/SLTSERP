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Audit Requested Report\"/>
    </mc:Choice>
  </mc:AlternateContent>
  <xr:revisionPtr revIDLastSave="0" documentId="8_{B8ED7037-DDD5-4A34-AE9A-79F4B06DE096}" xr6:coauthVersionLast="47" xr6:coauthVersionMax="47" xr10:uidLastSave="{00000000-0000-0000-0000-000000000000}"/>
  <bookViews>
    <workbookView xWindow="-108" yWindow="-108" windowWidth="23256" windowHeight="12456" tabRatio="888" xr2:uid="{00000000-000D-0000-FFFF-FFFF00000000}"/>
  </bookViews>
  <sheets>
    <sheet name="2024.10.25" sheetId="13" r:id="rId1"/>
    <sheet name="2024.10.15-II" sheetId="12" r:id="rId2"/>
    <sheet name="2024.10.15" sheetId="1" r:id="rId3"/>
    <sheet name="2024.09.04" sheetId="2" r:id="rId4"/>
    <sheet name="2024.08.28" sheetId="3" r:id="rId5"/>
    <sheet name="2024.08.01-II" sheetId="4" r:id="rId6"/>
    <sheet name="2024.08.01" sheetId="5" r:id="rId7"/>
    <sheet name="2024.06.06" sheetId="6" r:id="rId8"/>
    <sheet name="2024.04.29" sheetId="7" r:id="rId9"/>
    <sheet name="2024.03.21" sheetId="8" r:id="rId10"/>
    <sheet name="2024.02.22-II" sheetId="9" r:id="rId11"/>
    <sheet name="2024.02.22" sheetId="10" r:id="rId12"/>
    <sheet name="2024.01.17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13" l="1"/>
  <c r="R22" i="13"/>
  <c r="Q22" i="13"/>
  <c r="P22" i="13"/>
  <c r="N22" i="13"/>
  <c r="L22" i="13"/>
  <c r="K22" i="13"/>
  <c r="J22" i="13"/>
  <c r="I22" i="13"/>
  <c r="F22" i="13"/>
  <c r="E22" i="13"/>
  <c r="D25" i="13" s="1"/>
  <c r="F21" i="13"/>
  <c r="M20" i="13"/>
  <c r="T19" i="13"/>
  <c r="F18" i="13"/>
  <c r="F17" i="13"/>
  <c r="G16" i="13"/>
  <c r="O15" i="13"/>
  <c r="O14" i="13"/>
  <c r="H13" i="13"/>
  <c r="H22" i="13" s="1"/>
  <c r="T12" i="13"/>
  <c r="T22" i="13" s="1"/>
  <c r="M11" i="13"/>
  <c r="M22" i="13" s="1"/>
  <c r="F10" i="13"/>
  <c r="F9" i="13"/>
  <c r="O8" i="13"/>
  <c r="O22" i="13" s="1"/>
  <c r="G7" i="13"/>
  <c r="G22" i="13" s="1"/>
  <c r="U21" i="12"/>
  <c r="T21" i="12"/>
  <c r="R21" i="12"/>
  <c r="Q21" i="12"/>
  <c r="P21" i="12"/>
  <c r="O21" i="12"/>
  <c r="L21" i="12"/>
  <c r="K21" i="12"/>
  <c r="J21" i="12"/>
  <c r="I21" i="12"/>
  <c r="G21" i="12"/>
  <c r="E21" i="12"/>
  <c r="D24" i="12" s="1"/>
  <c r="M20" i="12"/>
  <c r="T19" i="12"/>
  <c r="T18" i="12"/>
  <c r="M17" i="12"/>
  <c r="N16" i="12"/>
  <c r="N21" i="12" s="1"/>
  <c r="F15" i="12"/>
  <c r="F14" i="12"/>
  <c r="F13" i="12"/>
  <c r="H12" i="12"/>
  <c r="H21" i="12" s="1"/>
  <c r="T11" i="12"/>
  <c r="M10" i="12"/>
  <c r="F9" i="12"/>
  <c r="F21" i="12" s="1"/>
  <c r="M8" i="12"/>
  <c r="M21" i="12" s="1"/>
  <c r="S7" i="12"/>
  <c r="S6" i="12"/>
  <c r="S21" i="12" s="1"/>
  <c r="U26" i="1"/>
  <c r="S26" i="1"/>
  <c r="Q26" i="1"/>
  <c r="P26" i="1"/>
  <c r="N26" i="1"/>
  <c r="L26" i="1"/>
  <c r="K26" i="1"/>
  <c r="J26" i="1"/>
  <c r="I26" i="1"/>
  <c r="H26" i="1"/>
  <c r="E26" i="1"/>
  <c r="D29" i="1" s="1"/>
  <c r="F24" i="1"/>
  <c r="G23" i="1"/>
  <c r="G26" i="1" s="1"/>
  <c r="T22" i="1"/>
  <c r="M21" i="1"/>
  <c r="R20" i="1"/>
  <c r="R26" i="1" s="1"/>
  <c r="T19" i="1"/>
  <c r="M18" i="1"/>
  <c r="F17" i="1"/>
  <c r="F16" i="1"/>
  <c r="M15" i="1"/>
  <c r="O14" i="1"/>
  <c r="O26" i="1" s="1"/>
  <c r="M13" i="1"/>
  <c r="M12" i="1"/>
  <c r="F11" i="1"/>
  <c r="F10" i="1"/>
  <c r="F26" i="1" s="1"/>
  <c r="T9" i="1"/>
  <c r="T8" i="1"/>
  <c r="T26" i="1" s="1"/>
  <c r="M7" i="1"/>
  <c r="M26" i="1" s="1"/>
  <c r="P6" i="1"/>
  <c r="Q35" i="2"/>
  <c r="P35" i="2"/>
  <c r="O35" i="2"/>
  <c r="N35" i="2"/>
  <c r="L35" i="2"/>
  <c r="K35" i="2"/>
  <c r="J35" i="2"/>
  <c r="I35" i="2"/>
  <c r="H35" i="2"/>
  <c r="G35" i="2"/>
  <c r="E35" i="2"/>
  <c r="D38" i="2" s="1"/>
  <c r="R34" i="2"/>
  <c r="R35" i="2" s="1"/>
  <c r="S33" i="2"/>
  <c r="S35" i="2" s="1"/>
  <c r="F32" i="2"/>
  <c r="F31" i="2"/>
  <c r="F30" i="2"/>
  <c r="F25" i="2"/>
  <c r="G24" i="2"/>
  <c r="S23" i="2"/>
  <c r="F22" i="2"/>
  <c r="F35" i="2" s="1"/>
  <c r="T21" i="2"/>
  <c r="T20" i="2"/>
  <c r="T19" i="2"/>
  <c r="T18" i="2"/>
  <c r="T17" i="2"/>
  <c r="T35" i="2" s="1"/>
  <c r="M16" i="2"/>
  <c r="T15" i="2"/>
  <c r="M14" i="2"/>
  <c r="M35" i="2" s="1"/>
  <c r="U28" i="3"/>
  <c r="Q28" i="3"/>
  <c r="P28" i="3"/>
  <c r="O28" i="3"/>
  <c r="N28" i="3"/>
  <c r="L28" i="3"/>
  <c r="J28" i="3"/>
  <c r="I28" i="3"/>
  <c r="H28" i="3"/>
  <c r="E28" i="3"/>
  <c r="D31" i="3" s="1"/>
  <c r="R27" i="3"/>
  <c r="R28" i="3" s="1"/>
  <c r="M26" i="3"/>
  <c r="F25" i="3"/>
  <c r="M24" i="3"/>
  <c r="T23" i="3"/>
  <c r="T28" i="3" s="1"/>
  <c r="R22" i="3"/>
  <c r="M21" i="3"/>
  <c r="T20" i="3"/>
  <c r="G19" i="3"/>
  <c r="G28" i="3" s="1"/>
  <c r="L18" i="3"/>
  <c r="K17" i="3"/>
  <c r="K28" i="3" s="1"/>
  <c r="M16" i="3"/>
  <c r="M28" i="3" s="1"/>
  <c r="F15" i="3"/>
  <c r="F28" i="3" s="1"/>
  <c r="S14" i="3"/>
  <c r="S28" i="3" s="1"/>
  <c r="T13" i="3"/>
  <c r="U22" i="4"/>
  <c r="S22" i="4"/>
  <c r="Q22" i="4"/>
  <c r="P22" i="4"/>
  <c r="O22" i="4"/>
  <c r="N22" i="4"/>
  <c r="L22" i="4"/>
  <c r="K22" i="4"/>
  <c r="J22" i="4"/>
  <c r="I22" i="4"/>
  <c r="H22" i="4"/>
  <c r="G22" i="4"/>
  <c r="E22" i="4"/>
  <c r="D25" i="4" s="1"/>
  <c r="M21" i="4"/>
  <c r="M20" i="4"/>
  <c r="F19" i="4"/>
  <c r="F18" i="4"/>
  <c r="F22" i="4" s="1"/>
  <c r="T17" i="4"/>
  <c r="M16" i="4"/>
  <c r="T15" i="4"/>
  <c r="M14" i="4"/>
  <c r="T13" i="4"/>
  <c r="T22" i="4" s="1"/>
  <c r="M12" i="4"/>
  <c r="R11" i="4"/>
  <c r="T10" i="4"/>
  <c r="M9" i="4"/>
  <c r="M22" i="4" s="1"/>
  <c r="T8" i="4"/>
  <c r="R7" i="4"/>
  <c r="R22" i="4" s="1"/>
  <c r="S34" i="5"/>
  <c r="Q34" i="5"/>
  <c r="P34" i="5"/>
  <c r="N34" i="5"/>
  <c r="K34" i="5"/>
  <c r="J34" i="5"/>
  <c r="I34" i="5"/>
  <c r="H34" i="5"/>
  <c r="G34" i="5"/>
  <c r="E34" i="5"/>
  <c r="D37" i="5" s="1"/>
  <c r="O33" i="5"/>
  <c r="M32" i="5"/>
  <c r="F31" i="5"/>
  <c r="F30" i="5"/>
  <c r="F29" i="5"/>
  <c r="F28" i="5"/>
  <c r="F27" i="5"/>
  <c r="F26" i="5"/>
  <c r="M25" i="5"/>
  <c r="O24" i="5"/>
  <c r="O34" i="5" s="1"/>
  <c r="R23" i="5"/>
  <c r="R34" i="5" s="1"/>
  <c r="S22" i="5"/>
  <c r="F21" i="5"/>
  <c r="L20" i="5"/>
  <c r="L34" i="5" s="1"/>
  <c r="T19" i="5"/>
  <c r="M18" i="5"/>
  <c r="F17" i="5"/>
  <c r="T16" i="5"/>
  <c r="T15" i="5"/>
  <c r="F14" i="5"/>
  <c r="F13" i="5"/>
  <c r="F34" i="5" s="1"/>
  <c r="M12" i="5"/>
  <c r="M34" i="5" s="1"/>
  <c r="T11" i="5"/>
  <c r="T10" i="5"/>
  <c r="T9" i="5"/>
  <c r="T34" i="5" s="1"/>
  <c r="U28" i="6"/>
  <c r="T28" i="6"/>
  <c r="Q28" i="6"/>
  <c r="P28" i="6"/>
  <c r="O28" i="6"/>
  <c r="N28" i="6"/>
  <c r="L28" i="6"/>
  <c r="J28" i="6"/>
  <c r="I28" i="6"/>
  <c r="H28" i="6"/>
  <c r="E28" i="6"/>
  <c r="D31" i="6" s="1"/>
  <c r="R27" i="6"/>
  <c r="M26" i="6"/>
  <c r="A26" i="6"/>
  <c r="T25" i="6"/>
  <c r="M24" i="6"/>
  <c r="G23" i="6"/>
  <c r="G22" i="6"/>
  <c r="G28" i="6" s="1"/>
  <c r="M21" i="6"/>
  <c r="F20" i="6"/>
  <c r="R19" i="6"/>
  <c r="L18" i="6"/>
  <c r="T17" i="6"/>
  <c r="F16" i="6"/>
  <c r="F15" i="6"/>
  <c r="M14" i="6"/>
  <c r="S13" i="6"/>
  <c r="S28" i="6" s="1"/>
  <c r="F12" i="6"/>
  <c r="F11" i="6"/>
  <c r="F28" i="6" s="1"/>
  <c r="M10" i="6"/>
  <c r="M28" i="6" s="1"/>
  <c r="R9" i="6"/>
  <c r="R28" i="6" s="1"/>
  <c r="K8" i="6"/>
  <c r="K28" i="6" s="1"/>
  <c r="U18" i="7"/>
  <c r="T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21" i="7" s="1"/>
  <c r="S16" i="7"/>
  <c r="S18" i="7" s="1"/>
  <c r="F15" i="7"/>
  <c r="T14" i="7"/>
  <c r="A14" i="7"/>
  <c r="A15" i="7" s="1"/>
  <c r="A16" i="7" s="1"/>
  <c r="F13" i="7"/>
  <c r="F12" i="7"/>
  <c r="F11" i="7"/>
  <c r="F10" i="7"/>
  <c r="C10" i="7"/>
  <c r="C11" i="7" s="1"/>
  <c r="C12" i="7" s="1"/>
  <c r="C13" i="7" s="1"/>
  <c r="C14" i="7" s="1"/>
  <c r="C15" i="7" s="1"/>
  <c r="C16" i="7" s="1"/>
  <c r="F9" i="7"/>
  <c r="C9" i="7"/>
  <c r="F8" i="7"/>
  <c r="U22" i="8"/>
  <c r="T22" i="8"/>
  <c r="Q22" i="8"/>
  <c r="P22" i="8"/>
  <c r="O22" i="8"/>
  <c r="N22" i="8"/>
  <c r="L22" i="8"/>
  <c r="K22" i="8"/>
  <c r="J22" i="8"/>
  <c r="I22" i="8"/>
  <c r="H22" i="8"/>
  <c r="E22" i="8"/>
  <c r="D25" i="8" s="1"/>
  <c r="S20" i="8"/>
  <c r="S22" i="8" s="1"/>
  <c r="R19" i="8"/>
  <c r="R22" i="8" s="1"/>
  <c r="M18" i="8"/>
  <c r="M22" i="8" s="1"/>
  <c r="G17" i="8"/>
  <c r="G22" i="8" s="1"/>
  <c r="F16" i="8"/>
  <c r="F15" i="8"/>
  <c r="F14" i="8"/>
  <c r="F13" i="8"/>
  <c r="F12" i="8"/>
  <c r="F11" i="8"/>
  <c r="F10" i="8"/>
  <c r="F9" i="8"/>
  <c r="F8" i="8"/>
  <c r="F22" i="8" s="1"/>
  <c r="U19" i="9"/>
  <c r="T19" i="9"/>
  <c r="R19" i="9"/>
  <c r="Q19" i="9"/>
  <c r="P19" i="9"/>
  <c r="O19" i="9"/>
  <c r="N19" i="9"/>
  <c r="L19" i="9"/>
  <c r="K19" i="9"/>
  <c r="J19" i="9"/>
  <c r="I19" i="9"/>
  <c r="H19" i="9"/>
  <c r="G19" i="9"/>
  <c r="E19" i="9"/>
  <c r="D22" i="9" s="1"/>
  <c r="M17" i="9"/>
  <c r="R16" i="9"/>
  <c r="M15" i="9"/>
  <c r="T14" i="9"/>
  <c r="M13" i="9"/>
  <c r="R12" i="9"/>
  <c r="S11" i="9"/>
  <c r="S19" i="9" s="1"/>
  <c r="M10" i="9"/>
  <c r="M19" i="9" s="1"/>
  <c r="F9" i="9"/>
  <c r="F19" i="9" s="1"/>
  <c r="F8" i="9"/>
  <c r="U26" i="10"/>
  <c r="T26" i="10"/>
  <c r="Q26" i="10"/>
  <c r="P26" i="10"/>
  <c r="O26" i="10"/>
  <c r="N26" i="10"/>
  <c r="L26" i="10"/>
  <c r="K26" i="10"/>
  <c r="J26" i="10"/>
  <c r="I26" i="10"/>
  <c r="H26" i="10"/>
  <c r="G26" i="10"/>
  <c r="E26" i="10"/>
  <c r="D29" i="10" s="1"/>
  <c r="F25" i="10"/>
  <c r="T24" i="10"/>
  <c r="F23" i="10"/>
  <c r="F22" i="10"/>
  <c r="F21" i="10"/>
  <c r="F20" i="10"/>
  <c r="F19" i="10"/>
  <c r="F18" i="10"/>
  <c r="R17" i="10"/>
  <c r="M16" i="10"/>
  <c r="F15" i="10"/>
  <c r="F26" i="10" s="1"/>
  <c r="T14" i="10"/>
  <c r="M13" i="10"/>
  <c r="R12" i="10"/>
  <c r="S11" i="10"/>
  <c r="M10" i="10"/>
  <c r="M26" i="10" s="1"/>
  <c r="S9" i="10"/>
  <c r="S26" i="10" s="1"/>
  <c r="R8" i="10"/>
  <c r="R26" i="10" s="1"/>
  <c r="U29" i="11"/>
  <c r="Q29" i="11"/>
  <c r="P29" i="11"/>
  <c r="O29" i="11"/>
  <c r="N29" i="11"/>
  <c r="M29" i="11"/>
  <c r="L29" i="11"/>
  <c r="J29" i="11"/>
  <c r="I29" i="11"/>
  <c r="H29" i="11"/>
  <c r="G29" i="11"/>
  <c r="E29" i="11"/>
  <c r="D32" i="11" s="1"/>
  <c r="S26" i="11"/>
  <c r="S29" i="11" s="1"/>
  <c r="K25" i="11"/>
  <c r="K29" i="11" s="1"/>
  <c r="R24" i="11"/>
  <c r="T23" i="11"/>
  <c r="T22" i="11"/>
  <c r="R21" i="11"/>
  <c r="L20" i="11"/>
  <c r="F19" i="11"/>
  <c r="F18" i="11"/>
  <c r="F17" i="11"/>
  <c r="M16" i="11"/>
  <c r="F15" i="11"/>
  <c r="F14" i="11"/>
  <c r="H13" i="11"/>
  <c r="F12" i="11"/>
  <c r="F29" i="11" s="1"/>
  <c r="R11" i="11"/>
  <c r="T10" i="11"/>
  <c r="T29" i="11" s="1"/>
  <c r="M9" i="11"/>
  <c r="R8" i="11"/>
  <c r="R29" i="11" s="1"/>
  <c r="D22" i="12" l="1"/>
  <c r="D27" i="1"/>
  <c r="D36" i="2"/>
  <c r="D29" i="3"/>
  <c r="D23" i="4"/>
  <c r="D35" i="5"/>
  <c r="D29" i="6"/>
  <c r="D19" i="7"/>
  <c r="D23" i="8"/>
  <c r="D20" i="9"/>
  <c r="D27" i="10"/>
  <c r="D30" i="11"/>
</calcChain>
</file>

<file path=xl/sharedStrings.xml><?xml version="1.0" encoding="utf-8"?>
<sst xmlns="http://schemas.openxmlformats.org/spreadsheetml/2006/main" count="1091" uniqueCount="330">
  <si>
    <t>Sri Lanka Telecom (Services) Limited.</t>
  </si>
  <si>
    <t>Petty Cash Exp. Analysis Report</t>
  </si>
  <si>
    <t>OSP Division - Anuradhapura</t>
  </si>
  <si>
    <t>PC-OSP-AD-63</t>
  </si>
  <si>
    <t xml:space="preserve">                                     </t>
  </si>
  <si>
    <t>Date</t>
  </si>
  <si>
    <t>Description</t>
  </si>
  <si>
    <t>Voucher No</t>
  </si>
  <si>
    <t>Receiving</t>
  </si>
  <si>
    <t xml:space="preserve">Expenses Analysis </t>
  </si>
  <si>
    <t>Total Expenses</t>
  </si>
  <si>
    <t>Subsistance</t>
  </si>
  <si>
    <t>Staff Welfare</t>
  </si>
  <si>
    <t>Traveling &amp; Transport</t>
  </si>
  <si>
    <t>Electricity</t>
  </si>
  <si>
    <t>Telephone</t>
  </si>
  <si>
    <t>Janitorial Exp.</t>
  </si>
  <si>
    <t>Rep &amp; Main-Office Equ</t>
  </si>
  <si>
    <t>Water</t>
  </si>
  <si>
    <t>Rep &amp; Main. Vehicle</t>
  </si>
  <si>
    <t>Office Exp.</t>
  </si>
  <si>
    <t>Parking Fee</t>
  </si>
  <si>
    <t>Fuel Exp</t>
  </si>
  <si>
    <t>Printing &amp; Stationary Exp.</t>
  </si>
  <si>
    <t>Project Exp</t>
  </si>
  <si>
    <t>Courier &amp; postage fee</t>
  </si>
  <si>
    <t>Direct Other</t>
  </si>
  <si>
    <t>Account code</t>
  </si>
  <si>
    <t>Color printout for Wild Life BOQ</t>
  </si>
  <si>
    <t>AD-1304</t>
  </si>
  <si>
    <t>Refilled drinking Water</t>
  </si>
  <si>
    <t>AD-1305</t>
  </si>
  <si>
    <t>Courier service - CAT 5E Box * 1</t>
  </si>
  <si>
    <t>AD-1306</t>
  </si>
  <si>
    <t>A4 Sheets</t>
  </si>
  <si>
    <t>AD-1307</t>
  </si>
  <si>
    <t>Meal Bill - Kaduwela meeting</t>
  </si>
  <si>
    <t>AD-1308</t>
  </si>
  <si>
    <t>High-way Bill</t>
  </si>
  <si>
    <t>AD-1309</t>
  </si>
  <si>
    <t>AD-1310</t>
  </si>
  <si>
    <t>AD-1311</t>
  </si>
  <si>
    <t>AD-1312</t>
  </si>
  <si>
    <t>Meal Bill - CCTV repair</t>
  </si>
  <si>
    <t>AD-1313</t>
  </si>
  <si>
    <t>AD-1314</t>
  </si>
  <si>
    <t>AD-1315</t>
  </si>
  <si>
    <t>Vavuniya Monitor Power Supply Code</t>
  </si>
  <si>
    <t>AD-1316</t>
  </si>
  <si>
    <t>A4 Size Envelop * 05</t>
  </si>
  <si>
    <t>AD-1317</t>
  </si>
  <si>
    <t xml:space="preserve">Courier Service </t>
  </si>
  <si>
    <t>AD-1318</t>
  </si>
  <si>
    <t>Courier Service</t>
  </si>
  <si>
    <t>AD-1319</t>
  </si>
  <si>
    <t>Pen * 02 , Harpic *01 , Color A4 *02 &amp; CR Book *01</t>
  </si>
  <si>
    <t>AD-1320</t>
  </si>
  <si>
    <t xml:space="preserve">Walfare Items (Broom,Brush &amp; Soap) </t>
  </si>
  <si>
    <t>AD-1321</t>
  </si>
  <si>
    <t>Drill Needle</t>
  </si>
  <si>
    <t>AD-1322</t>
  </si>
  <si>
    <t>Cash In Hand</t>
  </si>
  <si>
    <t>TOTAL REIMBURSEMENT AMOUNT ( Rs.)</t>
  </si>
  <si>
    <t>……………………………………….</t>
  </si>
  <si>
    <t>…..............................</t>
  </si>
  <si>
    <t>………………………………….</t>
  </si>
  <si>
    <t>.....................................</t>
  </si>
  <si>
    <t>Prepared By</t>
  </si>
  <si>
    <t>Checked by</t>
  </si>
  <si>
    <t>Certified By</t>
  </si>
  <si>
    <t>Approved by</t>
  </si>
  <si>
    <t>Iresha Ravihari</t>
  </si>
  <si>
    <t>Janaka Lakmal</t>
  </si>
  <si>
    <t>H.H.S.Priyantha</t>
  </si>
  <si>
    <t>Kamal Wijayalath</t>
  </si>
  <si>
    <t>Accounts Executive</t>
  </si>
  <si>
    <t>Assistant Accountant</t>
  </si>
  <si>
    <t>Project Manager</t>
  </si>
  <si>
    <t>Head of Section - OSP</t>
  </si>
  <si>
    <t>PC-OSP-AD-64</t>
  </si>
  <si>
    <t>AD-1324</t>
  </si>
  <si>
    <t>Steel Tape &amp; Drill Needle</t>
  </si>
  <si>
    <t>AD-1325</t>
  </si>
  <si>
    <t>Refilled Drinking Water</t>
  </si>
  <si>
    <t>AD-1326</t>
  </si>
  <si>
    <t>Battery for Power Meter (Fiber)</t>
  </si>
  <si>
    <t>AD-1327</t>
  </si>
  <si>
    <t>AD-1328</t>
  </si>
  <si>
    <t>AD-1329</t>
  </si>
  <si>
    <t>AD-1330</t>
  </si>
  <si>
    <t>Meal Bill</t>
  </si>
  <si>
    <t>AD-1331</t>
  </si>
  <si>
    <t>AD-1332</t>
  </si>
  <si>
    <t>AD-1333</t>
  </si>
  <si>
    <t>AD-1334</t>
  </si>
  <si>
    <t>AD-1335</t>
  </si>
  <si>
    <t>AD-1336</t>
  </si>
  <si>
    <t>AD-1337</t>
  </si>
  <si>
    <t>AD-1338</t>
  </si>
  <si>
    <t>AD-1339</t>
  </si>
  <si>
    <t>AD-1340</t>
  </si>
  <si>
    <t>AD-1341</t>
  </si>
  <si>
    <t>PC-OSP-AD-65</t>
  </si>
  <si>
    <t>AD-1342</t>
  </si>
  <si>
    <t>AD-1343</t>
  </si>
  <si>
    <t>Refilled drinking water</t>
  </si>
  <si>
    <t>AD-1344</t>
  </si>
  <si>
    <t>5 Battery for power meter</t>
  </si>
  <si>
    <t>AD-1345</t>
  </si>
  <si>
    <t>AD-1346</t>
  </si>
  <si>
    <t>AD-1347</t>
  </si>
  <si>
    <t>AD-1348</t>
  </si>
  <si>
    <t>AD-1349</t>
  </si>
  <si>
    <t>A4 Size Envelop</t>
  </si>
  <si>
    <t>AD-1350</t>
  </si>
  <si>
    <t>AD-1351</t>
  </si>
  <si>
    <t>PC-OSP-AD-66</t>
  </si>
  <si>
    <t>Equipment Hiring</t>
  </si>
  <si>
    <t>Balance B/F</t>
  </si>
  <si>
    <t>Exp for breakfast PR direct team</t>
  </si>
  <si>
    <t>Exp for lunch PR direct team</t>
  </si>
  <si>
    <t>Exp for dinner PR direct team</t>
  </si>
  <si>
    <t>Exp for accommadations for PR direct team</t>
  </si>
  <si>
    <t>Exp drinking water charges</t>
  </si>
  <si>
    <t xml:space="preserve">Exp for inspections sheets print </t>
  </si>
  <si>
    <t>Exp for iron bar repair charges</t>
  </si>
  <si>
    <t>Anjula Gayeshan</t>
  </si>
  <si>
    <t>Admin Assistant</t>
  </si>
  <si>
    <t>PC-OSP-AD-67</t>
  </si>
  <si>
    <t>Exp for material transport - KY to AD</t>
  </si>
  <si>
    <t>Screw driver purchasing - Direct team</t>
  </si>
  <si>
    <t>PC-OSP-AD-68</t>
  </si>
  <si>
    <t>2024.04.06</t>
  </si>
  <si>
    <t>Rented charges of a lawn mower machine to clean office yard</t>
  </si>
  <si>
    <t>2024.04.08</t>
  </si>
  <si>
    <t>Exp for Envelops &amp; A4 sheets</t>
  </si>
  <si>
    <t>2024.04.11</t>
  </si>
  <si>
    <t>Exp for Drinking water</t>
  </si>
  <si>
    <t>Lunch exp. For SLT staff, arragement of meeting programme</t>
  </si>
  <si>
    <t>2024.04.16</t>
  </si>
  <si>
    <t xml:space="preserve">Meal Exp for matirial transport </t>
  </si>
  <si>
    <t>2024.04.17</t>
  </si>
  <si>
    <t>Exp for 3 Battery for FTTH power meter</t>
  </si>
  <si>
    <t>2024.04.19</t>
  </si>
  <si>
    <t>2024.04.20</t>
  </si>
  <si>
    <t>2024.04.22</t>
  </si>
  <si>
    <t>Courier charges</t>
  </si>
  <si>
    <t>2024.04.23</t>
  </si>
  <si>
    <t>LED bulbs, holders chrgs for maintenance office Electrical system</t>
  </si>
  <si>
    <t>2024.04.24</t>
  </si>
  <si>
    <t>Exp for print out S/F progress sheets</t>
  </si>
  <si>
    <t>2024.04.25</t>
  </si>
  <si>
    <t xml:space="preserve">Tea Exp for matirial transport </t>
  </si>
  <si>
    <t>2024.04.27</t>
  </si>
  <si>
    <t xml:space="preserve">Purchase gray chalk for Aurudhu Uthsawaya by SLT &amp; SLTS office </t>
  </si>
  <si>
    <t xml:space="preserve">Purchase baloons &amp; threads for Aurudhu Uthsawaya by SLT &amp; SLTS office </t>
  </si>
  <si>
    <t>2024.04.29</t>
  </si>
  <si>
    <t>Water bill</t>
  </si>
  <si>
    <t>2024.05.01</t>
  </si>
  <si>
    <t>Exp.for A4 sheets for office use</t>
  </si>
  <si>
    <t>Lihini Tharushika</t>
  </si>
  <si>
    <t>Accounts Trainee</t>
  </si>
  <si>
    <t>PC-OSP-AD-069</t>
  </si>
  <si>
    <t>2024.06.03</t>
  </si>
  <si>
    <t>Exp.for battery to use of power meter for TBT maintenance team</t>
  </si>
  <si>
    <t>2024.06.05</t>
  </si>
  <si>
    <t xml:space="preserve">Courier charges for PSTN, Ftth delay sheets &amp; Inspection sheets ( AD to Bandarawatta ) </t>
  </si>
  <si>
    <t xml:space="preserve">Courier charges for Contractor Invoice &amp; petty cash bill ( AD to Gelioya ) </t>
  </si>
  <si>
    <t>2024.06.07</t>
  </si>
  <si>
    <t xml:space="preserve">Courier charges for Ftth inspection sheets &amp; delay sheets ( AD to Gelioya ) </t>
  </si>
  <si>
    <t>2024.06.11</t>
  </si>
  <si>
    <t>Exp.for refielled drinking water</t>
  </si>
  <si>
    <t>Meal Exp. for material transport (from KG to AD)</t>
  </si>
  <si>
    <t>Refreshment charges for SLTS monthly meeting</t>
  </si>
  <si>
    <t xml:space="preserve">Courier charges for SLTS invoice sheets ( AD to Gelioya ) </t>
  </si>
  <si>
    <t>2024.06.12</t>
  </si>
  <si>
    <t xml:space="preserve">Courier charges for technician pay  sheets ( AD to Gelioya ) </t>
  </si>
  <si>
    <t>2024.06.13</t>
  </si>
  <si>
    <t xml:space="preserve">Meal Exp.for direct team - Kanthale pole erection </t>
  </si>
  <si>
    <t>2024.06.17</t>
  </si>
  <si>
    <t xml:space="preserve">Courier charges for FLT contractor invoice  ( AD to Gelioya ) </t>
  </si>
  <si>
    <t>2024.06.19</t>
  </si>
  <si>
    <t>Exp.for repairing office pipe line</t>
  </si>
  <si>
    <t>Meal Exp for matirial transport ( AD to Vavuniya )</t>
  </si>
  <si>
    <t>Exp.for repairing Iron bar</t>
  </si>
  <si>
    <t>Exp.for envelops for office use</t>
  </si>
  <si>
    <t>2024.06.21</t>
  </si>
  <si>
    <t>Exp.for 3 LED multy for office decorations ( poson)</t>
  </si>
  <si>
    <t>2024.06.24</t>
  </si>
  <si>
    <t>2024.06.25</t>
  </si>
  <si>
    <t>Meal Exp. For Vavuniya pole erections</t>
  </si>
  <si>
    <t>2024.06.26</t>
  </si>
  <si>
    <t>Exp. For soaps &amp; vim pack for office use</t>
  </si>
  <si>
    <t>2024.06.27</t>
  </si>
  <si>
    <t>Exp. For refielled drinking water</t>
  </si>
  <si>
    <t>Exp.for LED bulb for office</t>
  </si>
  <si>
    <t>PC-OSP-AD-70</t>
  </si>
  <si>
    <t>Exp.for stationary items for office use ( Cellotape &amp; glue )</t>
  </si>
  <si>
    <t>2024.07.01</t>
  </si>
  <si>
    <t>Courier charges for AD &amp; PR attendent sheets (AD to Gelioya)</t>
  </si>
  <si>
    <t>2024.07.02</t>
  </si>
  <si>
    <t>Exp.for refilled drinking water</t>
  </si>
  <si>
    <t>2024.07.03</t>
  </si>
  <si>
    <t>Courier charges for AD &amp; PR fuel bills, SF contractor invoice ( AD to Gelioya )</t>
  </si>
  <si>
    <t>2024.07.04</t>
  </si>
  <si>
    <t>Exp. For A4 sheets for attendence sheets &amp; admin document print</t>
  </si>
  <si>
    <t>Water bill for June 24</t>
  </si>
  <si>
    <t>Courier charges for SF invoice &amp; petty cash bill (AD to Gelioya)</t>
  </si>
  <si>
    <t>2024.07.06</t>
  </si>
  <si>
    <t>2024.07.08</t>
  </si>
  <si>
    <t>Courier charges for Ftth,Pstn sheets &amp; delay sheets ( AD to Gelioya )</t>
  </si>
  <si>
    <t>2024.07.10</t>
  </si>
  <si>
    <t>2024.07.11</t>
  </si>
  <si>
    <t>Courier charges for staff pay sheets( AD to Gelioya )</t>
  </si>
  <si>
    <t>2024.07.16</t>
  </si>
  <si>
    <t>Meal Exp. For PR Ftth new connection</t>
  </si>
  <si>
    <t>2024.07.22</t>
  </si>
  <si>
    <t>PC-OSP-AD-71</t>
  </si>
  <si>
    <t>Rep &amp; Main-Office Building</t>
  </si>
  <si>
    <t>Meal charges for Mannar Ftth NC</t>
  </si>
  <si>
    <t>2024.07.24</t>
  </si>
  <si>
    <t>Courier charges for staff pay sheets</t>
  </si>
  <si>
    <t>2024.07.25</t>
  </si>
  <si>
    <t>Exp.for drill needle for SF direct team</t>
  </si>
  <si>
    <t>Meal Exp.for material transport</t>
  </si>
  <si>
    <t>2024.07.26</t>
  </si>
  <si>
    <t>2024.07.28</t>
  </si>
  <si>
    <t>Exp. For water tap for office</t>
  </si>
  <si>
    <t>Exp. For Multi plug for office</t>
  </si>
  <si>
    <t>Exp. For tea essential items for office</t>
  </si>
  <si>
    <t>2024.07.29</t>
  </si>
  <si>
    <t>Courier charges for AD petty cash,SF &amp; SA Invoice</t>
  </si>
  <si>
    <t>2024.07.30</t>
  </si>
  <si>
    <t>2024.08.01</t>
  </si>
  <si>
    <t>Exp. For stationary items for A4 sheets,CR books,A4 size envelops</t>
  </si>
  <si>
    <t>Courier charges for AD and PR attandence sheets</t>
  </si>
  <si>
    <t>2024.08.02</t>
  </si>
  <si>
    <t>2024.08.06</t>
  </si>
  <si>
    <t>Meal exp. For material transport to KG to AD</t>
  </si>
  <si>
    <t>2024.08.08</t>
  </si>
  <si>
    <t xml:space="preserve">Exp. For Envelops A4 size </t>
  </si>
  <si>
    <t>PC-OSP-AD-72</t>
  </si>
  <si>
    <t>Meal charges for PR Direct team for attend AD - NC</t>
  </si>
  <si>
    <t>2024.08.09</t>
  </si>
  <si>
    <t>Accomadation charges for PR Direct team for attend AD - NC</t>
  </si>
  <si>
    <t>2024.08.10</t>
  </si>
  <si>
    <t>Exp. For refiled drinking water</t>
  </si>
  <si>
    <t>2024.08.12</t>
  </si>
  <si>
    <t>Courier charges for fuel books</t>
  </si>
  <si>
    <t>2024.08.14</t>
  </si>
  <si>
    <t>Courier charges for sent PR- July FLT attendance sheets</t>
  </si>
  <si>
    <t>Courier charges for sent AD petty cash bills and FLT SLTS invoice</t>
  </si>
  <si>
    <t xml:space="preserve">Courier charges for sent Faulty team books </t>
  </si>
  <si>
    <t>Courier charges for AD Ftth inspection sheets, Fuel bills, petty cash , Delay sheets</t>
  </si>
  <si>
    <t>Courier charges for  inspection sheets and  Delay sheets</t>
  </si>
  <si>
    <t>Meal Exp. For material transport</t>
  </si>
  <si>
    <t>Exp. For hammer for NC direct team</t>
  </si>
  <si>
    <t>2024.08.15</t>
  </si>
  <si>
    <t>2024.08.16</t>
  </si>
  <si>
    <t>Exp. For rope for boom truck</t>
  </si>
  <si>
    <t>2024.08.17</t>
  </si>
  <si>
    <t>Accomandation charges for PR Direct team for attend AD - NC</t>
  </si>
  <si>
    <t>2024.08.20</t>
  </si>
  <si>
    <t>Exp. For Insulation tape, Dril check and drill needle for direct team</t>
  </si>
  <si>
    <t>Exp. For CR books for office use</t>
  </si>
  <si>
    <t>PC-OSP-AD-73</t>
  </si>
  <si>
    <t>Janitirial</t>
  </si>
  <si>
    <t>21/08/2024</t>
  </si>
  <si>
    <t>Rent charges of grass cutter machine cleaning office back yard</t>
  </si>
  <si>
    <t>Exp for drinking water charges for office staff</t>
  </si>
  <si>
    <t>Exp for courier charges document send AD to PR</t>
  </si>
  <si>
    <t>Exp for courier charges document send AD to KD</t>
  </si>
  <si>
    <t>22/08/2024</t>
  </si>
  <si>
    <t>Exp for refreshment charges SF direct team &amp; contractors in AD office</t>
  </si>
  <si>
    <t>23/08/2024</t>
  </si>
  <si>
    <t>Exp for night work meal charges travelling to KG materials collecting.</t>
  </si>
  <si>
    <t xml:space="preserve">Exp for national water bill charges </t>
  </si>
  <si>
    <t>24/08/2024</t>
  </si>
  <si>
    <t>26/08/2024</t>
  </si>
  <si>
    <t>Exp for repairing crowbar charges</t>
  </si>
  <si>
    <t>27/08/2024</t>
  </si>
  <si>
    <t>Exp for breakfast charges MT boom track driver. wark in AD pole erections.</t>
  </si>
  <si>
    <t>Exp for lunch charges MT boom track driver. wark in AD pole erections.</t>
  </si>
  <si>
    <t>29/08/2027</t>
  </si>
  <si>
    <t>Exp for courier charges document sent AD to ER</t>
  </si>
  <si>
    <t>Exp for instlations tape for office use</t>
  </si>
  <si>
    <t>Exp for courier charges send to attendence sheets AD to KY</t>
  </si>
  <si>
    <t>Exp for suger charges for tea make in office</t>
  </si>
  <si>
    <t>Exp for meal charges travelling to KG materials collecting</t>
  </si>
  <si>
    <t>Recommended by</t>
  </si>
  <si>
    <t>Anjula Gayashan</t>
  </si>
  <si>
    <t>K.A.T.C Kumarapeli</t>
  </si>
  <si>
    <t xml:space="preserve"> Accountant Executive</t>
  </si>
  <si>
    <t>Deputy Manager  - OSP</t>
  </si>
  <si>
    <t>PC-OSP-AD-74</t>
  </si>
  <si>
    <t xml:space="preserve">Exp GI pipe for crowbar repairing </t>
  </si>
  <si>
    <t>Crowbar repairing charges</t>
  </si>
  <si>
    <t>Exp for drinking water charges</t>
  </si>
  <si>
    <t>Exp for meal charges travelling to KG collecting materials</t>
  </si>
  <si>
    <t>Exp for courier charges document sent to KY &amp; KD</t>
  </si>
  <si>
    <t>Exp for bus charges for SLTS technician T shirt transportations KY to AD area</t>
  </si>
  <si>
    <t>18/9/2024</t>
  </si>
  <si>
    <t>Exp for breakfast charges PR direct team work in AD</t>
  </si>
  <si>
    <t>Exp for lunch charges PR direct team work in AD</t>
  </si>
  <si>
    <t>Exp for dinner charges PR direct team work in AD</t>
  </si>
  <si>
    <t>Exp for tyer punch charges - DAC-8536</t>
  </si>
  <si>
    <t>19/9/2024</t>
  </si>
  <si>
    <t>Exp for courier charges document sent to AD &amp; KY</t>
  </si>
  <si>
    <t>23/9/2024</t>
  </si>
  <si>
    <t>Exp for courier charges document sent AD to KY</t>
  </si>
  <si>
    <t xml:space="preserve"> Accounts Executive</t>
  </si>
  <si>
    <t>PC-OSP-AD-075</t>
  </si>
  <si>
    <t>2024.09.25</t>
  </si>
  <si>
    <t xml:space="preserve">Exp. For tea essential items for office </t>
  </si>
  <si>
    <t>Exp. For Heater &amp; plug top for office used</t>
  </si>
  <si>
    <t>2024.09.26</t>
  </si>
  <si>
    <t xml:space="preserve">Meal exp. For Material transport &amp; KD office meeting </t>
  </si>
  <si>
    <t>2024.09.27</t>
  </si>
  <si>
    <t xml:space="preserve">Exp. For refilled drinking water </t>
  </si>
  <si>
    <t xml:space="preserve">Exp. For courier charges for SF Aug. invoice,Contractor invoice &amp; FLT invoice </t>
  </si>
  <si>
    <t xml:space="preserve">travelling charges for material transport from KG to AD </t>
  </si>
  <si>
    <t>2024.09.28</t>
  </si>
  <si>
    <t>Exp. For dusbin for office used (small dusbin)</t>
  </si>
  <si>
    <t>Exp. For  polytheen to cover the security officer chamber during rain as it gets wet</t>
  </si>
  <si>
    <t>2024.09.30</t>
  </si>
  <si>
    <t>Meal exp. For Ftth new connection for PR direct team</t>
  </si>
  <si>
    <t>2024.10.01</t>
  </si>
  <si>
    <t xml:space="preserve">Exp. For courier charges for AD &amp; PR attendance sheets to Gelioya </t>
  </si>
  <si>
    <t>2024.10.03</t>
  </si>
  <si>
    <t xml:space="preserve">Meal exp. For material transport from AD to PR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</si>
</sst>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4"/>
      <color theme="1"/>
      <name val="Calibri"/>
      <family val="2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b/>
      <i/>
      <sz val="20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22"/>
      <color theme="1"/>
      <name val="Times New Roman"/>
      <family val="1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i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9">
    <xf numFmtId="0" fontId="0" fillId="0" borderId="0" xfId="0"/>
    <xf numFmtId="0" fontId="4" fillId="0" borderId="0" xfId="0" applyFont="1"/>
    <xf numFmtId="0" fontId="5" fillId="0" borderId="0" xfId="0" applyFont="1"/>
    <xf numFmtId="43" fontId="5" fillId="0" borderId="0" xfId="1" applyFont="1"/>
    <xf numFmtId="43" fontId="5" fillId="0" borderId="0" xfId="1" applyFont="1" applyAlignment="1"/>
    <xf numFmtId="0" fontId="6" fillId="0" borderId="0" xfId="0" applyFont="1"/>
    <xf numFmtId="0" fontId="4" fillId="0" borderId="0" xfId="0" applyFont="1" applyAlignment="1">
      <alignment horizontal="left"/>
    </xf>
    <xf numFmtId="43" fontId="7" fillId="0" borderId="0" xfId="1" applyFont="1" applyFill="1" applyBorder="1" applyAlignment="1">
      <alignment horizontal="center" vertical="center"/>
    </xf>
    <xf numFmtId="43" fontId="5" fillId="0" borderId="0" xfId="1" applyFont="1" applyFill="1"/>
    <xf numFmtId="43" fontId="7" fillId="0" borderId="1" xfId="1" applyFont="1" applyFill="1" applyBorder="1" applyAlignment="1">
      <alignment horizontal="center" vertical="center"/>
    </xf>
    <xf numFmtId="43" fontId="5" fillId="0" borderId="0" xfId="1" applyFont="1" applyFill="1" applyBorder="1" applyAlignment="1">
      <alignment vertical="center"/>
    </xf>
    <xf numFmtId="43" fontId="5" fillId="0" borderId="0" xfId="1" applyFont="1" applyBorder="1" applyAlignment="1">
      <alignment vertical="center"/>
    </xf>
    <xf numFmtId="0" fontId="9" fillId="0" borderId="0" xfId="0" applyFont="1"/>
    <xf numFmtId="43" fontId="8" fillId="2" borderId="7" xfId="1" applyFont="1" applyFill="1" applyBorder="1" applyAlignment="1">
      <alignment horizontal="center" vertical="center" wrapText="1"/>
    </xf>
    <xf numFmtId="43" fontId="8" fillId="2" borderId="9" xfId="1" applyFont="1" applyFill="1" applyBorder="1" applyAlignment="1">
      <alignment horizontal="center" vertical="center" wrapText="1"/>
    </xf>
    <xf numFmtId="43" fontId="8" fillId="2" borderId="10" xfId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0" fillId="2" borderId="12" xfId="0" applyFont="1" applyFill="1" applyBorder="1" applyAlignment="1">
      <alignment horizontal="center" vertical="center" wrapText="1"/>
    </xf>
    <xf numFmtId="43" fontId="10" fillId="2" borderId="12" xfId="1" applyFont="1" applyFill="1" applyBorder="1" applyAlignment="1">
      <alignment horizontal="center" vertical="center"/>
    </xf>
    <xf numFmtId="43" fontId="10" fillId="2" borderId="12" xfId="1" applyFont="1" applyFill="1" applyBorder="1" applyAlignment="1">
      <alignment horizontal="center" vertical="center" wrapText="1"/>
    </xf>
    <xf numFmtId="1" fontId="10" fillId="2" borderId="12" xfId="1" applyNumberFormat="1" applyFont="1" applyFill="1" applyBorder="1" applyAlignment="1">
      <alignment horizontal="center" vertical="center" wrapText="1"/>
    </xf>
    <xf numFmtId="14" fontId="12" fillId="0" borderId="13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 wrapText="1"/>
    </xf>
    <xf numFmtId="43" fontId="12" fillId="0" borderId="13" xfId="1" applyFont="1" applyFill="1" applyBorder="1" applyAlignment="1">
      <alignment horizontal="center" vertical="center" wrapText="1"/>
    </xf>
    <xf numFmtId="43" fontId="10" fillId="0" borderId="13" xfId="1" applyFont="1" applyFill="1" applyBorder="1" applyAlignment="1">
      <alignment horizontal="center" vertical="center" wrapText="1"/>
    </xf>
    <xf numFmtId="43" fontId="10" fillId="0" borderId="13" xfId="1" applyFont="1" applyBorder="1" applyAlignment="1">
      <alignment horizontal="center" vertical="center" wrapText="1"/>
    </xf>
    <xf numFmtId="43" fontId="10" fillId="0" borderId="13" xfId="1" applyFont="1" applyBorder="1" applyAlignment="1">
      <alignment horizontal="center" vertical="center"/>
    </xf>
    <xf numFmtId="0" fontId="2" fillId="0" borderId="0" xfId="0" applyFont="1"/>
    <xf numFmtId="164" fontId="13" fillId="0" borderId="13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vertical="center"/>
    </xf>
    <xf numFmtId="43" fontId="13" fillId="0" borderId="13" xfId="1" applyFont="1" applyFill="1" applyBorder="1" applyAlignment="1">
      <alignment vertical="center"/>
    </xf>
    <xf numFmtId="43" fontId="14" fillId="0" borderId="13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3" fontId="15" fillId="0" borderId="15" xfId="1" applyFont="1" applyBorder="1" applyAlignment="1">
      <alignment vertical="center"/>
    </xf>
    <xf numFmtId="43" fontId="15" fillId="0" borderId="16" xfId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43" fontId="15" fillId="0" borderId="0" xfId="1" applyFont="1" applyBorder="1" applyAlignment="1">
      <alignment vertical="center"/>
    </xf>
    <xf numFmtId="43" fontId="15" fillId="0" borderId="0" xfId="1" applyFont="1" applyFill="1" applyBorder="1" applyAlignment="1">
      <alignment vertical="center"/>
    </xf>
    <xf numFmtId="43" fontId="15" fillId="0" borderId="0" xfId="1" applyFont="1" applyFill="1" applyBorder="1"/>
    <xf numFmtId="43" fontId="13" fillId="0" borderId="0" xfId="0" applyNumberFormat="1" applyFont="1"/>
    <xf numFmtId="0" fontId="15" fillId="0" borderId="0" xfId="0" applyFont="1" applyAlignment="1">
      <alignment horizontal="left"/>
    </xf>
    <xf numFmtId="43" fontId="15" fillId="0" borderId="0" xfId="1" applyFont="1" applyBorder="1"/>
    <xf numFmtId="0" fontId="13" fillId="0" borderId="0" xfId="0" applyFont="1"/>
    <xf numFmtId="43" fontId="8" fillId="0" borderId="0" xfId="1" applyFont="1" applyBorder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43" fontId="18" fillId="0" borderId="0" xfId="0" applyNumberFormat="1" applyFont="1" applyAlignment="1">
      <alignment horizontal="center"/>
    </xf>
    <xf numFmtId="43" fontId="17" fillId="0" borderId="0" xfId="1" applyFont="1" applyBorder="1"/>
    <xf numFmtId="43" fontId="16" fillId="0" borderId="0" xfId="1" applyFont="1"/>
    <xf numFmtId="43" fontId="16" fillId="0" borderId="0" xfId="1" applyFont="1" applyBorder="1"/>
    <xf numFmtId="43" fontId="17" fillId="0" borderId="0" xfId="1" applyFont="1" applyBorder="1" applyAlignment="1"/>
    <xf numFmtId="43" fontId="19" fillId="0" borderId="0" xfId="1" applyFont="1" applyBorder="1"/>
    <xf numFmtId="0" fontId="20" fillId="0" borderId="0" xfId="0" applyFont="1"/>
    <xf numFmtId="43" fontId="15" fillId="0" borderId="0" xfId="1" applyFont="1" applyBorder="1" applyAlignment="1">
      <alignment horizontal="left"/>
    </xf>
    <xf numFmtId="43" fontId="21" fillId="0" borderId="0" xfId="1" applyFont="1" applyAlignment="1"/>
    <xf numFmtId="43" fontId="21" fillId="0" borderId="0" xfId="1" applyFont="1" applyAlignment="1">
      <alignment horizontal="center"/>
    </xf>
    <xf numFmtId="43" fontId="13" fillId="0" borderId="0" xfId="1" applyFont="1" applyAlignment="1"/>
    <xf numFmtId="43" fontId="13" fillId="0" borderId="0" xfId="1" applyFont="1" applyFill="1" applyBorder="1" applyAlignment="1">
      <alignment vertical="center"/>
    </xf>
    <xf numFmtId="0" fontId="22" fillId="0" borderId="0" xfId="0" applyFont="1" applyAlignment="1">
      <alignment vertical="top"/>
    </xf>
    <xf numFmtId="0" fontId="22" fillId="0" borderId="0" xfId="0" applyFont="1" applyAlignment="1">
      <alignment horizontal="center"/>
    </xf>
    <xf numFmtId="43" fontId="22" fillId="0" borderId="0" xfId="1" applyFont="1" applyAlignment="1">
      <alignment vertical="center"/>
    </xf>
    <xf numFmtId="43" fontId="22" fillId="0" borderId="0" xfId="1" applyFont="1" applyAlignment="1">
      <alignment horizontal="center" vertical="center"/>
    </xf>
    <xf numFmtId="43" fontId="22" fillId="0" borderId="0" xfId="1" applyFont="1" applyAlignment="1">
      <alignment horizontal="center"/>
    </xf>
    <xf numFmtId="0" fontId="23" fillId="0" borderId="0" xfId="0" applyFont="1"/>
    <xf numFmtId="0" fontId="21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vertical="top"/>
    </xf>
    <xf numFmtId="43" fontId="21" fillId="0" borderId="0" xfId="1" applyFont="1" applyAlignment="1">
      <alignment horizontal="center" vertical="center"/>
    </xf>
    <xf numFmtId="43" fontId="21" fillId="0" borderId="0" xfId="1" applyFont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14" fontId="24" fillId="0" borderId="0" xfId="0" applyNumberFormat="1" applyFont="1"/>
    <xf numFmtId="0" fontId="25" fillId="0" borderId="0" xfId="0" applyFont="1"/>
    <xf numFmtId="43" fontId="25" fillId="0" borderId="0" xfId="1" applyFont="1"/>
    <xf numFmtId="43" fontId="25" fillId="0" borderId="0" xfId="1" applyFont="1" applyAlignment="1"/>
    <xf numFmtId="14" fontId="24" fillId="0" borderId="0" xfId="0" applyNumberFormat="1" applyFont="1" applyAlignment="1">
      <alignment horizontal="left"/>
    </xf>
    <xf numFmtId="0" fontId="24" fillId="0" borderId="0" xfId="0" applyFont="1" applyAlignment="1">
      <alignment horizontal="left"/>
    </xf>
    <xf numFmtId="43" fontId="26" fillId="0" borderId="0" xfId="1" applyFont="1" applyFill="1" applyBorder="1" applyAlignment="1">
      <alignment horizontal="center" vertical="center"/>
    </xf>
    <xf numFmtId="43" fontId="25" fillId="0" borderId="0" xfId="1" applyFont="1" applyFill="1"/>
    <xf numFmtId="14" fontId="25" fillId="0" borderId="0" xfId="1" applyNumberFormat="1" applyFont="1"/>
    <xf numFmtId="14" fontId="25" fillId="0" borderId="0" xfId="0" applyNumberFormat="1" applyFont="1"/>
    <xf numFmtId="43" fontId="26" fillId="0" borderId="1" xfId="1" applyFont="1" applyFill="1" applyBorder="1" applyAlignment="1">
      <alignment horizontal="center" vertical="center"/>
    </xf>
    <xf numFmtId="43" fontId="25" fillId="0" borderId="0" xfId="1" applyFont="1" applyFill="1" applyBorder="1" applyAlignment="1">
      <alignment vertical="center"/>
    </xf>
    <xf numFmtId="43" fontId="25" fillId="0" borderId="0" xfId="1" applyFont="1" applyBorder="1" applyAlignment="1">
      <alignment vertical="center"/>
    </xf>
    <xf numFmtId="43" fontId="11" fillId="2" borderId="9" xfId="1" applyFont="1" applyFill="1" applyBorder="1" applyAlignment="1">
      <alignment horizontal="center" vertical="center" wrapText="1"/>
    </xf>
    <xf numFmtId="14" fontId="11" fillId="2" borderId="11" xfId="0" applyNumberFormat="1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43" fontId="11" fillId="2" borderId="12" xfId="1" applyFont="1" applyFill="1" applyBorder="1" applyAlignment="1">
      <alignment horizontal="center" vertical="center"/>
    </xf>
    <xf numFmtId="43" fontId="11" fillId="2" borderId="12" xfId="1" applyFont="1" applyFill="1" applyBorder="1" applyAlignment="1">
      <alignment horizontal="center" vertical="center" wrapText="1"/>
    </xf>
    <xf numFmtId="1" fontId="11" fillId="2" borderId="12" xfId="1" applyNumberFormat="1" applyFont="1" applyFill="1" applyBorder="1" applyAlignment="1">
      <alignment horizontal="center" vertical="center" wrapText="1"/>
    </xf>
    <xf numFmtId="14" fontId="27" fillId="0" borderId="13" xfId="0" applyNumberFormat="1" applyFont="1" applyBorder="1" applyAlignment="1">
      <alignment horizontal="center" vertical="center"/>
    </xf>
    <xf numFmtId="0" fontId="27" fillId="0" borderId="13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 wrapText="1"/>
    </xf>
    <xf numFmtId="43" fontId="27" fillId="0" borderId="13" xfId="1" applyFont="1" applyFill="1" applyBorder="1" applyAlignment="1">
      <alignment horizontal="center" vertical="center" wrapText="1"/>
    </xf>
    <xf numFmtId="43" fontId="11" fillId="0" borderId="13" xfId="1" applyFont="1" applyFill="1" applyBorder="1" applyAlignment="1">
      <alignment horizontal="center" vertical="center" wrapText="1"/>
    </xf>
    <xf numFmtId="43" fontId="11" fillId="0" borderId="13" xfId="1" applyFont="1" applyBorder="1" applyAlignment="1">
      <alignment horizontal="center" vertical="center" wrapText="1"/>
    </xf>
    <xf numFmtId="43" fontId="11" fillId="0" borderId="13" xfId="1" applyFont="1" applyBorder="1" applyAlignment="1">
      <alignment horizontal="center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center" vertical="center"/>
    </xf>
    <xf numFmtId="0" fontId="27" fillId="0" borderId="13" xfId="0" applyFont="1" applyBorder="1" applyAlignment="1">
      <alignment vertical="center"/>
    </xf>
    <xf numFmtId="43" fontId="27" fillId="0" borderId="13" xfId="1" applyFont="1" applyFill="1" applyBorder="1" applyAlignment="1">
      <alignment vertical="center"/>
    </xf>
    <xf numFmtId="43" fontId="27" fillId="0" borderId="13" xfId="0" applyNumberFormat="1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3" fontId="0" fillId="0" borderId="15" xfId="1" applyFont="1" applyBorder="1" applyAlignment="1">
      <alignment vertical="center"/>
    </xf>
    <xf numFmtId="43" fontId="2" fillId="0" borderId="16" xfId="1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43" fontId="2" fillId="0" borderId="0" xfId="1" applyFont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43" fontId="0" fillId="0" borderId="0" xfId="1" applyFont="1" applyFill="1" applyBorder="1" applyAlignment="1"/>
    <xf numFmtId="43" fontId="0" fillId="0" borderId="0" xfId="0" applyNumberForma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3" fontId="2" fillId="0" borderId="0" xfId="1" applyFont="1" applyBorder="1" applyAlignment="1"/>
    <xf numFmtId="14" fontId="28" fillId="0" borderId="0" xfId="0" applyNumberFormat="1" applyFont="1" applyAlignment="1">
      <alignment horizontal="left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43" fontId="30" fillId="0" borderId="0" xfId="0" applyNumberFormat="1" applyFont="1" applyAlignment="1">
      <alignment horizontal="center"/>
    </xf>
    <xf numFmtId="43" fontId="29" fillId="0" borderId="0" xfId="1" applyFont="1" applyBorder="1" applyAlignment="1"/>
    <xf numFmtId="43" fontId="28" fillId="0" borderId="0" xfId="1" applyFont="1" applyAlignment="1"/>
    <xf numFmtId="43" fontId="28" fillId="0" borderId="0" xfId="1" applyFont="1" applyBorder="1" applyAlignment="1"/>
    <xf numFmtId="43" fontId="2" fillId="0" borderId="0" xfId="1" applyFont="1" applyBorder="1" applyAlignment="1">
      <alignment horizontal="left"/>
    </xf>
    <xf numFmtId="43" fontId="23" fillId="0" borderId="0" xfId="1" applyFont="1" applyAlignment="1"/>
    <xf numFmtId="43" fontId="23" fillId="0" borderId="0" xfId="1" applyFont="1" applyAlignment="1">
      <alignment horizontal="center"/>
    </xf>
    <xf numFmtId="14" fontId="0" fillId="0" borderId="0" xfId="0" applyNumberFormat="1"/>
    <xf numFmtId="43" fontId="0" fillId="0" borderId="0" xfId="1" applyFont="1" applyAlignment="1"/>
    <xf numFmtId="14" fontId="23" fillId="0" borderId="0" xfId="0" applyNumberFormat="1" applyFont="1" applyAlignment="1">
      <alignment vertical="top"/>
    </xf>
    <xf numFmtId="0" fontId="23" fillId="0" borderId="0" xfId="0" applyFont="1" applyAlignment="1">
      <alignment horizontal="center"/>
    </xf>
    <xf numFmtId="43" fontId="23" fillId="0" borderId="0" xfId="1" applyFont="1" applyAlignment="1">
      <alignment horizontal="center" vertical="center"/>
    </xf>
    <xf numFmtId="43" fontId="23" fillId="0" borderId="0" xfId="1" applyFont="1" applyAlignment="1">
      <alignment horizontal="left" vertical="center"/>
    </xf>
    <xf numFmtId="0" fontId="27" fillId="0" borderId="0" xfId="0" applyFont="1" applyAlignment="1">
      <alignment vertical="center"/>
    </xf>
    <xf numFmtId="43" fontId="12" fillId="0" borderId="13" xfId="1" applyFont="1" applyBorder="1" applyAlignment="1">
      <alignment horizontal="center" vertical="center" wrapText="1"/>
    </xf>
    <xf numFmtId="43" fontId="12" fillId="0" borderId="13" xfId="1" applyFont="1" applyBorder="1" applyAlignment="1">
      <alignment horizontal="center" vertical="center"/>
    </xf>
    <xf numFmtId="0" fontId="27" fillId="0" borderId="0" xfId="0" applyFont="1"/>
    <xf numFmtId="1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43" fontId="11" fillId="0" borderId="15" xfId="1" applyFont="1" applyBorder="1" applyAlignment="1">
      <alignment vertical="center"/>
    </xf>
    <xf numFmtId="43" fontId="11" fillId="0" borderId="16" xfId="1" applyFont="1" applyFill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/>
    </xf>
    <xf numFmtId="43" fontId="11" fillId="0" borderId="0" xfId="1" applyFont="1" applyBorder="1" applyAlignment="1">
      <alignment vertical="center"/>
    </xf>
    <xf numFmtId="43" fontId="27" fillId="0" borderId="0" xfId="1" applyFont="1" applyFill="1" applyBorder="1" applyAlignment="1">
      <alignment vertical="center"/>
    </xf>
    <xf numFmtId="43" fontId="27" fillId="0" borderId="0" xfId="1" applyFont="1" applyFill="1" applyBorder="1" applyAlignment="1"/>
    <xf numFmtId="43" fontId="27" fillId="0" borderId="0" xfId="0" applyNumberFormat="1" applyFont="1"/>
    <xf numFmtId="0" fontId="25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11" fillId="2" borderId="0" xfId="0" applyFont="1" applyFill="1" applyAlignment="1">
      <alignment vertical="center" wrapText="1"/>
    </xf>
    <xf numFmtId="0" fontId="27" fillId="0" borderId="13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43" fontId="11" fillId="0" borderId="16" xfId="1" applyFont="1" applyBorder="1" applyAlignment="1">
      <alignment vertical="center"/>
    </xf>
    <xf numFmtId="0" fontId="2" fillId="0" borderId="0" xfId="0" applyFont="1" applyAlignment="1">
      <alignment horizontal="left" wrapText="1"/>
    </xf>
    <xf numFmtId="0" fontId="28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2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14" fontId="11" fillId="2" borderId="13" xfId="0" applyNumberFormat="1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43" fontId="11" fillId="2" borderId="13" xfId="1" applyFont="1" applyFill="1" applyBorder="1" applyAlignment="1">
      <alignment horizontal="center" vertical="center"/>
    </xf>
    <xf numFmtId="43" fontId="11" fillId="2" borderId="13" xfId="1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vertical="center" wrapText="1"/>
    </xf>
    <xf numFmtId="1" fontId="11" fillId="2" borderId="13" xfId="1" applyNumberFormat="1" applyFont="1" applyFill="1" applyBorder="1" applyAlignment="1">
      <alignment horizontal="center" vertical="center" wrapText="1"/>
    </xf>
    <xf numFmtId="43" fontId="31" fillId="2" borderId="9" xfId="1" applyFont="1" applyFill="1" applyBorder="1" applyAlignment="1">
      <alignment horizontal="center" vertical="center" wrapText="1"/>
    </xf>
    <xf numFmtId="43" fontId="31" fillId="2" borderId="10" xfId="1" applyFont="1" applyFill="1" applyBorder="1" applyAlignment="1">
      <alignment horizontal="center" vertical="center" wrapText="1"/>
    </xf>
    <xf numFmtId="14" fontId="2" fillId="2" borderId="1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" fillId="2" borderId="12" xfId="0" applyFont="1" applyFill="1" applyBorder="1" applyAlignment="1">
      <alignment horizontal="center" vertical="center" wrapText="1"/>
    </xf>
    <xf numFmtId="43" fontId="2" fillId="2" borderId="12" xfId="1" applyFont="1" applyFill="1" applyBorder="1" applyAlignment="1">
      <alignment horizontal="center" vertical="center"/>
    </xf>
    <xf numFmtId="43" fontId="2" fillId="2" borderId="12" xfId="1" applyFont="1" applyFill="1" applyBorder="1" applyAlignment="1">
      <alignment horizontal="center" vertical="center" wrapText="1"/>
    </xf>
    <xf numFmtId="1" fontId="2" fillId="2" borderId="12" xfId="1" applyNumberFormat="1" applyFont="1" applyFill="1" applyBorder="1" applyAlignment="1">
      <alignment horizontal="center" vertical="center" wrapText="1"/>
    </xf>
    <xf numFmtId="1" fontId="2" fillId="2" borderId="20" xfId="1" applyNumberFormat="1" applyFont="1" applyFill="1" applyBorder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43" fontId="0" fillId="0" borderId="13" xfId="1" applyFont="1" applyFill="1" applyBorder="1" applyAlignment="1">
      <alignment horizontal="center" vertical="center" wrapText="1"/>
    </xf>
    <xf numFmtId="43" fontId="2" fillId="0" borderId="13" xfId="1" applyFont="1" applyFill="1" applyBorder="1" applyAlignment="1">
      <alignment horizontal="center" vertical="center" wrapText="1"/>
    </xf>
    <xf numFmtId="43" fontId="2" fillId="0" borderId="13" xfId="1" applyFont="1" applyBorder="1" applyAlignment="1">
      <alignment horizontal="center" vertical="center" wrapText="1"/>
    </xf>
    <xf numFmtId="43" fontId="2" fillId="0" borderId="13" xfId="1" applyFont="1" applyBorder="1" applyAlignment="1">
      <alignment horizontal="center" vertical="center"/>
    </xf>
    <xf numFmtId="43" fontId="2" fillId="0" borderId="22" xfId="1" applyFont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43" fontId="0" fillId="0" borderId="13" xfId="1" applyFont="1" applyFill="1" applyBorder="1" applyAlignment="1">
      <alignment vertical="center"/>
    </xf>
    <xf numFmtId="43" fontId="0" fillId="0" borderId="22" xfId="0" applyNumberFormat="1" applyBorder="1" applyAlignment="1">
      <alignment vertical="center"/>
    </xf>
    <xf numFmtId="0" fontId="0" fillId="0" borderId="0" xfId="0" applyAlignment="1">
      <alignment vertical="center"/>
    </xf>
    <xf numFmtId="43" fontId="3" fillId="0" borderId="13" xfId="1" applyFont="1" applyFill="1" applyBorder="1" applyAlignment="1">
      <alignment horizontal="center" vertical="center" wrapText="1"/>
    </xf>
    <xf numFmtId="43" fontId="3" fillId="0" borderId="13" xfId="1" applyFont="1" applyBorder="1" applyAlignment="1">
      <alignment horizontal="center" vertical="center" wrapText="1"/>
    </xf>
    <xf numFmtId="43" fontId="3" fillId="0" borderId="13" xfId="1" applyFont="1" applyBorder="1" applyAlignment="1">
      <alignment horizontal="center" vertical="center"/>
    </xf>
    <xf numFmtId="43" fontId="3" fillId="0" borderId="22" xfId="1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4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43" fontId="0" fillId="0" borderId="25" xfId="1" applyFont="1" applyFill="1" applyBorder="1" applyAlignment="1">
      <alignment vertical="center"/>
    </xf>
    <xf numFmtId="43" fontId="0" fillId="0" borderId="26" xfId="0" applyNumberFormat="1" applyBorder="1" applyAlignment="1">
      <alignment vertical="center"/>
    </xf>
    <xf numFmtId="0" fontId="2" fillId="0" borderId="0" xfId="0" applyFont="1" applyAlignment="1">
      <alignment vertical="center" wrapText="1"/>
    </xf>
    <xf numFmtId="43" fontId="2" fillId="0" borderId="15" xfId="1" applyFont="1" applyBorder="1" applyAlignment="1">
      <alignment vertical="center"/>
    </xf>
    <xf numFmtId="43" fontId="2" fillId="0" borderId="15" xfId="1" applyFont="1" applyFill="1" applyBorder="1" applyAlignment="1">
      <alignment vertical="center"/>
    </xf>
    <xf numFmtId="0" fontId="11" fillId="2" borderId="27" xfId="0" applyFont="1" applyFill="1" applyBorder="1" applyAlignment="1">
      <alignment vertical="center" wrapText="1"/>
    </xf>
    <xf numFmtId="0" fontId="2" fillId="0" borderId="0" xfId="0" applyFont="1" applyAlignment="1">
      <alignment horizontal="left" indent="2"/>
    </xf>
    <xf numFmtId="43" fontId="2" fillId="0" borderId="0" xfId="1" applyFont="1" applyBorder="1" applyAlignment="1">
      <alignment horizontal="left" indent="2"/>
    </xf>
    <xf numFmtId="0" fontId="2" fillId="0" borderId="0" xfId="0" applyFont="1" applyAlignment="1">
      <alignment horizontal="left" indent="5"/>
    </xf>
    <xf numFmtId="43" fontId="29" fillId="0" borderId="0" xfId="1" applyFont="1" applyBorder="1" applyAlignment="1">
      <alignment horizontal="left" indent="5"/>
    </xf>
    <xf numFmtId="0" fontId="22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5"/>
    </xf>
    <xf numFmtId="0" fontId="21" fillId="0" borderId="0" xfId="0" applyFont="1" applyAlignment="1">
      <alignment horizontal="left" indent="2"/>
    </xf>
    <xf numFmtId="0" fontId="2" fillId="0" borderId="0" xfId="0" applyFont="1" applyAlignment="1">
      <alignment horizontal="left" indent="11"/>
    </xf>
    <xf numFmtId="0" fontId="0" fillId="0" borderId="0" xfId="0" applyAlignment="1">
      <alignment horizontal="left" indent="6"/>
    </xf>
    <xf numFmtId="0" fontId="21" fillId="0" borderId="0" xfId="0" applyFont="1" applyAlignment="1">
      <alignment horizontal="left" indent="6"/>
    </xf>
    <xf numFmtId="0" fontId="21" fillId="0" borderId="0" xfId="0" applyFont="1" applyAlignment="1">
      <alignment horizontal="left" indent="5"/>
    </xf>
    <xf numFmtId="14" fontId="2" fillId="2" borderId="7" xfId="0" applyNumberFormat="1" applyFont="1" applyFill="1" applyBorder="1" applyAlignment="1">
      <alignment horizontal="center" vertical="center"/>
    </xf>
    <xf numFmtId="43" fontId="2" fillId="2" borderId="9" xfId="1" applyFont="1" applyFill="1" applyBorder="1" applyAlignment="1">
      <alignment horizontal="center" vertical="center" wrapText="1"/>
    </xf>
    <xf numFmtId="43" fontId="2" fillId="2" borderId="10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43" fontId="2" fillId="2" borderId="9" xfId="1" applyFont="1" applyFill="1" applyBorder="1" applyAlignment="1">
      <alignment horizontal="center" vertical="center"/>
    </xf>
    <xf numFmtId="1" fontId="2" fillId="2" borderId="9" xfId="1" applyNumberFormat="1" applyFont="1" applyFill="1" applyBorder="1" applyAlignment="1">
      <alignment horizontal="center" vertical="center" wrapText="1"/>
    </xf>
    <xf numFmtId="1" fontId="2" fillId="2" borderId="10" xfId="1" applyNumberFormat="1" applyFont="1" applyFill="1" applyBorder="1" applyAlignment="1">
      <alignment horizontal="center" vertical="center" wrapText="1"/>
    </xf>
    <xf numFmtId="14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left" vertical="center" wrapText="1"/>
    </xf>
    <xf numFmtId="0" fontId="0" fillId="0" borderId="28" xfId="0" applyBorder="1" applyAlignment="1">
      <alignment horizontal="center" vertical="center" wrapText="1"/>
    </xf>
    <xf numFmtId="43" fontId="0" fillId="0" borderId="28" xfId="1" applyFont="1" applyFill="1" applyBorder="1" applyAlignment="1">
      <alignment horizontal="center" vertical="center" wrapText="1"/>
    </xf>
    <xf numFmtId="43" fontId="2" fillId="0" borderId="28" xfId="1" applyFont="1" applyFill="1" applyBorder="1" applyAlignment="1">
      <alignment horizontal="center" vertical="center" wrapText="1"/>
    </xf>
    <xf numFmtId="43" fontId="2" fillId="0" borderId="28" xfId="1" applyFont="1" applyBorder="1" applyAlignment="1">
      <alignment horizontal="center" vertical="center" wrapText="1"/>
    </xf>
    <xf numFmtId="43" fontId="2" fillId="0" borderId="28" xfId="1" applyFon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43" fontId="0" fillId="0" borderId="13" xfId="0" applyNumberFormat="1" applyBorder="1" applyAlignment="1">
      <alignment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2" fillId="2" borderId="7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3" fontId="2" fillId="2" borderId="17" xfId="1" applyFont="1" applyFill="1" applyBorder="1" applyAlignment="1">
      <alignment horizontal="center" vertical="center"/>
    </xf>
    <xf numFmtId="43" fontId="2" fillId="2" borderId="18" xfId="1" applyFont="1" applyFill="1" applyBorder="1" applyAlignment="1">
      <alignment horizontal="center" vertical="center"/>
    </xf>
    <xf numFmtId="43" fontId="2" fillId="2" borderId="19" xfId="1" applyFont="1" applyFill="1" applyBorder="1" applyAlignment="1">
      <alignment horizontal="center" vertical="center"/>
    </xf>
    <xf numFmtId="43" fontId="30" fillId="0" borderId="4" xfId="0" applyNumberFormat="1" applyFont="1" applyBorder="1" applyAlignment="1">
      <alignment horizontal="center"/>
    </xf>
    <xf numFmtId="43" fontId="30" fillId="0" borderId="6" xfId="0" applyNumberFormat="1" applyFont="1" applyBorder="1" applyAlignment="1">
      <alignment horizontal="center"/>
    </xf>
    <xf numFmtId="14" fontId="31" fillId="2" borderId="2" xfId="0" applyNumberFormat="1" applyFont="1" applyFill="1" applyBorder="1" applyAlignment="1">
      <alignment horizontal="center" vertical="center"/>
    </xf>
    <xf numFmtId="14" fontId="31" fillId="2" borderId="7" xfId="0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43" fontId="31" fillId="2" borderId="17" xfId="1" applyFont="1" applyFill="1" applyBorder="1" applyAlignment="1">
      <alignment horizontal="center" vertical="center"/>
    </xf>
    <xf numFmtId="43" fontId="31" fillId="2" borderId="18" xfId="1" applyFont="1" applyFill="1" applyBorder="1" applyAlignment="1">
      <alignment horizontal="center" vertical="center"/>
    </xf>
    <xf numFmtId="43" fontId="31" fillId="2" borderId="19" xfId="1" applyFont="1" applyFill="1" applyBorder="1" applyAlignment="1">
      <alignment horizontal="center" vertical="center"/>
    </xf>
    <xf numFmtId="14" fontId="11" fillId="2" borderId="2" xfId="0" applyNumberFormat="1" applyFont="1" applyFill="1" applyBorder="1" applyAlignment="1">
      <alignment horizontal="center" vertical="center"/>
    </xf>
    <xf numFmtId="14" fontId="11" fillId="2" borderId="7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43" fontId="11" fillId="2" borderId="17" xfId="1" applyFont="1" applyFill="1" applyBorder="1" applyAlignment="1">
      <alignment horizontal="center" vertical="center"/>
    </xf>
    <xf numFmtId="43" fontId="11" fillId="2" borderId="18" xfId="1" applyFont="1" applyFill="1" applyBorder="1" applyAlignment="1">
      <alignment horizontal="center" vertical="center"/>
    </xf>
    <xf numFmtId="43" fontId="11" fillId="2" borderId="19" xfId="1" applyFont="1" applyFill="1" applyBorder="1" applyAlignment="1">
      <alignment horizontal="center" vertical="center"/>
    </xf>
    <xf numFmtId="14" fontId="11" fillId="2" borderId="13" xfId="0" applyNumberFormat="1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/>
    </xf>
    <xf numFmtId="43" fontId="11" fillId="2" borderId="13" xfId="1" applyFont="1" applyFill="1" applyBorder="1" applyAlignment="1">
      <alignment horizontal="center" vertical="center"/>
    </xf>
    <xf numFmtId="43" fontId="18" fillId="0" borderId="4" xfId="0" applyNumberFormat="1" applyFont="1" applyBorder="1" applyAlignment="1">
      <alignment horizontal="center"/>
    </xf>
    <xf numFmtId="43" fontId="18" fillId="0" borderId="6" xfId="0" applyNumberFormat="1" applyFont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43" fontId="8" fillId="2" borderId="4" xfId="1" applyFont="1" applyFill="1" applyBorder="1" applyAlignment="1">
      <alignment horizontal="center" vertical="center"/>
    </xf>
    <xf numFmtId="43" fontId="8" fillId="2" borderId="5" xfId="1" applyFont="1" applyFill="1" applyBorder="1" applyAlignment="1">
      <alignment horizontal="center" vertical="center"/>
    </xf>
    <xf numFmtId="43" fontId="8" fillId="2" borderId="6" xfId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4788-C7C6-41EA-B683-B173016D9690}">
  <dimension ref="A1:V42"/>
  <sheetViews>
    <sheetView tabSelected="1" workbookViewId="0">
      <selection activeCell="B8" sqref="B8"/>
    </sheetView>
  </sheetViews>
  <sheetFormatPr defaultColWidth="9.109375" defaultRowHeight="14.4" x14ac:dyDescent="0.3"/>
  <cols>
    <col min="1" max="1" width="14.5546875" style="128" customWidth="1"/>
    <col min="2" max="2" width="64.88671875" style="157" customWidth="1"/>
    <col min="3" max="3" width="13.109375" customWidth="1"/>
    <col min="4" max="4" width="14.109375" customWidth="1"/>
    <col min="5" max="5" width="13.6640625" customWidth="1"/>
    <col min="6" max="6" width="11.5546875" customWidth="1"/>
    <col min="7" max="7" width="18.6640625" customWidth="1"/>
    <col min="8" max="8" width="10.5546875" bestFit="1" customWidth="1"/>
    <col min="9" max="9" width="9.5546875" hidden="1" customWidth="1"/>
    <col min="10" max="10" width="11.88671875" hidden="1" customWidth="1"/>
    <col min="11" max="11" width="12.33203125" bestFit="1" customWidth="1"/>
    <col min="12" max="12" width="11" bestFit="1" customWidth="1"/>
    <col min="13" max="13" width="8.6640625" bestFit="1" customWidth="1"/>
    <col min="14" max="14" width="8" bestFit="1" customWidth="1"/>
    <col min="15" max="15" width="10.44140625" bestFit="1" customWidth="1"/>
    <col min="16" max="16" width="12" hidden="1" customWidth="1"/>
    <col min="17" max="17" width="9.5546875" hidden="1" customWidth="1"/>
    <col min="18" max="18" width="13.109375" hidden="1" customWidth="1"/>
    <col min="19" max="19" width="13.6640625" hidden="1" customWidth="1"/>
    <col min="20" max="20" width="12.44140625" customWidth="1"/>
    <col min="21" max="21" width="7.88671875" hidden="1" customWidth="1"/>
  </cols>
  <sheetData>
    <row r="1" spans="1:22" s="5" customFormat="1" ht="31.2" x14ac:dyDescent="0.6">
      <c r="A1" s="75" t="s">
        <v>0</v>
      </c>
      <c r="B1" s="148"/>
      <c r="C1" s="76"/>
      <c r="D1" s="77"/>
      <c r="E1" s="77"/>
      <c r="F1" s="77"/>
      <c r="G1" s="78" t="s">
        <v>1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/>
    </row>
    <row r="2" spans="1:22" s="5" customFormat="1" ht="31.2" x14ac:dyDescent="0.6">
      <c r="A2" s="79" t="s">
        <v>2</v>
      </c>
      <c r="B2" s="149"/>
      <c r="C2" s="76"/>
      <c r="D2" s="77"/>
      <c r="E2" s="81" t="s">
        <v>311</v>
      </c>
      <c r="F2" s="81"/>
      <c r="G2" s="81"/>
      <c r="H2" s="82"/>
      <c r="I2" s="82"/>
      <c r="J2" s="82"/>
      <c r="K2" s="82"/>
      <c r="L2" s="82"/>
      <c r="M2" s="82"/>
      <c r="N2" s="82"/>
      <c r="O2" s="77"/>
      <c r="P2" s="77"/>
      <c r="Q2" s="77"/>
      <c r="R2" s="83">
        <v>45372</v>
      </c>
      <c r="S2" s="77"/>
      <c r="T2" s="77"/>
      <c r="U2" s="77"/>
      <c r="V2"/>
    </row>
    <row r="3" spans="1:22" s="5" customFormat="1" ht="26.4" thickBot="1" x14ac:dyDescent="0.35">
      <c r="A3" s="84"/>
      <c r="B3" s="148"/>
      <c r="C3" s="76"/>
      <c r="D3" s="77" t="s">
        <v>4</v>
      </c>
      <c r="E3" s="82"/>
      <c r="F3" s="82"/>
      <c r="G3" s="85"/>
      <c r="H3" s="85"/>
      <c r="I3" s="85"/>
      <c r="J3" s="85"/>
      <c r="K3" s="81"/>
      <c r="L3" s="82"/>
      <c r="M3" s="85"/>
      <c r="N3" s="82"/>
      <c r="O3" s="86"/>
      <c r="P3" s="86"/>
      <c r="Q3" s="87"/>
      <c r="R3" s="87"/>
      <c r="S3" s="87"/>
      <c r="T3" s="87"/>
      <c r="U3" s="87"/>
      <c r="V3"/>
    </row>
    <row r="4" spans="1:22" x14ac:dyDescent="0.3">
      <c r="A4" s="234" t="s">
        <v>5</v>
      </c>
      <c r="B4" s="236" t="s">
        <v>6</v>
      </c>
      <c r="C4" s="238" t="s">
        <v>7</v>
      </c>
      <c r="D4" s="238" t="s">
        <v>8</v>
      </c>
      <c r="E4" s="240" t="s">
        <v>9</v>
      </c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2"/>
    </row>
    <row r="5" spans="1:22" ht="43.8" thickBot="1" x14ac:dyDescent="0.35">
      <c r="A5" s="235"/>
      <c r="B5" s="237"/>
      <c r="C5" s="239"/>
      <c r="D5" s="239"/>
      <c r="E5" s="217" t="s">
        <v>10</v>
      </c>
      <c r="F5" s="217" t="s">
        <v>11</v>
      </c>
      <c r="G5" s="217" t="s">
        <v>12</v>
      </c>
      <c r="H5" s="217" t="s">
        <v>13</v>
      </c>
      <c r="I5" s="217" t="s">
        <v>14</v>
      </c>
      <c r="J5" s="217" t="s">
        <v>15</v>
      </c>
      <c r="K5" s="217" t="s">
        <v>117</v>
      </c>
      <c r="L5" s="217" t="s">
        <v>17</v>
      </c>
      <c r="M5" s="217" t="s">
        <v>18</v>
      </c>
      <c r="N5" s="217" t="s">
        <v>19</v>
      </c>
      <c r="O5" s="217" t="s">
        <v>20</v>
      </c>
      <c r="P5" s="217" t="s">
        <v>21</v>
      </c>
      <c r="Q5" s="217" t="s">
        <v>22</v>
      </c>
      <c r="R5" s="217" t="s">
        <v>23</v>
      </c>
      <c r="S5" s="217" t="s">
        <v>24</v>
      </c>
      <c r="T5" s="217" t="s">
        <v>25</v>
      </c>
      <c r="U5" s="218" t="s">
        <v>26</v>
      </c>
    </row>
    <row r="6" spans="1:22" ht="15" hidden="1" thickBot="1" x14ac:dyDescent="0.35">
      <c r="A6" s="216"/>
      <c r="B6" s="219" t="s">
        <v>27</v>
      </c>
      <c r="C6" s="220"/>
      <c r="D6" s="221"/>
      <c r="E6" s="217"/>
      <c r="F6" s="222">
        <v>524102</v>
      </c>
      <c r="G6" s="222">
        <v>525722</v>
      </c>
      <c r="H6" s="222">
        <v>524101</v>
      </c>
      <c r="I6" s="222">
        <v>524201</v>
      </c>
      <c r="J6" s="222">
        <v>525713</v>
      </c>
      <c r="K6" s="222">
        <v>525724</v>
      </c>
      <c r="L6" s="222">
        <v>522983</v>
      </c>
      <c r="M6" s="222">
        <v>524200</v>
      </c>
      <c r="N6" s="222">
        <v>521101</v>
      </c>
      <c r="O6" s="222">
        <v>525714</v>
      </c>
      <c r="P6" s="222">
        <v>524304</v>
      </c>
      <c r="Q6" s="222">
        <v>524301</v>
      </c>
      <c r="R6" s="222">
        <v>525717</v>
      </c>
      <c r="S6" s="222">
        <v>525798</v>
      </c>
      <c r="T6" s="222">
        <v>524204</v>
      </c>
      <c r="U6" s="223">
        <v>511103</v>
      </c>
    </row>
    <row r="7" spans="1:22" s="29" customFormat="1" x14ac:dyDescent="0.3">
      <c r="A7" s="224" t="s">
        <v>312</v>
      </c>
      <c r="B7" s="225" t="s">
        <v>313</v>
      </c>
      <c r="C7" s="226">
        <v>13649</v>
      </c>
      <c r="D7" s="227"/>
      <c r="E7" s="227">
        <v>140</v>
      </c>
      <c r="F7" s="228"/>
      <c r="G7" s="228">
        <f>E7</f>
        <v>140</v>
      </c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30"/>
      <c r="T7" s="230"/>
      <c r="U7" s="230"/>
      <c r="V7"/>
    </row>
    <row r="8" spans="1:22" s="188" customFormat="1" x14ac:dyDescent="0.3">
      <c r="A8" s="231" t="s">
        <v>312</v>
      </c>
      <c r="B8" s="183" t="s">
        <v>314</v>
      </c>
      <c r="C8" s="232">
        <v>13650</v>
      </c>
      <c r="D8" s="185"/>
      <c r="E8" s="186">
        <v>1300</v>
      </c>
      <c r="F8" s="186"/>
      <c r="G8" s="186"/>
      <c r="H8" s="186"/>
      <c r="I8" s="186"/>
      <c r="J8" s="186"/>
      <c r="K8" s="186"/>
      <c r="L8" s="186"/>
      <c r="M8" s="186"/>
      <c r="N8" s="186"/>
      <c r="O8" s="186">
        <f>E8</f>
        <v>1300</v>
      </c>
      <c r="P8" s="186"/>
      <c r="Q8" s="186"/>
      <c r="R8" s="186"/>
      <c r="S8" s="186"/>
      <c r="T8" s="186"/>
      <c r="U8" s="233"/>
    </row>
    <row r="9" spans="1:22" s="188" customFormat="1" x14ac:dyDescent="0.3">
      <c r="A9" s="231" t="s">
        <v>315</v>
      </c>
      <c r="B9" s="183" t="s">
        <v>316</v>
      </c>
      <c r="C9" s="232">
        <v>16401</v>
      </c>
      <c r="D9" s="185"/>
      <c r="E9" s="186">
        <v>800</v>
      </c>
      <c r="F9" s="186">
        <f>E9</f>
        <v>800</v>
      </c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233"/>
    </row>
    <row r="10" spans="1:22" s="188" customFormat="1" x14ac:dyDescent="0.3">
      <c r="A10" s="231" t="s">
        <v>315</v>
      </c>
      <c r="B10" s="183" t="s">
        <v>316</v>
      </c>
      <c r="C10" s="232">
        <v>16402</v>
      </c>
      <c r="D10" s="185"/>
      <c r="E10" s="186">
        <v>900</v>
      </c>
      <c r="F10" s="186">
        <f>E10</f>
        <v>900</v>
      </c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233"/>
    </row>
    <row r="11" spans="1:22" s="188" customFormat="1" x14ac:dyDescent="0.3">
      <c r="A11" s="231" t="s">
        <v>317</v>
      </c>
      <c r="B11" s="183" t="s">
        <v>318</v>
      </c>
      <c r="C11" s="232">
        <v>16403</v>
      </c>
      <c r="D11" s="185"/>
      <c r="E11" s="186">
        <v>400</v>
      </c>
      <c r="F11" s="186"/>
      <c r="G11" s="186"/>
      <c r="H11" s="186"/>
      <c r="I11" s="186"/>
      <c r="J11" s="186"/>
      <c r="K11" s="186"/>
      <c r="L11" s="186"/>
      <c r="M11" s="186">
        <f>E11</f>
        <v>400</v>
      </c>
      <c r="N11" s="186"/>
      <c r="O11" s="186"/>
      <c r="P11" s="186"/>
      <c r="Q11" s="186"/>
      <c r="R11" s="186"/>
      <c r="S11" s="186"/>
      <c r="T11" s="186"/>
      <c r="U11" s="233"/>
    </row>
    <row r="12" spans="1:22" s="188" customFormat="1" x14ac:dyDescent="0.3">
      <c r="A12" s="231" t="s">
        <v>317</v>
      </c>
      <c r="B12" s="183" t="s">
        <v>319</v>
      </c>
      <c r="C12" s="232">
        <v>16404</v>
      </c>
      <c r="D12" s="185"/>
      <c r="E12" s="186">
        <v>500</v>
      </c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>
        <f>E12</f>
        <v>500</v>
      </c>
      <c r="U12" s="233"/>
    </row>
    <row r="13" spans="1:22" s="188" customFormat="1" x14ac:dyDescent="0.3">
      <c r="A13" s="231" t="s">
        <v>317</v>
      </c>
      <c r="B13" s="193" t="s">
        <v>320</v>
      </c>
      <c r="C13" s="232">
        <v>16405</v>
      </c>
      <c r="D13" s="185"/>
      <c r="E13" s="186">
        <v>500</v>
      </c>
      <c r="F13" s="186"/>
      <c r="G13" s="186"/>
      <c r="H13" s="186">
        <f>E13</f>
        <v>500</v>
      </c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233"/>
    </row>
    <row r="14" spans="1:22" x14ac:dyDescent="0.3">
      <c r="A14" s="231" t="s">
        <v>321</v>
      </c>
      <c r="B14" s="183" t="s">
        <v>322</v>
      </c>
      <c r="C14" s="232">
        <v>16406</v>
      </c>
      <c r="D14" s="189"/>
      <c r="E14" s="189">
        <v>140</v>
      </c>
      <c r="F14" s="189"/>
      <c r="G14" s="189"/>
      <c r="H14" s="190"/>
      <c r="I14" s="190"/>
      <c r="J14" s="190"/>
      <c r="K14" s="190"/>
      <c r="L14" s="190"/>
      <c r="M14" s="190"/>
      <c r="N14" s="190"/>
      <c r="O14" s="190">
        <f>E14</f>
        <v>140</v>
      </c>
      <c r="P14" s="190"/>
      <c r="Q14" s="190"/>
      <c r="R14" s="190"/>
      <c r="S14" s="191"/>
      <c r="T14" s="191"/>
      <c r="U14" s="191"/>
    </row>
    <row r="15" spans="1:22" ht="28.8" x14ac:dyDescent="0.3">
      <c r="A15" s="231" t="s">
        <v>321</v>
      </c>
      <c r="B15" s="183" t="s">
        <v>323</v>
      </c>
      <c r="C15" s="232">
        <v>16407</v>
      </c>
      <c r="D15" s="189"/>
      <c r="E15" s="189">
        <v>260</v>
      </c>
      <c r="F15" s="189"/>
      <c r="G15" s="189"/>
      <c r="H15" s="190"/>
      <c r="I15" s="190"/>
      <c r="J15" s="190"/>
      <c r="K15" s="190"/>
      <c r="L15" s="190"/>
      <c r="M15" s="190"/>
      <c r="N15" s="190"/>
      <c r="O15" s="190">
        <f>E15</f>
        <v>260</v>
      </c>
      <c r="P15" s="190"/>
      <c r="Q15" s="190"/>
      <c r="R15" s="190"/>
      <c r="S15" s="191"/>
      <c r="T15" s="191"/>
      <c r="U15" s="191"/>
    </row>
    <row r="16" spans="1:22" x14ac:dyDescent="0.3">
      <c r="A16" s="231" t="s">
        <v>324</v>
      </c>
      <c r="B16" s="176" t="s">
        <v>313</v>
      </c>
      <c r="C16" s="232">
        <v>16408</v>
      </c>
      <c r="D16" s="189"/>
      <c r="E16" s="189">
        <v>135</v>
      </c>
      <c r="F16" s="189"/>
      <c r="G16" s="189">
        <f>E16</f>
        <v>135</v>
      </c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1"/>
      <c r="T16" s="191"/>
      <c r="U16" s="191"/>
    </row>
    <row r="17" spans="1:22" s="188" customFormat="1" x14ac:dyDescent="0.3">
      <c r="A17" s="231" t="s">
        <v>324</v>
      </c>
      <c r="B17" s="183" t="s">
        <v>325</v>
      </c>
      <c r="C17" s="232">
        <v>16409</v>
      </c>
      <c r="D17" s="185"/>
      <c r="E17" s="186">
        <v>670</v>
      </c>
      <c r="F17" s="186">
        <f>E17</f>
        <v>670</v>
      </c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233"/>
    </row>
    <row r="18" spans="1:22" s="188" customFormat="1" x14ac:dyDescent="0.3">
      <c r="A18" s="231" t="s">
        <v>324</v>
      </c>
      <c r="B18" s="183" t="s">
        <v>325</v>
      </c>
      <c r="C18" s="232">
        <v>16410</v>
      </c>
      <c r="D18" s="185"/>
      <c r="E18" s="186">
        <v>930</v>
      </c>
      <c r="F18" s="186">
        <f>E18</f>
        <v>930</v>
      </c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233"/>
    </row>
    <row r="19" spans="1:22" s="188" customFormat="1" x14ac:dyDescent="0.3">
      <c r="A19" s="231" t="s">
        <v>326</v>
      </c>
      <c r="B19" s="183" t="s">
        <v>327</v>
      </c>
      <c r="C19" s="232">
        <v>16411</v>
      </c>
      <c r="D19" s="185"/>
      <c r="E19" s="186">
        <v>500</v>
      </c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>
        <f>E19</f>
        <v>500</v>
      </c>
      <c r="U19" s="233"/>
    </row>
    <row r="20" spans="1:22" s="188" customFormat="1" x14ac:dyDescent="0.3">
      <c r="A20" s="231" t="s">
        <v>328</v>
      </c>
      <c r="B20" s="183" t="s">
        <v>318</v>
      </c>
      <c r="C20" s="232">
        <v>16412</v>
      </c>
      <c r="D20" s="185"/>
      <c r="E20" s="186">
        <v>400</v>
      </c>
      <c r="F20" s="186"/>
      <c r="G20" s="186"/>
      <c r="H20" s="186"/>
      <c r="I20" s="186"/>
      <c r="J20" s="186"/>
      <c r="K20" s="186"/>
      <c r="L20" s="186"/>
      <c r="M20" s="186">
        <f>E20</f>
        <v>400</v>
      </c>
      <c r="N20" s="186"/>
      <c r="O20" s="186"/>
      <c r="P20" s="186"/>
      <c r="Q20" s="186"/>
      <c r="R20" s="186"/>
      <c r="S20" s="186"/>
      <c r="T20" s="186"/>
      <c r="U20" s="233"/>
    </row>
    <row r="21" spans="1:22" s="188" customFormat="1" x14ac:dyDescent="0.3">
      <c r="A21" s="231" t="s">
        <v>328</v>
      </c>
      <c r="B21" s="193" t="s">
        <v>329</v>
      </c>
      <c r="C21" s="232">
        <v>16413</v>
      </c>
      <c r="D21" s="185"/>
      <c r="E21" s="186">
        <v>400</v>
      </c>
      <c r="F21" s="186">
        <f>E21</f>
        <v>400</v>
      </c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233"/>
    </row>
    <row r="22" spans="1:22" s="29" customFormat="1" ht="15" thickBot="1" x14ac:dyDescent="0.35">
      <c r="A22" s="106"/>
      <c r="B22" s="200"/>
      <c r="C22" s="188"/>
      <c r="D22" s="108"/>
      <c r="E22" s="109">
        <f>SUM(E7:E21)</f>
        <v>7975</v>
      </c>
      <c r="F22" s="109">
        <f t="shared" ref="F22:T22" si="0">SUM(F7:F21)</f>
        <v>3700</v>
      </c>
      <c r="G22" s="109">
        <f t="shared" si="0"/>
        <v>275</v>
      </c>
      <c r="H22" s="109">
        <f t="shared" si="0"/>
        <v>500</v>
      </c>
      <c r="I22" s="109">
        <f t="shared" si="0"/>
        <v>0</v>
      </c>
      <c r="J22" s="109">
        <f t="shared" si="0"/>
        <v>0</v>
      </c>
      <c r="K22" s="109">
        <f t="shared" si="0"/>
        <v>0</v>
      </c>
      <c r="L22" s="109">
        <f t="shared" si="0"/>
        <v>0</v>
      </c>
      <c r="M22" s="109">
        <f t="shared" si="0"/>
        <v>800</v>
      </c>
      <c r="N22" s="109">
        <f t="shared" si="0"/>
        <v>0</v>
      </c>
      <c r="O22" s="109">
        <f t="shared" si="0"/>
        <v>1700</v>
      </c>
      <c r="P22" s="109">
        <f t="shared" si="0"/>
        <v>0</v>
      </c>
      <c r="Q22" s="109">
        <f t="shared" si="0"/>
        <v>0</v>
      </c>
      <c r="R22" s="109">
        <f t="shared" si="0"/>
        <v>0</v>
      </c>
      <c r="S22" s="109">
        <f t="shared" si="0"/>
        <v>0</v>
      </c>
      <c r="T22" s="109">
        <f t="shared" si="0"/>
        <v>1000</v>
      </c>
      <c r="U22" s="109"/>
    </row>
    <row r="23" spans="1:22" ht="15" thickTop="1" x14ac:dyDescent="0.3">
      <c r="A23" s="107" t="s">
        <v>61</v>
      </c>
      <c r="B23" s="200"/>
      <c r="C23" s="110"/>
      <c r="D23" s="111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3"/>
      <c r="U23" s="114"/>
    </row>
    <row r="24" spans="1:22" ht="15" thickBot="1" x14ac:dyDescent="0.35">
      <c r="A24" s="115"/>
      <c r="B24" s="155"/>
      <c r="C24" s="116"/>
      <c r="D24" s="116"/>
      <c r="E24" s="116"/>
      <c r="F24" s="116"/>
      <c r="G24" s="117"/>
      <c r="H24" s="117"/>
      <c r="I24" s="117"/>
      <c r="J24" s="117"/>
      <c r="K24" s="117"/>
      <c r="L24" s="117"/>
      <c r="M24" s="117"/>
      <c r="N24" s="117"/>
      <c r="O24" s="117"/>
      <c r="Q24" s="117"/>
      <c r="R24" s="117"/>
      <c r="S24" s="117"/>
      <c r="T24" s="117"/>
      <c r="U24" s="117"/>
      <c r="V24" s="117"/>
    </row>
    <row r="25" spans="1:22" s="57" customFormat="1" ht="29.4" thickBot="1" x14ac:dyDescent="0.6">
      <c r="A25" s="118" t="s">
        <v>62</v>
      </c>
      <c r="B25" s="156"/>
      <c r="C25" s="120"/>
      <c r="D25" s="243">
        <f>E22</f>
        <v>7975</v>
      </c>
      <c r="E25" s="244"/>
      <c r="F25" s="121"/>
      <c r="G25" s="122"/>
      <c r="H25" s="123"/>
      <c r="I25" s="124"/>
      <c r="J25" s="122"/>
      <c r="K25" s="122"/>
      <c r="L25" s="122"/>
      <c r="M25" s="122"/>
      <c r="N25" s="122"/>
      <c r="O25" s="122"/>
      <c r="P25"/>
      <c r="Q25" s="122"/>
      <c r="R25" s="122"/>
      <c r="S25" s="122"/>
      <c r="T25" s="122"/>
      <c r="U25" s="122"/>
      <c r="V25" s="122"/>
    </row>
    <row r="26" spans="1:22" ht="21" x14ac:dyDescent="0.4">
      <c r="A26" s="115"/>
      <c r="B26" s="155"/>
      <c r="C26" s="116"/>
      <c r="D26" s="125"/>
      <c r="E26" s="116"/>
      <c r="F26" s="116"/>
      <c r="G26" s="122"/>
      <c r="H26" s="126"/>
      <c r="I26" s="127"/>
      <c r="J26" s="127"/>
      <c r="K26" s="127"/>
      <c r="L26" s="127"/>
      <c r="M26" s="127"/>
      <c r="N26" s="127"/>
      <c r="O26" s="117"/>
      <c r="Q26" s="117"/>
      <c r="R26" s="117"/>
      <c r="S26" s="117"/>
      <c r="T26" s="117"/>
      <c r="U26" s="117"/>
      <c r="V26" s="117"/>
    </row>
    <row r="27" spans="1:22" ht="21" x14ac:dyDescent="0.4">
      <c r="D27" s="129"/>
      <c r="E27" s="129"/>
      <c r="F27" s="129"/>
      <c r="G27" s="122"/>
      <c r="I27" s="129"/>
      <c r="J27" s="129"/>
      <c r="K27" s="129"/>
      <c r="L27" s="129"/>
      <c r="M27" s="112"/>
    </row>
    <row r="28" spans="1:22" x14ac:dyDescent="0.3">
      <c r="A28" s="63"/>
      <c r="B28" s="158" t="s">
        <v>63</v>
      </c>
      <c r="C28" s="64"/>
      <c r="D28" s="64" t="s">
        <v>64</v>
      </c>
      <c r="G28" s="66" t="s">
        <v>65</v>
      </c>
      <c r="H28" s="66"/>
      <c r="J28" s="68"/>
      <c r="L28" s="66" t="s">
        <v>66</v>
      </c>
      <c r="M28" s="66"/>
      <c r="N28" s="67"/>
      <c r="O28" s="68"/>
      <c r="P28" s="66" t="s">
        <v>66</v>
      </c>
      <c r="Q28" s="68"/>
      <c r="R28" s="66" t="s">
        <v>66</v>
      </c>
      <c r="S28" s="66"/>
      <c r="T28" s="68"/>
      <c r="U28" s="68"/>
    </row>
    <row r="29" spans="1:22" x14ac:dyDescent="0.3">
      <c r="A29" s="63"/>
      <c r="B29" s="159" t="s">
        <v>67</v>
      </c>
      <c r="C29" s="69"/>
      <c r="D29" s="69" t="s">
        <v>68</v>
      </c>
      <c r="G29" s="69" t="s">
        <v>69</v>
      </c>
      <c r="H29" s="69"/>
      <c r="J29" s="69"/>
      <c r="L29" s="69" t="s">
        <v>70</v>
      </c>
      <c r="M29" s="69"/>
      <c r="N29" s="69"/>
      <c r="O29" s="69"/>
      <c r="P29" s="69" t="s">
        <v>70</v>
      </c>
      <c r="Q29" s="69"/>
      <c r="R29" s="69" t="s">
        <v>70</v>
      </c>
      <c r="S29" s="69"/>
      <c r="T29" s="68"/>
      <c r="U29" s="68"/>
    </row>
    <row r="30" spans="1:22" x14ac:dyDescent="0.3">
      <c r="A30" s="63"/>
      <c r="B30" s="159" t="s">
        <v>160</v>
      </c>
      <c r="C30" s="69"/>
      <c r="D30" s="69" t="s">
        <v>72</v>
      </c>
      <c r="G30" s="69" t="s">
        <v>73</v>
      </c>
      <c r="H30" s="69"/>
      <c r="J30" s="68"/>
      <c r="L30" s="69" t="s">
        <v>74</v>
      </c>
      <c r="M30" s="69"/>
      <c r="N30" s="60"/>
      <c r="O30" s="68"/>
      <c r="P30" s="69" t="s">
        <v>74</v>
      </c>
      <c r="Q30" s="68"/>
      <c r="R30" s="69" t="s">
        <v>74</v>
      </c>
      <c r="S30" s="69"/>
      <c r="T30" s="68"/>
      <c r="U30" s="68"/>
    </row>
    <row r="31" spans="1:22" x14ac:dyDescent="0.3">
      <c r="A31" s="63"/>
      <c r="B31" s="159" t="s">
        <v>161</v>
      </c>
      <c r="C31" s="69"/>
      <c r="D31" s="69" t="s">
        <v>76</v>
      </c>
      <c r="G31" s="69" t="s">
        <v>77</v>
      </c>
      <c r="H31" s="69"/>
      <c r="J31" s="68"/>
      <c r="L31" s="69" t="s">
        <v>78</v>
      </c>
      <c r="M31" s="69"/>
      <c r="N31" s="60"/>
      <c r="O31" s="68"/>
      <c r="P31" s="69" t="s">
        <v>78</v>
      </c>
      <c r="Q31" s="68"/>
      <c r="R31" s="69" t="s">
        <v>78</v>
      </c>
      <c r="S31" s="69"/>
      <c r="T31" s="68"/>
      <c r="U31" s="68"/>
    </row>
    <row r="32" spans="1:22" s="128" customFormat="1" ht="27" customHeight="1" x14ac:dyDescent="0.3">
      <c r="B32" s="157"/>
      <c r="C32"/>
      <c r="D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2:22" s="128" customFormat="1" ht="27" customHeight="1" x14ac:dyDescent="0.3">
      <c r="B33" s="157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2:22" s="128" customFormat="1" ht="27" customHeight="1" x14ac:dyDescent="0.3">
      <c r="B34" s="157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2:22" s="128" customFormat="1" ht="27" customHeight="1" x14ac:dyDescent="0.3">
      <c r="B35" s="157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2:22" s="128" customFormat="1" ht="27" customHeight="1" x14ac:dyDescent="0.3">
      <c r="B36" s="157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2:22" s="128" customFormat="1" ht="27" customHeight="1" x14ac:dyDescent="0.3">
      <c r="B37" s="15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2:22" s="128" customFormat="1" ht="27" customHeight="1" x14ac:dyDescent="0.3">
      <c r="B38" s="157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2:22" s="128" customFormat="1" ht="27" customHeight="1" x14ac:dyDescent="0.3">
      <c r="B39" s="157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2:22" s="128" customFormat="1" ht="27" customHeight="1" x14ac:dyDescent="0.3">
      <c r="B40" s="157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2:22" s="128" customFormat="1" ht="27" customHeight="1" x14ac:dyDescent="0.3">
      <c r="B41" s="157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2:22" s="128" customFormat="1" ht="27" customHeight="1" x14ac:dyDescent="0.3">
      <c r="B42" s="157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</sheetData>
  <mergeCells count="6">
    <mergeCell ref="D25:E25"/>
    <mergeCell ref="A4:A5"/>
    <mergeCell ref="B4:B5"/>
    <mergeCell ref="C4:C5"/>
    <mergeCell ref="D4:D5"/>
    <mergeCell ref="E4:U4"/>
  </mergeCells>
  <conditionalFormatting sqref="R6">
    <cfRule type="duplicateValues" dxfId="25" priority="1"/>
    <cfRule type="duplicateValues" dxfId="2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F51F-9675-4162-9DE1-A944D7F88640}">
  <dimension ref="A1:V43"/>
  <sheetViews>
    <sheetView workbookViewId="0">
      <selection activeCell="B10" sqref="B10"/>
    </sheetView>
  </sheetViews>
  <sheetFormatPr defaultColWidth="9.109375" defaultRowHeight="14.4" x14ac:dyDescent="0.3"/>
  <cols>
    <col min="1" max="1" width="10.44140625" style="128" customWidth="1"/>
    <col min="2" max="2" width="50.6640625" style="157" customWidth="1"/>
    <col min="3" max="3" width="9.44140625" customWidth="1"/>
    <col min="4" max="4" width="11.44140625" customWidth="1"/>
    <col min="5" max="5" width="13.88671875" customWidth="1"/>
    <col min="6" max="6" width="12.5546875" customWidth="1"/>
    <col min="7" max="7" width="12.33203125" hidden="1" customWidth="1"/>
    <col min="8" max="8" width="10.5546875" customWidth="1"/>
    <col min="9" max="9" width="9.5546875" hidden="1" customWidth="1"/>
    <col min="10" max="11" width="11.88671875" hidden="1" customWidth="1"/>
    <col min="12" max="12" width="10.109375" hidden="1" customWidth="1"/>
    <col min="13" max="13" width="10.44140625" bestFit="1" customWidth="1"/>
    <col min="14" max="14" width="11.33203125" customWidth="1"/>
    <col min="15" max="15" width="9.5546875" hidden="1" customWidth="1"/>
    <col min="16" max="16" width="12" hidden="1" customWidth="1"/>
    <col min="17" max="17" width="9.5546875" hidden="1" customWidth="1"/>
    <col min="18" max="18" width="10.88671875" hidden="1" customWidth="1"/>
    <col min="19" max="19" width="15.88671875" customWidth="1"/>
    <col min="20" max="20" width="10.109375" customWidth="1"/>
    <col min="21" max="21" width="7.88671875" hidden="1" customWidth="1"/>
  </cols>
  <sheetData>
    <row r="1" spans="1:22" s="5" customFormat="1" ht="31.2" x14ac:dyDescent="0.6">
      <c r="A1" s="75" t="s">
        <v>0</v>
      </c>
      <c r="B1" s="148"/>
      <c r="C1" s="76"/>
      <c r="D1" s="77"/>
      <c r="E1" s="77"/>
      <c r="F1" s="77"/>
      <c r="G1" s="78" t="s">
        <v>1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/>
    </row>
    <row r="2" spans="1:22" s="5" customFormat="1" ht="31.8" thickBot="1" x14ac:dyDescent="0.65">
      <c r="A2" s="79" t="s">
        <v>2</v>
      </c>
      <c r="B2" s="149"/>
      <c r="C2" s="76"/>
      <c r="D2" s="77"/>
      <c r="E2" s="81" t="s">
        <v>294</v>
      </c>
      <c r="F2" s="81"/>
      <c r="G2" s="81"/>
      <c r="H2" s="82"/>
      <c r="I2" s="82"/>
      <c r="J2" s="82"/>
      <c r="K2" s="82"/>
      <c r="L2" s="82"/>
      <c r="M2" s="82"/>
      <c r="N2" s="82"/>
      <c r="O2" s="77"/>
      <c r="P2" s="77"/>
      <c r="Q2" s="77"/>
      <c r="R2" s="83"/>
      <c r="S2" s="77"/>
      <c r="T2" s="77"/>
      <c r="U2" s="77"/>
      <c r="V2"/>
    </row>
    <row r="3" spans="1:22" ht="15.75" customHeight="1" x14ac:dyDescent="0.3">
      <c r="A3" s="245" t="s">
        <v>5</v>
      </c>
      <c r="B3" s="247" t="s">
        <v>6</v>
      </c>
      <c r="C3" s="247" t="s">
        <v>7</v>
      </c>
      <c r="D3" s="249" t="s">
        <v>8</v>
      </c>
      <c r="E3" s="251" t="s">
        <v>9</v>
      </c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3"/>
    </row>
    <row r="4" spans="1:22" ht="39.6" customHeight="1" thickBot="1" x14ac:dyDescent="0.35">
      <c r="A4" s="246"/>
      <c r="B4" s="248"/>
      <c r="C4" s="248"/>
      <c r="D4" s="250"/>
      <c r="E4" s="166" t="s">
        <v>10</v>
      </c>
      <c r="F4" s="166" t="s">
        <v>11</v>
      </c>
      <c r="G4" s="166" t="s">
        <v>12</v>
      </c>
      <c r="H4" s="166" t="s">
        <v>13</v>
      </c>
      <c r="I4" s="166" t="s">
        <v>14</v>
      </c>
      <c r="J4" s="166" t="s">
        <v>15</v>
      </c>
      <c r="K4" s="166" t="s">
        <v>218</v>
      </c>
      <c r="L4" s="166" t="s">
        <v>17</v>
      </c>
      <c r="M4" s="166" t="s">
        <v>18</v>
      </c>
      <c r="N4" s="166" t="s">
        <v>19</v>
      </c>
      <c r="O4" s="166" t="s">
        <v>20</v>
      </c>
      <c r="P4" s="166" t="s">
        <v>21</v>
      </c>
      <c r="Q4" s="166" t="s">
        <v>22</v>
      </c>
      <c r="R4" s="166" t="s">
        <v>23</v>
      </c>
      <c r="S4" s="166" t="s">
        <v>24</v>
      </c>
      <c r="T4" s="166" t="s">
        <v>25</v>
      </c>
      <c r="U4" s="167" t="s">
        <v>26</v>
      </c>
    </row>
    <row r="5" spans="1:22" ht="16.5" hidden="1" customHeight="1" x14ac:dyDescent="0.3">
      <c r="A5" s="168"/>
      <c r="B5" s="169" t="s">
        <v>27</v>
      </c>
      <c r="C5" s="170"/>
      <c r="D5" s="171"/>
      <c r="E5" s="172"/>
      <c r="F5" s="173">
        <v>524102</v>
      </c>
      <c r="G5" s="173">
        <v>525722</v>
      </c>
      <c r="H5" s="173">
        <v>524101</v>
      </c>
      <c r="I5" s="173">
        <v>524201</v>
      </c>
      <c r="J5" s="173">
        <v>525713</v>
      </c>
      <c r="K5" s="173">
        <v>525724</v>
      </c>
      <c r="L5" s="173">
        <v>522983</v>
      </c>
      <c r="M5" s="173">
        <v>524200</v>
      </c>
      <c r="N5" s="173">
        <v>521101</v>
      </c>
      <c r="O5" s="173">
        <v>525714</v>
      </c>
      <c r="P5" s="173">
        <v>524304</v>
      </c>
      <c r="Q5" s="173">
        <v>524301</v>
      </c>
      <c r="R5" s="173">
        <v>525717</v>
      </c>
      <c r="S5" s="173">
        <v>525798</v>
      </c>
      <c r="T5" s="173">
        <v>524204</v>
      </c>
      <c r="U5" s="174">
        <v>511103</v>
      </c>
    </row>
    <row r="6" spans="1:22" s="188" customFormat="1" x14ac:dyDescent="0.3">
      <c r="A6" s="175">
        <v>45391</v>
      </c>
      <c r="B6" s="183" t="s">
        <v>295</v>
      </c>
      <c r="C6" s="184">
        <v>13634</v>
      </c>
      <c r="D6" s="185"/>
      <c r="E6" s="186">
        <v>630</v>
      </c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>
        <f>E6</f>
        <v>630</v>
      </c>
      <c r="T6" s="186"/>
      <c r="U6" s="187"/>
    </row>
    <row r="7" spans="1:22" s="188" customFormat="1" x14ac:dyDescent="0.3">
      <c r="A7" s="175">
        <v>45391</v>
      </c>
      <c r="B7" s="183" t="s">
        <v>296</v>
      </c>
      <c r="C7" s="184">
        <v>13635</v>
      </c>
      <c r="D7" s="185"/>
      <c r="E7" s="186">
        <v>1800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>
        <f>E7</f>
        <v>1800</v>
      </c>
      <c r="T7" s="186"/>
      <c r="U7" s="187"/>
    </row>
    <row r="8" spans="1:22" s="188" customFormat="1" x14ac:dyDescent="0.3">
      <c r="A8" s="175">
        <v>45452</v>
      </c>
      <c r="B8" s="183" t="s">
        <v>297</v>
      </c>
      <c r="C8" s="184">
        <v>13636</v>
      </c>
      <c r="D8" s="185"/>
      <c r="E8" s="186">
        <v>400</v>
      </c>
      <c r="F8" s="186"/>
      <c r="G8" s="186"/>
      <c r="H8" s="186"/>
      <c r="I8" s="186"/>
      <c r="J8" s="186"/>
      <c r="K8" s="186"/>
      <c r="L8" s="186"/>
      <c r="M8" s="186">
        <f>E8</f>
        <v>400</v>
      </c>
      <c r="N8" s="186"/>
      <c r="O8" s="186"/>
      <c r="P8" s="186"/>
      <c r="Q8" s="186"/>
      <c r="R8" s="186"/>
      <c r="S8" s="186"/>
      <c r="T8" s="186"/>
      <c r="U8" s="187"/>
    </row>
    <row r="9" spans="1:22" s="188" customFormat="1" x14ac:dyDescent="0.3">
      <c r="A9" s="175">
        <v>45544</v>
      </c>
      <c r="B9" s="183" t="s">
        <v>298</v>
      </c>
      <c r="C9" s="184">
        <v>13637</v>
      </c>
      <c r="D9" s="185"/>
      <c r="E9" s="186">
        <v>900</v>
      </c>
      <c r="F9" s="186">
        <f>E9</f>
        <v>900</v>
      </c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7"/>
    </row>
    <row r="10" spans="1:22" s="188" customFormat="1" x14ac:dyDescent="0.3">
      <c r="A10" s="175">
        <v>45605</v>
      </c>
      <c r="B10" s="183" t="s">
        <v>297</v>
      </c>
      <c r="C10" s="184">
        <v>13638</v>
      </c>
      <c r="D10" s="185"/>
      <c r="E10" s="186">
        <v>400</v>
      </c>
      <c r="F10" s="186"/>
      <c r="G10" s="186"/>
      <c r="H10" s="186"/>
      <c r="I10" s="186"/>
      <c r="J10" s="186"/>
      <c r="K10" s="186"/>
      <c r="L10" s="186"/>
      <c r="M10" s="186">
        <f>E10</f>
        <v>400</v>
      </c>
      <c r="N10" s="186"/>
      <c r="O10" s="186"/>
      <c r="P10" s="186"/>
      <c r="Q10" s="186"/>
      <c r="R10" s="186"/>
      <c r="S10" s="186"/>
      <c r="T10" s="186"/>
      <c r="U10" s="187"/>
    </row>
    <row r="11" spans="1:22" s="188" customFormat="1" x14ac:dyDescent="0.3">
      <c r="A11" s="175">
        <v>45605</v>
      </c>
      <c r="B11" s="183" t="s">
        <v>299</v>
      </c>
      <c r="C11" s="184">
        <v>13639</v>
      </c>
      <c r="D11" s="185"/>
      <c r="E11" s="186">
        <v>900</v>
      </c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>
        <f>E11</f>
        <v>900</v>
      </c>
      <c r="U11" s="187"/>
    </row>
    <row r="12" spans="1:22" ht="28.8" x14ac:dyDescent="0.3">
      <c r="A12" s="175">
        <v>45605</v>
      </c>
      <c r="B12" s="183" t="s">
        <v>300</v>
      </c>
      <c r="C12" s="184">
        <v>13640</v>
      </c>
      <c r="D12" s="189"/>
      <c r="E12" s="189">
        <v>1000</v>
      </c>
      <c r="F12" s="189"/>
      <c r="G12" s="189"/>
      <c r="H12" s="190">
        <f>E12</f>
        <v>1000</v>
      </c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1"/>
      <c r="T12" s="191"/>
      <c r="U12" s="192"/>
    </row>
    <row r="13" spans="1:22" x14ac:dyDescent="0.3">
      <c r="A13" s="175" t="s">
        <v>301</v>
      </c>
      <c r="B13" s="183" t="s">
        <v>302</v>
      </c>
      <c r="C13" s="184">
        <v>13641</v>
      </c>
      <c r="D13" s="189"/>
      <c r="E13" s="189">
        <v>640</v>
      </c>
      <c r="F13" s="189">
        <f>E13</f>
        <v>640</v>
      </c>
      <c r="G13" s="189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1"/>
      <c r="T13" s="191"/>
      <c r="U13" s="192"/>
    </row>
    <row r="14" spans="1:22" x14ac:dyDescent="0.3">
      <c r="A14" s="175" t="s">
        <v>301</v>
      </c>
      <c r="B14" s="183" t="s">
        <v>303</v>
      </c>
      <c r="C14" s="184">
        <v>13642</v>
      </c>
      <c r="D14" s="189"/>
      <c r="E14" s="189">
        <v>940</v>
      </c>
      <c r="F14" s="189">
        <f>E14</f>
        <v>940</v>
      </c>
      <c r="G14" s="189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1"/>
      <c r="T14" s="191"/>
      <c r="U14" s="192"/>
    </row>
    <row r="15" spans="1:22" s="188" customFormat="1" x14ac:dyDescent="0.3">
      <c r="A15" s="175" t="s">
        <v>301</v>
      </c>
      <c r="B15" s="183" t="s">
        <v>304</v>
      </c>
      <c r="C15" s="184">
        <v>13643</v>
      </c>
      <c r="D15" s="185"/>
      <c r="E15" s="186">
        <v>820</v>
      </c>
      <c r="F15" s="186">
        <f>E15</f>
        <v>820</v>
      </c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7"/>
    </row>
    <row r="16" spans="1:22" s="188" customFormat="1" x14ac:dyDescent="0.3">
      <c r="A16" s="175" t="s">
        <v>301</v>
      </c>
      <c r="B16" s="183" t="s">
        <v>305</v>
      </c>
      <c r="C16" s="184">
        <v>13644</v>
      </c>
      <c r="D16" s="185"/>
      <c r="E16" s="186">
        <v>400</v>
      </c>
      <c r="F16" s="186"/>
      <c r="G16" s="186"/>
      <c r="H16" s="186"/>
      <c r="I16" s="186"/>
      <c r="J16" s="186"/>
      <c r="K16" s="186"/>
      <c r="L16" s="186"/>
      <c r="M16" s="186"/>
      <c r="N16" s="186">
        <f>E16</f>
        <v>400</v>
      </c>
      <c r="O16" s="186"/>
      <c r="P16" s="186"/>
      <c r="Q16" s="186"/>
      <c r="R16" s="186"/>
      <c r="S16" s="186"/>
      <c r="T16" s="186"/>
      <c r="U16" s="187"/>
    </row>
    <row r="17" spans="1:22" s="188" customFormat="1" x14ac:dyDescent="0.3">
      <c r="A17" s="175" t="s">
        <v>301</v>
      </c>
      <c r="B17" s="183" t="s">
        <v>297</v>
      </c>
      <c r="C17" s="184">
        <v>13645</v>
      </c>
      <c r="D17" s="185"/>
      <c r="E17" s="186">
        <v>400</v>
      </c>
      <c r="F17" s="186"/>
      <c r="G17" s="186"/>
      <c r="H17" s="186"/>
      <c r="I17" s="186"/>
      <c r="J17" s="186"/>
      <c r="K17" s="186"/>
      <c r="L17" s="186"/>
      <c r="M17" s="186">
        <f>E17</f>
        <v>400</v>
      </c>
      <c r="N17" s="186"/>
      <c r="O17" s="186"/>
      <c r="P17" s="186"/>
      <c r="Q17" s="186"/>
      <c r="R17" s="186"/>
      <c r="S17" s="186"/>
      <c r="T17" s="186"/>
      <c r="U17" s="187"/>
    </row>
    <row r="18" spans="1:22" s="188" customFormat="1" x14ac:dyDescent="0.3">
      <c r="A18" s="175" t="s">
        <v>306</v>
      </c>
      <c r="B18" s="183" t="s">
        <v>307</v>
      </c>
      <c r="C18" s="184">
        <v>13646</v>
      </c>
      <c r="D18" s="185"/>
      <c r="E18" s="186">
        <v>500</v>
      </c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>
        <f>E18</f>
        <v>500</v>
      </c>
      <c r="U18" s="187"/>
    </row>
    <row r="19" spans="1:22" s="188" customFormat="1" x14ac:dyDescent="0.3">
      <c r="A19" s="175" t="s">
        <v>308</v>
      </c>
      <c r="B19" s="183" t="s">
        <v>309</v>
      </c>
      <c r="C19" s="184">
        <v>13647</v>
      </c>
      <c r="D19" s="185"/>
      <c r="E19" s="186">
        <v>500</v>
      </c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>
        <f>E19</f>
        <v>500</v>
      </c>
      <c r="U19" s="187"/>
    </row>
    <row r="20" spans="1:22" s="188" customFormat="1" x14ac:dyDescent="0.3">
      <c r="A20" s="175" t="s">
        <v>308</v>
      </c>
      <c r="B20" s="183" t="s">
        <v>123</v>
      </c>
      <c r="C20" s="184">
        <v>13648</v>
      </c>
      <c r="D20" s="185"/>
      <c r="E20" s="186">
        <v>400</v>
      </c>
      <c r="F20" s="186"/>
      <c r="G20" s="186"/>
      <c r="H20" s="186"/>
      <c r="I20" s="186"/>
      <c r="J20" s="186"/>
      <c r="K20" s="186"/>
      <c r="L20" s="186"/>
      <c r="M20" s="186">
        <f>E20</f>
        <v>400</v>
      </c>
      <c r="N20" s="186"/>
      <c r="O20" s="186"/>
      <c r="P20" s="186"/>
      <c r="Q20" s="186"/>
      <c r="R20" s="186"/>
      <c r="S20" s="186"/>
      <c r="T20" s="186"/>
      <c r="U20" s="187"/>
    </row>
    <row r="21" spans="1:22" s="29" customFormat="1" ht="15" thickBot="1" x14ac:dyDescent="0.35">
      <c r="A21" s="106"/>
      <c r="B21" s="200"/>
      <c r="C21" s="107"/>
      <c r="D21" s="201">
        <v>100000</v>
      </c>
      <c r="E21" s="202">
        <f>SUM(E6:E20)</f>
        <v>10630</v>
      </c>
      <c r="F21" s="202">
        <f t="shared" ref="F21:T21" si="0">SUM(F6:F20)</f>
        <v>3300</v>
      </c>
      <c r="G21" s="202">
        <f t="shared" si="0"/>
        <v>0</v>
      </c>
      <c r="H21" s="202">
        <f t="shared" si="0"/>
        <v>1000</v>
      </c>
      <c r="I21" s="202">
        <f t="shared" si="0"/>
        <v>0</v>
      </c>
      <c r="J21" s="202">
        <f t="shared" si="0"/>
        <v>0</v>
      </c>
      <c r="K21" s="202">
        <f t="shared" si="0"/>
        <v>0</v>
      </c>
      <c r="L21" s="202">
        <f t="shared" si="0"/>
        <v>0</v>
      </c>
      <c r="M21" s="202">
        <f t="shared" si="0"/>
        <v>1600</v>
      </c>
      <c r="N21" s="202">
        <f t="shared" si="0"/>
        <v>400</v>
      </c>
      <c r="O21" s="202">
        <f t="shared" si="0"/>
        <v>0</v>
      </c>
      <c r="P21" s="202">
        <f t="shared" si="0"/>
        <v>0</v>
      </c>
      <c r="Q21" s="202">
        <f t="shared" si="0"/>
        <v>0</v>
      </c>
      <c r="R21" s="202">
        <f t="shared" si="0"/>
        <v>0</v>
      </c>
      <c r="S21" s="202">
        <f t="shared" si="0"/>
        <v>2430</v>
      </c>
      <c r="T21" s="202">
        <f t="shared" si="0"/>
        <v>1900</v>
      </c>
      <c r="U21" s="202">
        <f>SUM(U6:U20)</f>
        <v>0</v>
      </c>
    </row>
    <row r="22" spans="1:22" ht="15" thickTop="1" x14ac:dyDescent="0.3">
      <c r="A22" s="107" t="s">
        <v>61</v>
      </c>
      <c r="B22" s="200"/>
      <c r="C22" s="110"/>
      <c r="D22" s="111">
        <f>SUM(D21-E21)</f>
        <v>89370</v>
      </c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3"/>
      <c r="U22" s="114"/>
    </row>
    <row r="23" spans="1:22" s="137" customFormat="1" ht="16.2" thickBot="1" x14ac:dyDescent="0.35">
      <c r="A23" s="139"/>
      <c r="B23" s="153"/>
      <c r="C23" s="143"/>
      <c r="D23" s="144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47"/>
    </row>
    <row r="24" spans="1:22" s="57" customFormat="1" ht="29.4" thickBot="1" x14ac:dyDescent="0.6">
      <c r="A24" s="118" t="s">
        <v>62</v>
      </c>
      <c r="B24" s="156"/>
      <c r="C24" s="120"/>
      <c r="D24" s="243">
        <f>E21</f>
        <v>10630</v>
      </c>
      <c r="E24" s="244"/>
      <c r="F24" s="121"/>
      <c r="G24" s="122"/>
      <c r="H24" s="123"/>
      <c r="I24" s="124"/>
      <c r="J24" s="122"/>
      <c r="K24" s="122"/>
      <c r="L24" s="122"/>
      <c r="M24" s="122"/>
      <c r="N24" s="122"/>
      <c r="O24" s="122"/>
      <c r="P24"/>
      <c r="Q24" s="122"/>
      <c r="R24" s="122"/>
      <c r="S24" s="122"/>
      <c r="T24" s="122"/>
      <c r="U24" s="122"/>
      <c r="V24" s="122"/>
    </row>
    <row r="25" spans="1:22" s="57" customFormat="1" ht="28.8" x14ac:dyDescent="0.55000000000000004">
      <c r="A25" s="118"/>
      <c r="B25" s="156"/>
      <c r="C25" s="120"/>
      <c r="D25" s="121"/>
      <c r="E25" s="121"/>
      <c r="F25" s="121"/>
      <c r="G25" s="122"/>
      <c r="H25" s="123"/>
      <c r="I25" s="124"/>
      <c r="J25" s="122"/>
      <c r="K25" s="122"/>
      <c r="L25" s="122"/>
      <c r="M25" s="122"/>
      <c r="N25" s="122"/>
      <c r="O25" s="122"/>
      <c r="P25"/>
      <c r="Q25" s="122"/>
      <c r="R25" s="122"/>
      <c r="S25" s="122"/>
      <c r="T25" s="122"/>
      <c r="U25" s="122"/>
      <c r="V25" s="122"/>
    </row>
    <row r="26" spans="1:22" s="57" customFormat="1" ht="28.8" x14ac:dyDescent="0.55000000000000004">
      <c r="A26" s="118"/>
      <c r="B26" s="156"/>
      <c r="C26" s="120"/>
      <c r="D26" s="121"/>
      <c r="E26" s="121"/>
      <c r="F26" s="121"/>
      <c r="G26" s="122"/>
      <c r="H26" s="123"/>
      <c r="I26" s="124"/>
      <c r="J26" s="122"/>
      <c r="K26" s="122"/>
      <c r="L26" s="122"/>
      <c r="M26" s="122"/>
      <c r="N26" s="122"/>
      <c r="O26" s="122"/>
      <c r="P26"/>
      <c r="Q26" s="122"/>
      <c r="R26" s="122"/>
      <c r="S26" s="122"/>
      <c r="T26" s="122"/>
      <c r="U26" s="122"/>
      <c r="V26" s="122"/>
    </row>
    <row r="27" spans="1:22" ht="21" customHeight="1" x14ac:dyDescent="0.4">
      <c r="A27" s="115"/>
      <c r="B27" s="155"/>
      <c r="C27" s="204"/>
      <c r="D27" s="205"/>
      <c r="E27" s="204"/>
      <c r="F27" s="206"/>
      <c r="G27" s="207"/>
      <c r="H27" s="126"/>
      <c r="I27" s="127"/>
      <c r="J27" s="127"/>
      <c r="K27" s="127"/>
      <c r="L27" s="127"/>
      <c r="M27" s="127"/>
      <c r="N27" s="127"/>
      <c r="O27" s="117"/>
      <c r="Q27" s="117"/>
      <c r="R27" s="117"/>
      <c r="S27" s="117"/>
      <c r="T27" s="117"/>
      <c r="U27" s="117"/>
      <c r="V27" s="117"/>
    </row>
    <row r="28" spans="1:22" x14ac:dyDescent="0.3">
      <c r="B28" s="158" t="s">
        <v>63</v>
      </c>
      <c r="C28" s="208"/>
      <c r="D28" s="64" t="s">
        <v>64</v>
      </c>
      <c r="E28" s="209"/>
      <c r="F28" s="210"/>
      <c r="G28" s="69" t="s">
        <v>64</v>
      </c>
      <c r="H28" s="69" t="s">
        <v>64</v>
      </c>
      <c r="L28" s="66" t="s">
        <v>65</v>
      </c>
      <c r="M28" s="66"/>
      <c r="N28" s="66"/>
      <c r="P28" s="68"/>
      <c r="R28" s="66" t="s">
        <v>66</v>
      </c>
      <c r="S28" s="66" t="s">
        <v>66</v>
      </c>
      <c r="T28" s="67"/>
      <c r="U28" s="68"/>
      <c r="V28" s="66"/>
    </row>
    <row r="29" spans="1:22" x14ac:dyDescent="0.3">
      <c r="A29" s="63"/>
      <c r="B29" s="159" t="s">
        <v>67</v>
      </c>
      <c r="C29" s="211"/>
      <c r="D29" s="69" t="s">
        <v>68</v>
      </c>
      <c r="E29" s="209"/>
      <c r="F29" s="212"/>
      <c r="G29" s="69" t="s">
        <v>69</v>
      </c>
      <c r="H29" s="69" t="s">
        <v>69</v>
      </c>
      <c r="I29" s="213"/>
      <c r="J29" s="213"/>
      <c r="K29" s="213"/>
      <c r="L29" s="214" t="s">
        <v>69</v>
      </c>
      <c r="M29" s="214"/>
      <c r="N29" s="69"/>
      <c r="P29" s="69"/>
      <c r="R29" s="69" t="s">
        <v>70</v>
      </c>
      <c r="S29" s="69" t="s">
        <v>70</v>
      </c>
      <c r="T29" s="69"/>
      <c r="U29" s="69"/>
      <c r="V29" s="69"/>
    </row>
    <row r="30" spans="1:22" x14ac:dyDescent="0.3">
      <c r="A30" s="63"/>
      <c r="B30" s="159" t="s">
        <v>290</v>
      </c>
      <c r="C30" s="211"/>
      <c r="D30" s="69" t="s">
        <v>71</v>
      </c>
      <c r="E30" s="209"/>
      <c r="G30" s="69" t="s">
        <v>291</v>
      </c>
      <c r="H30" s="69" t="s">
        <v>291</v>
      </c>
      <c r="I30" s="213"/>
      <c r="J30" s="213"/>
      <c r="K30" s="213"/>
      <c r="L30" s="214" t="s">
        <v>73</v>
      </c>
      <c r="M30" s="214"/>
      <c r="N30" s="69"/>
      <c r="P30" s="68"/>
      <c r="R30" s="69" t="s">
        <v>74</v>
      </c>
      <c r="S30" s="69" t="s">
        <v>74</v>
      </c>
      <c r="T30" s="60"/>
      <c r="U30" s="68"/>
      <c r="V30" s="69"/>
    </row>
    <row r="31" spans="1:22" x14ac:dyDescent="0.3">
      <c r="A31" s="63"/>
      <c r="B31" s="159" t="s">
        <v>127</v>
      </c>
      <c r="C31" s="211"/>
      <c r="D31" s="69" t="s">
        <v>310</v>
      </c>
      <c r="E31" s="209"/>
      <c r="G31" s="69" t="s">
        <v>293</v>
      </c>
      <c r="H31" s="69" t="s">
        <v>293</v>
      </c>
      <c r="I31" s="213"/>
      <c r="J31" s="213"/>
      <c r="K31" s="213"/>
      <c r="L31" s="214" t="s">
        <v>77</v>
      </c>
      <c r="M31" s="214"/>
      <c r="N31" s="69"/>
      <c r="P31" s="68"/>
      <c r="R31" s="69" t="s">
        <v>78</v>
      </c>
      <c r="S31" s="69" t="s">
        <v>78</v>
      </c>
      <c r="T31" s="60"/>
      <c r="U31" s="68"/>
      <c r="V31" s="69"/>
    </row>
    <row r="32" spans="1:22" x14ac:dyDescent="0.3">
      <c r="A32" s="63"/>
      <c r="B32" s="159"/>
      <c r="C32" s="211"/>
      <c r="D32" s="209"/>
      <c r="E32" s="211"/>
      <c r="F32" s="215"/>
      <c r="G32" s="215"/>
      <c r="J32" s="68"/>
      <c r="K32" s="69"/>
      <c r="L32" s="60"/>
      <c r="M32" s="69"/>
      <c r="N32" s="60"/>
      <c r="O32" s="68"/>
      <c r="P32" s="69"/>
      <c r="Q32" s="68"/>
      <c r="S32" s="69"/>
      <c r="T32" s="68"/>
      <c r="U32" s="68"/>
    </row>
    <row r="33" spans="2:22" s="128" customFormat="1" ht="27" customHeight="1" x14ac:dyDescent="0.3">
      <c r="B33" s="157"/>
      <c r="C33"/>
      <c r="D33"/>
      <c r="F33" s="69"/>
      <c r="G33"/>
      <c r="H33" s="69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2:22" s="128" customFormat="1" ht="27" customHeight="1" x14ac:dyDescent="0.3">
      <c r="B34" s="157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2:22" s="128" customFormat="1" ht="27" customHeight="1" x14ac:dyDescent="0.3">
      <c r="B35" s="157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2:22" s="128" customFormat="1" ht="27" customHeight="1" x14ac:dyDescent="0.3">
      <c r="B36" s="157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2:22" s="128" customFormat="1" ht="27" customHeight="1" x14ac:dyDescent="0.3">
      <c r="B37" s="15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2:22" s="128" customFormat="1" ht="27" customHeight="1" x14ac:dyDescent="0.3">
      <c r="B38" s="157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2:22" s="128" customFormat="1" ht="27" customHeight="1" x14ac:dyDescent="0.3">
      <c r="B39" s="157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2:22" s="128" customFormat="1" ht="27" customHeight="1" x14ac:dyDescent="0.3">
      <c r="B40" s="157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2:22" s="128" customFormat="1" ht="27" customHeight="1" x14ac:dyDescent="0.3">
      <c r="B41" s="157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2:22" s="128" customFormat="1" ht="27" customHeight="1" x14ac:dyDescent="0.3">
      <c r="B42" s="157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2:22" s="128" customFormat="1" ht="27" customHeight="1" x14ac:dyDescent="0.3">
      <c r="B43" s="157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</sheetData>
  <mergeCells count="6">
    <mergeCell ref="D24:E24"/>
    <mergeCell ref="A3:A4"/>
    <mergeCell ref="B3:B4"/>
    <mergeCell ref="C3:C4"/>
    <mergeCell ref="D3:D4"/>
    <mergeCell ref="E3:U3"/>
  </mergeCells>
  <conditionalFormatting sqref="R5">
    <cfRule type="duplicateValues" dxfId="23" priority="1"/>
    <cfRule type="duplicateValues" dxfId="2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workbookViewId="0">
      <selection activeCell="R23" sqref="R23"/>
    </sheetView>
  </sheetViews>
  <sheetFormatPr defaultColWidth="9.109375" defaultRowHeight="14.4" x14ac:dyDescent="0.3"/>
  <cols>
    <col min="1" max="1" width="12.44140625" style="128" customWidth="1"/>
    <col min="2" max="2" width="61.33203125" style="157" customWidth="1"/>
    <col min="3" max="3" width="9.44140625" customWidth="1"/>
    <col min="4" max="4" width="11.44140625" customWidth="1"/>
    <col min="5" max="5" width="13.88671875" customWidth="1"/>
    <col min="6" max="6" width="12.5546875" customWidth="1"/>
    <col min="7" max="7" width="12.33203125" customWidth="1"/>
    <col min="8" max="8" width="10.5546875" hidden="1" customWidth="1"/>
    <col min="9" max="9" width="9.5546875" hidden="1" customWidth="1"/>
    <col min="10" max="11" width="11.88671875" hidden="1" customWidth="1"/>
    <col min="12" max="12" width="15.109375" hidden="1" customWidth="1"/>
    <col min="13" max="13" width="10.44140625" bestFit="1" customWidth="1"/>
    <col min="14" max="14" width="12.5546875" hidden="1" customWidth="1"/>
    <col min="15" max="15" width="9.5546875" bestFit="1" customWidth="1"/>
    <col min="16" max="16" width="12" customWidth="1"/>
    <col min="17" max="17" width="9.5546875" hidden="1" customWidth="1"/>
    <col min="18" max="18" width="10.88671875" customWidth="1"/>
    <col min="19" max="19" width="8.6640625" hidden="1" customWidth="1"/>
    <col min="20" max="20" width="10.109375" customWidth="1"/>
    <col min="21" max="21" width="7.88671875" hidden="1" customWidth="1"/>
  </cols>
  <sheetData>
    <row r="1" spans="1:22" s="5" customFormat="1" ht="31.2" x14ac:dyDescent="0.6">
      <c r="A1" s="75" t="s">
        <v>0</v>
      </c>
      <c r="B1" s="148"/>
      <c r="C1" s="76"/>
      <c r="D1" s="77"/>
      <c r="E1" s="77"/>
      <c r="F1" s="77"/>
      <c r="G1" s="78" t="s">
        <v>1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/>
    </row>
    <row r="2" spans="1:22" s="5" customFormat="1" ht="31.8" thickBot="1" x14ac:dyDescent="0.65">
      <c r="A2" s="79" t="s">
        <v>2</v>
      </c>
      <c r="B2" s="149"/>
      <c r="C2" s="76"/>
      <c r="D2" s="77"/>
      <c r="E2" s="81" t="s">
        <v>265</v>
      </c>
      <c r="F2" s="81"/>
      <c r="G2" s="81"/>
      <c r="H2" s="82"/>
      <c r="I2" s="82"/>
      <c r="J2" s="82"/>
      <c r="K2" s="82"/>
      <c r="L2" s="82"/>
      <c r="M2" s="82"/>
      <c r="N2" s="82"/>
      <c r="O2" s="77"/>
      <c r="P2" s="77"/>
      <c r="Q2" s="77"/>
      <c r="R2" s="83"/>
      <c r="S2" s="77"/>
      <c r="T2" s="77"/>
      <c r="U2" s="77"/>
      <c r="V2"/>
    </row>
    <row r="3" spans="1:22" ht="15.75" customHeight="1" x14ac:dyDescent="0.3">
      <c r="A3" s="245" t="s">
        <v>5</v>
      </c>
      <c r="B3" s="247" t="s">
        <v>6</v>
      </c>
      <c r="C3" s="247" t="s">
        <v>7</v>
      </c>
      <c r="D3" s="249" t="s">
        <v>8</v>
      </c>
      <c r="E3" s="251" t="s">
        <v>9</v>
      </c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3"/>
    </row>
    <row r="4" spans="1:22" ht="45.6" customHeight="1" thickBot="1" x14ac:dyDescent="0.35">
      <c r="A4" s="246"/>
      <c r="B4" s="248"/>
      <c r="C4" s="248"/>
      <c r="D4" s="250"/>
      <c r="E4" s="166" t="s">
        <v>10</v>
      </c>
      <c r="F4" s="166" t="s">
        <v>11</v>
      </c>
      <c r="G4" s="166" t="s">
        <v>12</v>
      </c>
      <c r="H4" s="166" t="s">
        <v>13</v>
      </c>
      <c r="I4" s="166" t="s">
        <v>14</v>
      </c>
      <c r="J4" s="166" t="s">
        <v>15</v>
      </c>
      <c r="K4" s="166" t="s">
        <v>218</v>
      </c>
      <c r="L4" s="166" t="s">
        <v>17</v>
      </c>
      <c r="M4" s="166" t="s">
        <v>18</v>
      </c>
      <c r="N4" s="166" t="s">
        <v>19</v>
      </c>
      <c r="O4" s="166" t="s">
        <v>20</v>
      </c>
      <c r="P4" s="166" t="s">
        <v>266</v>
      </c>
      <c r="Q4" s="166" t="s">
        <v>22</v>
      </c>
      <c r="R4" s="166" t="s">
        <v>23</v>
      </c>
      <c r="S4" s="166" t="s">
        <v>24</v>
      </c>
      <c r="T4" s="166" t="s">
        <v>25</v>
      </c>
      <c r="U4" s="167" t="s">
        <v>26</v>
      </c>
    </row>
    <row r="5" spans="1:22" ht="16.5" hidden="1" customHeight="1" x14ac:dyDescent="0.3">
      <c r="A5" s="168"/>
      <c r="B5" s="169" t="s">
        <v>27</v>
      </c>
      <c r="C5" s="170"/>
      <c r="D5" s="171"/>
      <c r="E5" s="172"/>
      <c r="F5" s="173">
        <v>524102</v>
      </c>
      <c r="G5" s="173">
        <v>525722</v>
      </c>
      <c r="H5" s="173">
        <v>524101</v>
      </c>
      <c r="I5" s="173">
        <v>524201</v>
      </c>
      <c r="J5" s="173">
        <v>525713</v>
      </c>
      <c r="K5" s="173">
        <v>525724</v>
      </c>
      <c r="L5" s="173">
        <v>522983</v>
      </c>
      <c r="M5" s="173">
        <v>524200</v>
      </c>
      <c r="N5" s="173">
        <v>521101</v>
      </c>
      <c r="O5" s="173">
        <v>525714</v>
      </c>
      <c r="P5" s="173">
        <v>524304</v>
      </c>
      <c r="Q5" s="173">
        <v>524301</v>
      </c>
      <c r="R5" s="173">
        <v>525717</v>
      </c>
      <c r="S5" s="173">
        <v>525798</v>
      </c>
      <c r="T5" s="173">
        <v>524204</v>
      </c>
      <c r="U5" s="174">
        <v>511103</v>
      </c>
    </row>
    <row r="6" spans="1:22" s="188" customFormat="1" x14ac:dyDescent="0.3">
      <c r="A6" s="175" t="s">
        <v>267</v>
      </c>
      <c r="B6" s="183" t="s">
        <v>268</v>
      </c>
      <c r="C6" s="184">
        <v>13615</v>
      </c>
      <c r="D6" s="185"/>
      <c r="E6" s="186">
        <v>1200</v>
      </c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>
        <f>E6</f>
        <v>1200</v>
      </c>
      <c r="Q6" s="186"/>
      <c r="R6" s="186"/>
      <c r="S6" s="186"/>
      <c r="T6" s="186"/>
      <c r="U6" s="187"/>
    </row>
    <row r="7" spans="1:22" s="188" customFormat="1" x14ac:dyDescent="0.3">
      <c r="A7" s="175" t="s">
        <v>267</v>
      </c>
      <c r="B7" s="183" t="s">
        <v>269</v>
      </c>
      <c r="C7" s="184">
        <v>13616</v>
      </c>
      <c r="D7" s="185"/>
      <c r="E7" s="186">
        <v>400</v>
      </c>
      <c r="F7" s="186"/>
      <c r="G7" s="186"/>
      <c r="H7" s="186"/>
      <c r="I7" s="186"/>
      <c r="J7" s="186"/>
      <c r="K7" s="186"/>
      <c r="L7" s="186"/>
      <c r="M7" s="186">
        <f>E7</f>
        <v>400</v>
      </c>
      <c r="N7" s="186"/>
      <c r="O7" s="186"/>
      <c r="P7" s="186"/>
      <c r="Q7" s="186"/>
      <c r="R7" s="186"/>
      <c r="S7" s="186"/>
      <c r="T7" s="186"/>
      <c r="U7" s="187"/>
    </row>
    <row r="8" spans="1:22" s="188" customFormat="1" x14ac:dyDescent="0.3">
      <c r="A8" s="175" t="s">
        <v>267</v>
      </c>
      <c r="B8" s="183" t="s">
        <v>270</v>
      </c>
      <c r="C8" s="184">
        <v>13617</v>
      </c>
      <c r="D8" s="185"/>
      <c r="E8" s="186">
        <v>400</v>
      </c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>
        <f>E8</f>
        <v>400</v>
      </c>
      <c r="U8" s="187"/>
    </row>
    <row r="9" spans="1:22" s="188" customFormat="1" x14ac:dyDescent="0.3">
      <c r="A9" s="175" t="s">
        <v>267</v>
      </c>
      <c r="B9" s="183" t="s">
        <v>271</v>
      </c>
      <c r="C9" s="184">
        <v>13618</v>
      </c>
      <c r="D9" s="185"/>
      <c r="E9" s="186">
        <v>400</v>
      </c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>
        <f>E9</f>
        <v>400</v>
      </c>
      <c r="U9" s="187"/>
    </row>
    <row r="10" spans="1:22" s="188" customFormat="1" x14ac:dyDescent="0.3">
      <c r="A10" s="175" t="s">
        <v>272</v>
      </c>
      <c r="B10" s="183" t="s">
        <v>273</v>
      </c>
      <c r="C10" s="184">
        <v>13619</v>
      </c>
      <c r="D10" s="185"/>
      <c r="E10" s="186">
        <v>7950</v>
      </c>
      <c r="F10" s="186">
        <f>E10</f>
        <v>7950</v>
      </c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7"/>
    </row>
    <row r="11" spans="1:22" s="188" customFormat="1" x14ac:dyDescent="0.3">
      <c r="A11" s="175" t="s">
        <v>274</v>
      </c>
      <c r="B11" s="183" t="s">
        <v>275</v>
      </c>
      <c r="C11" s="184">
        <v>13620</v>
      </c>
      <c r="D11" s="185"/>
      <c r="E11" s="186">
        <v>1000</v>
      </c>
      <c r="F11" s="186">
        <f>E11</f>
        <v>1000</v>
      </c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7"/>
    </row>
    <row r="12" spans="1:22" x14ac:dyDescent="0.3">
      <c r="A12" s="175" t="s">
        <v>274</v>
      </c>
      <c r="B12" s="183" t="s">
        <v>276</v>
      </c>
      <c r="C12" s="184">
        <v>13621</v>
      </c>
      <c r="D12" s="189"/>
      <c r="E12" s="189">
        <v>5000</v>
      </c>
      <c r="F12" s="189"/>
      <c r="G12" s="189"/>
      <c r="H12" s="190"/>
      <c r="I12" s="190"/>
      <c r="J12" s="190"/>
      <c r="K12" s="190"/>
      <c r="L12" s="190"/>
      <c r="M12" s="190">
        <f>E12</f>
        <v>5000</v>
      </c>
      <c r="N12" s="190"/>
      <c r="O12" s="190"/>
      <c r="P12" s="190"/>
      <c r="Q12" s="190"/>
      <c r="R12" s="190"/>
      <c r="S12" s="191"/>
      <c r="T12" s="191"/>
      <c r="U12" s="192"/>
    </row>
    <row r="13" spans="1:22" x14ac:dyDescent="0.3">
      <c r="A13" s="175" t="s">
        <v>277</v>
      </c>
      <c r="B13" s="183" t="s">
        <v>269</v>
      </c>
      <c r="C13" s="184">
        <v>13622</v>
      </c>
      <c r="D13" s="189"/>
      <c r="E13" s="189">
        <v>400</v>
      </c>
      <c r="F13" s="189"/>
      <c r="G13" s="189"/>
      <c r="H13" s="190"/>
      <c r="I13" s="190"/>
      <c r="J13" s="190"/>
      <c r="K13" s="190"/>
      <c r="L13" s="190"/>
      <c r="M13" s="190">
        <f>E13</f>
        <v>400</v>
      </c>
      <c r="N13" s="190"/>
      <c r="O13" s="190"/>
      <c r="P13" s="190"/>
      <c r="Q13" s="190"/>
      <c r="R13" s="190"/>
      <c r="S13" s="191"/>
      <c r="T13" s="191"/>
      <c r="U13" s="192"/>
    </row>
    <row r="14" spans="1:22" x14ac:dyDescent="0.3">
      <c r="A14" s="175" t="s">
        <v>278</v>
      </c>
      <c r="B14" s="183" t="s">
        <v>279</v>
      </c>
      <c r="C14" s="184">
        <v>13623</v>
      </c>
      <c r="D14" s="189"/>
      <c r="E14" s="189">
        <v>1000</v>
      </c>
      <c r="F14" s="189"/>
      <c r="G14" s="189"/>
      <c r="H14" s="190"/>
      <c r="I14" s="190"/>
      <c r="J14" s="190"/>
      <c r="K14" s="190"/>
      <c r="L14" s="190"/>
      <c r="M14" s="190"/>
      <c r="N14" s="190"/>
      <c r="O14" s="190">
        <f>E14</f>
        <v>1000</v>
      </c>
      <c r="P14" s="190"/>
      <c r="Q14" s="190"/>
      <c r="R14" s="190"/>
      <c r="S14" s="191"/>
      <c r="T14" s="191"/>
      <c r="U14" s="192"/>
    </row>
    <row r="15" spans="1:22" s="188" customFormat="1" x14ac:dyDescent="0.3">
      <c r="A15" s="175" t="s">
        <v>280</v>
      </c>
      <c r="B15" s="183" t="s">
        <v>269</v>
      </c>
      <c r="C15" s="184">
        <v>13624</v>
      </c>
      <c r="D15" s="185"/>
      <c r="E15" s="186">
        <v>450</v>
      </c>
      <c r="F15" s="186"/>
      <c r="G15" s="186"/>
      <c r="H15" s="186"/>
      <c r="I15" s="186"/>
      <c r="J15" s="186"/>
      <c r="K15" s="186"/>
      <c r="L15" s="186"/>
      <c r="M15" s="186">
        <f>E15</f>
        <v>450</v>
      </c>
      <c r="N15" s="186"/>
      <c r="O15" s="186"/>
      <c r="P15" s="186"/>
      <c r="Q15" s="186"/>
      <c r="R15" s="186"/>
      <c r="S15" s="186"/>
      <c r="T15" s="186"/>
      <c r="U15" s="187"/>
    </row>
    <row r="16" spans="1:22" s="188" customFormat="1" ht="28.8" x14ac:dyDescent="0.3">
      <c r="A16" s="175" t="s">
        <v>280</v>
      </c>
      <c r="B16" s="183" t="s">
        <v>281</v>
      </c>
      <c r="C16" s="184">
        <v>13625</v>
      </c>
      <c r="D16" s="185"/>
      <c r="E16" s="186">
        <v>400</v>
      </c>
      <c r="F16" s="186">
        <f>E16</f>
        <v>400</v>
      </c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7"/>
    </row>
    <row r="17" spans="1:22" s="188" customFormat="1" x14ac:dyDescent="0.3">
      <c r="A17" s="175" t="s">
        <v>280</v>
      </c>
      <c r="B17" s="183" t="s">
        <v>282</v>
      </c>
      <c r="C17" s="184">
        <v>13626</v>
      </c>
      <c r="D17" s="185"/>
      <c r="E17" s="186">
        <v>600</v>
      </c>
      <c r="F17" s="186">
        <f>E17</f>
        <v>600</v>
      </c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7"/>
    </row>
    <row r="18" spans="1:22" s="188" customFormat="1" x14ac:dyDescent="0.3">
      <c r="A18" s="175" t="s">
        <v>280</v>
      </c>
      <c r="B18" s="183" t="s">
        <v>269</v>
      </c>
      <c r="C18" s="184">
        <v>13627</v>
      </c>
      <c r="D18" s="185"/>
      <c r="E18" s="186">
        <v>400</v>
      </c>
      <c r="F18" s="186"/>
      <c r="G18" s="186"/>
      <c r="H18" s="186"/>
      <c r="I18" s="186"/>
      <c r="J18" s="186"/>
      <c r="K18" s="186"/>
      <c r="L18" s="186"/>
      <c r="M18" s="186">
        <f>E18</f>
        <v>400</v>
      </c>
      <c r="N18" s="186"/>
      <c r="O18" s="186"/>
      <c r="P18" s="186"/>
      <c r="Q18" s="186"/>
      <c r="R18" s="186"/>
      <c r="S18" s="186"/>
      <c r="T18" s="186"/>
      <c r="U18" s="187"/>
    </row>
    <row r="19" spans="1:22" s="188" customFormat="1" x14ac:dyDescent="0.3">
      <c r="A19" s="175" t="s">
        <v>283</v>
      </c>
      <c r="B19" s="183" t="s">
        <v>284</v>
      </c>
      <c r="C19" s="184">
        <v>13628</v>
      </c>
      <c r="D19" s="185"/>
      <c r="E19" s="186">
        <v>420</v>
      </c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>
        <f>E19</f>
        <v>420</v>
      </c>
      <c r="U19" s="187"/>
    </row>
    <row r="20" spans="1:22" s="188" customFormat="1" x14ac:dyDescent="0.3">
      <c r="A20" s="175" t="s">
        <v>283</v>
      </c>
      <c r="B20" s="183" t="s">
        <v>285</v>
      </c>
      <c r="C20" s="184">
        <v>13629</v>
      </c>
      <c r="D20" s="185"/>
      <c r="E20" s="186">
        <v>135</v>
      </c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>
        <f>E20</f>
        <v>135</v>
      </c>
      <c r="S20" s="186"/>
      <c r="T20" s="186"/>
      <c r="U20" s="187"/>
    </row>
    <row r="21" spans="1:22" s="188" customFormat="1" x14ac:dyDescent="0.3">
      <c r="A21" s="175">
        <v>45331</v>
      </c>
      <c r="B21" s="183" t="s">
        <v>269</v>
      </c>
      <c r="C21" s="184">
        <v>13630</v>
      </c>
      <c r="D21" s="185"/>
      <c r="E21" s="186">
        <v>400</v>
      </c>
      <c r="F21" s="186"/>
      <c r="G21" s="186"/>
      <c r="H21" s="186"/>
      <c r="I21" s="186"/>
      <c r="J21" s="186"/>
      <c r="K21" s="186"/>
      <c r="L21" s="186"/>
      <c r="M21" s="186">
        <f>E21</f>
        <v>400</v>
      </c>
      <c r="N21" s="186"/>
      <c r="O21" s="186"/>
      <c r="P21" s="186"/>
      <c r="Q21" s="186"/>
      <c r="R21" s="186"/>
      <c r="S21" s="186"/>
      <c r="T21" s="186"/>
      <c r="U21" s="187"/>
    </row>
    <row r="22" spans="1:22" s="188" customFormat="1" x14ac:dyDescent="0.3">
      <c r="A22" s="175">
        <v>45331</v>
      </c>
      <c r="B22" s="193" t="s">
        <v>286</v>
      </c>
      <c r="C22" s="184">
        <v>13631</v>
      </c>
      <c r="D22" s="185"/>
      <c r="E22" s="186">
        <v>500</v>
      </c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>
        <f>E22</f>
        <v>500</v>
      </c>
      <c r="U22" s="187"/>
    </row>
    <row r="23" spans="1:22" s="188" customFormat="1" x14ac:dyDescent="0.3">
      <c r="A23" s="175">
        <v>45331</v>
      </c>
      <c r="B23" s="183" t="s">
        <v>287</v>
      </c>
      <c r="C23" s="184">
        <v>13632</v>
      </c>
      <c r="D23" s="185"/>
      <c r="E23" s="186">
        <v>130</v>
      </c>
      <c r="F23" s="186"/>
      <c r="G23" s="186">
        <f>E23</f>
        <v>130</v>
      </c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7"/>
    </row>
    <row r="24" spans="1:22" s="188" customFormat="1" x14ac:dyDescent="0.3">
      <c r="A24" s="175">
        <v>45360</v>
      </c>
      <c r="B24" s="183" t="s">
        <v>288</v>
      </c>
      <c r="C24" s="184">
        <v>13633</v>
      </c>
      <c r="D24" s="185"/>
      <c r="E24" s="186">
        <v>900</v>
      </c>
      <c r="F24" s="186">
        <f>E24</f>
        <v>900</v>
      </c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7"/>
    </row>
    <row r="25" spans="1:22" s="188" customFormat="1" x14ac:dyDescent="0.3">
      <c r="A25" s="175"/>
      <c r="B25" s="183"/>
      <c r="C25" s="184"/>
      <c r="D25" s="185"/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7"/>
    </row>
    <row r="26" spans="1:22" s="29" customFormat="1" ht="15" thickBot="1" x14ac:dyDescent="0.35">
      <c r="A26" s="106"/>
      <c r="B26" s="200"/>
      <c r="C26" s="107"/>
      <c r="D26" s="201">
        <v>100000</v>
      </c>
      <c r="E26" s="202">
        <f>SUM(E6:E25)</f>
        <v>22085</v>
      </c>
      <c r="F26" s="202">
        <f>SUM(F6:F25)</f>
        <v>10850</v>
      </c>
      <c r="G26" s="202">
        <f t="shared" ref="G26:U26" si="0">SUM(G6:G25)</f>
        <v>130</v>
      </c>
      <c r="H26" s="202">
        <f t="shared" si="0"/>
        <v>0</v>
      </c>
      <c r="I26" s="202">
        <f t="shared" si="0"/>
        <v>0</v>
      </c>
      <c r="J26" s="202">
        <f t="shared" si="0"/>
        <v>0</v>
      </c>
      <c r="K26" s="202">
        <f t="shared" si="0"/>
        <v>0</v>
      </c>
      <c r="L26" s="202">
        <f t="shared" si="0"/>
        <v>0</v>
      </c>
      <c r="M26" s="202">
        <f t="shared" si="0"/>
        <v>7050</v>
      </c>
      <c r="N26" s="202">
        <f t="shared" si="0"/>
        <v>0</v>
      </c>
      <c r="O26" s="202">
        <f t="shared" si="0"/>
        <v>1000</v>
      </c>
      <c r="P26" s="202">
        <f t="shared" si="0"/>
        <v>1200</v>
      </c>
      <c r="Q26" s="202">
        <f t="shared" si="0"/>
        <v>0</v>
      </c>
      <c r="R26" s="202">
        <f t="shared" si="0"/>
        <v>135</v>
      </c>
      <c r="S26" s="202">
        <f t="shared" si="0"/>
        <v>0</v>
      </c>
      <c r="T26" s="202">
        <f t="shared" si="0"/>
        <v>1720</v>
      </c>
      <c r="U26" s="202">
        <f t="shared" si="0"/>
        <v>0</v>
      </c>
    </row>
    <row r="27" spans="1:22" ht="15" thickTop="1" x14ac:dyDescent="0.3">
      <c r="A27" s="107" t="s">
        <v>61</v>
      </c>
      <c r="B27" s="200"/>
      <c r="C27" s="110"/>
      <c r="D27" s="111">
        <f>SUM(D26-E26)</f>
        <v>77915</v>
      </c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3"/>
      <c r="U27" s="114"/>
    </row>
    <row r="28" spans="1:22" s="137" customFormat="1" ht="16.2" thickBot="1" x14ac:dyDescent="0.35">
      <c r="A28" s="139"/>
      <c r="B28" s="153"/>
      <c r="C28" s="143"/>
      <c r="D28" s="144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6"/>
      <c r="U28" s="147"/>
    </row>
    <row r="29" spans="1:22" s="57" customFormat="1" ht="29.4" thickBot="1" x14ac:dyDescent="0.6">
      <c r="A29" s="118" t="s">
        <v>62</v>
      </c>
      <c r="B29" s="156"/>
      <c r="C29" s="120"/>
      <c r="D29" s="243">
        <f>E26</f>
        <v>22085</v>
      </c>
      <c r="E29" s="244"/>
      <c r="F29" s="121"/>
      <c r="G29" s="122"/>
      <c r="H29" s="123"/>
      <c r="I29" s="124"/>
      <c r="J29" s="122"/>
      <c r="K29" s="122"/>
      <c r="L29" s="122"/>
      <c r="M29" s="122"/>
      <c r="N29" s="122"/>
      <c r="O29" s="122"/>
      <c r="P29"/>
      <c r="Q29" s="122"/>
      <c r="R29" s="122"/>
      <c r="S29" s="122"/>
      <c r="T29" s="122"/>
      <c r="U29" s="122"/>
      <c r="V29" s="122"/>
    </row>
    <row r="30" spans="1:22" s="57" customFormat="1" ht="28.8" x14ac:dyDescent="0.55000000000000004">
      <c r="A30" s="118"/>
      <c r="B30" s="156"/>
      <c r="C30" s="120"/>
      <c r="D30" s="121"/>
      <c r="E30" s="121"/>
      <c r="F30" s="121"/>
      <c r="G30" s="122"/>
      <c r="H30" s="123"/>
      <c r="I30" s="124"/>
      <c r="J30" s="122"/>
      <c r="K30" s="122"/>
      <c r="L30" s="122"/>
      <c r="M30" s="122"/>
      <c r="N30" s="122"/>
      <c r="O30" s="122"/>
      <c r="P30"/>
      <c r="Q30" s="122"/>
      <c r="R30" s="122"/>
      <c r="S30" s="122"/>
      <c r="T30" s="122"/>
      <c r="U30" s="122"/>
      <c r="V30" s="122"/>
    </row>
    <row r="31" spans="1:22" ht="21" customHeight="1" x14ac:dyDescent="0.4">
      <c r="A31" s="115"/>
      <c r="B31" s="155"/>
      <c r="C31" s="204"/>
      <c r="D31" s="205"/>
      <c r="E31" s="204"/>
      <c r="F31" s="206"/>
      <c r="G31" s="207"/>
      <c r="H31" s="126"/>
      <c r="I31" s="127"/>
      <c r="J31" s="127"/>
      <c r="K31" s="127"/>
      <c r="L31" s="127"/>
      <c r="M31" s="127"/>
      <c r="N31" s="127"/>
      <c r="O31" s="117"/>
      <c r="Q31" s="117"/>
      <c r="R31" s="117"/>
      <c r="S31" s="117"/>
      <c r="T31" s="117"/>
      <c r="U31" s="117"/>
      <c r="V31" s="117"/>
    </row>
    <row r="32" spans="1:22" x14ac:dyDescent="0.3">
      <c r="B32" s="158" t="s">
        <v>63</v>
      </c>
      <c r="C32" s="208"/>
      <c r="D32" s="64" t="s">
        <v>64</v>
      </c>
      <c r="E32" s="209"/>
      <c r="F32" s="210"/>
      <c r="G32" s="69" t="s">
        <v>64</v>
      </c>
      <c r="L32" s="66" t="s">
        <v>65</v>
      </c>
      <c r="M32" s="66"/>
      <c r="N32" s="66"/>
      <c r="P32" s="68"/>
      <c r="R32" s="66" t="s">
        <v>66</v>
      </c>
      <c r="S32" s="66" t="s">
        <v>66</v>
      </c>
      <c r="T32" s="67"/>
      <c r="U32" s="68"/>
      <c r="V32" s="66"/>
    </row>
    <row r="33" spans="1:22" x14ac:dyDescent="0.3">
      <c r="A33" s="63"/>
      <c r="B33" s="159" t="s">
        <v>67</v>
      </c>
      <c r="C33" s="211"/>
      <c r="D33" s="69" t="s">
        <v>68</v>
      </c>
      <c r="E33" s="209"/>
      <c r="F33" s="212" t="s">
        <v>289</v>
      </c>
      <c r="G33" s="69" t="s">
        <v>69</v>
      </c>
      <c r="H33" s="213"/>
      <c r="I33" s="213"/>
      <c r="J33" s="213"/>
      <c r="K33" s="213"/>
      <c r="L33" s="214" t="s">
        <v>69</v>
      </c>
      <c r="M33" s="214"/>
      <c r="N33" s="69"/>
      <c r="P33" s="69"/>
      <c r="R33" s="69" t="s">
        <v>70</v>
      </c>
      <c r="S33" s="69" t="s">
        <v>70</v>
      </c>
      <c r="T33" s="69"/>
      <c r="U33" s="69"/>
      <c r="V33" s="69"/>
    </row>
    <row r="34" spans="1:22" x14ac:dyDescent="0.3">
      <c r="A34" s="63"/>
      <c r="B34" s="159" t="s">
        <v>290</v>
      </c>
      <c r="C34" s="211"/>
      <c r="D34" s="69" t="s">
        <v>71</v>
      </c>
      <c r="E34" s="209"/>
      <c r="G34" s="69" t="s">
        <v>291</v>
      </c>
      <c r="H34" s="213"/>
      <c r="I34" s="213"/>
      <c r="J34" s="213"/>
      <c r="K34" s="213"/>
      <c r="L34" s="214" t="s">
        <v>73</v>
      </c>
      <c r="M34" s="214"/>
      <c r="N34" s="69"/>
      <c r="P34" s="68"/>
      <c r="R34" s="69" t="s">
        <v>74</v>
      </c>
      <c r="S34" s="69" t="s">
        <v>74</v>
      </c>
      <c r="T34" s="60"/>
      <c r="U34" s="68"/>
      <c r="V34" s="69"/>
    </row>
    <row r="35" spans="1:22" x14ac:dyDescent="0.3">
      <c r="A35" s="63"/>
      <c r="B35" s="159" t="s">
        <v>127</v>
      </c>
      <c r="C35" s="211"/>
      <c r="D35" s="69" t="s">
        <v>292</v>
      </c>
      <c r="E35" s="209"/>
      <c r="G35" s="69" t="s">
        <v>293</v>
      </c>
      <c r="H35" s="213"/>
      <c r="I35" s="213"/>
      <c r="J35" s="213"/>
      <c r="K35" s="213"/>
      <c r="L35" s="214" t="s">
        <v>77</v>
      </c>
      <c r="M35" s="214"/>
      <c r="N35" s="69"/>
      <c r="P35" s="68"/>
      <c r="R35" s="69" t="s">
        <v>78</v>
      </c>
      <c r="S35" s="69" t="s">
        <v>78</v>
      </c>
      <c r="T35" s="60"/>
      <c r="U35" s="68"/>
      <c r="V35" s="69"/>
    </row>
    <row r="36" spans="1:22" x14ac:dyDescent="0.3">
      <c r="A36" s="63"/>
      <c r="B36" s="159"/>
      <c r="C36" s="211"/>
      <c r="D36" s="209"/>
      <c r="E36" s="211"/>
      <c r="F36" s="215"/>
      <c r="G36" s="215"/>
      <c r="J36" s="68"/>
      <c r="K36" s="69"/>
      <c r="L36" s="60"/>
      <c r="M36" s="69"/>
      <c r="N36" s="60"/>
      <c r="O36" s="68"/>
      <c r="P36" s="69"/>
      <c r="Q36" s="68"/>
      <c r="S36" s="69"/>
      <c r="T36" s="68"/>
      <c r="U36" s="68"/>
    </row>
    <row r="37" spans="1:22" s="128" customFormat="1" ht="27" customHeight="1" x14ac:dyDescent="0.3">
      <c r="B37" s="157"/>
      <c r="C37"/>
      <c r="D37"/>
      <c r="F37" s="69"/>
      <c r="G37"/>
      <c r="H37" s="69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2" s="128" customFormat="1" ht="27" customHeight="1" x14ac:dyDescent="0.3">
      <c r="B38" s="157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2" s="128" customFormat="1" ht="27" customHeight="1" x14ac:dyDescent="0.3">
      <c r="B39" s="157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1:22" s="128" customFormat="1" ht="27" customHeight="1" x14ac:dyDescent="0.3">
      <c r="B40" s="157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1:22" s="128" customFormat="1" ht="27" customHeight="1" x14ac:dyDescent="0.3">
      <c r="B41" s="157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1:22" s="128" customFormat="1" ht="27" customHeight="1" x14ac:dyDescent="0.3">
      <c r="B42" s="157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1:22" s="128" customFormat="1" ht="27" customHeight="1" x14ac:dyDescent="0.3">
      <c r="B43" s="157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1:22" s="128" customFormat="1" ht="27" customHeight="1" x14ac:dyDescent="0.3">
      <c r="B44" s="157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2" s="128" customFormat="1" ht="27" customHeight="1" x14ac:dyDescent="0.3">
      <c r="B45" s="157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 s="128" customFormat="1" ht="27" customHeight="1" x14ac:dyDescent="0.3">
      <c r="B46" s="157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1:22" s="128" customFormat="1" ht="27" customHeight="1" x14ac:dyDescent="0.3">
      <c r="B47" s="15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</sheetData>
  <mergeCells count="6">
    <mergeCell ref="D29:E29"/>
    <mergeCell ref="A3:A4"/>
    <mergeCell ref="B3:B4"/>
    <mergeCell ref="C3:C4"/>
    <mergeCell ref="D3:D4"/>
    <mergeCell ref="E3:U3"/>
  </mergeCells>
  <conditionalFormatting sqref="R5">
    <cfRule type="duplicateValues" dxfId="21" priority="1"/>
    <cfRule type="duplicateValues" dxfId="2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4610-E557-4787-8FD4-1EDF52551CE4}">
  <dimension ref="A1:V55"/>
  <sheetViews>
    <sheetView workbookViewId="0">
      <selection activeCell="A10" sqref="A10"/>
    </sheetView>
  </sheetViews>
  <sheetFormatPr defaultColWidth="9.109375" defaultRowHeight="14.4" x14ac:dyDescent="0.3"/>
  <cols>
    <col min="1" max="1" width="12.5546875" style="128" customWidth="1"/>
    <col min="2" max="2" width="64.5546875" style="157" customWidth="1"/>
    <col min="3" max="3" width="13.109375" customWidth="1"/>
    <col min="4" max="4" width="14.109375" customWidth="1"/>
    <col min="5" max="5" width="15.109375" customWidth="1"/>
    <col min="6" max="6" width="16.33203125" customWidth="1"/>
    <col min="7" max="7" width="15.88671875" customWidth="1"/>
    <col min="8" max="8" width="10.5546875" hidden="1" customWidth="1"/>
    <col min="9" max="9" width="9.5546875" hidden="1" customWidth="1"/>
    <col min="10" max="10" width="11.88671875" hidden="1" customWidth="1"/>
    <col min="11" max="11" width="12.33203125" hidden="1" customWidth="1"/>
    <col min="12" max="12" width="11" hidden="1" customWidth="1"/>
    <col min="13" max="13" width="8.6640625" bestFit="1" customWidth="1"/>
    <col min="14" max="14" width="8" hidden="1" customWidth="1"/>
    <col min="15" max="15" width="7.88671875" hidden="1" customWidth="1"/>
    <col min="16" max="16" width="24.5546875" hidden="1" customWidth="1"/>
    <col min="17" max="17" width="9.5546875" hidden="1" customWidth="1"/>
    <col min="18" max="18" width="19.6640625" customWidth="1"/>
    <col min="19" max="19" width="13.44140625" customWidth="1"/>
    <col min="20" max="20" width="13" customWidth="1"/>
    <col min="21" max="21" width="7.88671875" hidden="1" customWidth="1"/>
  </cols>
  <sheetData>
    <row r="1" spans="1:22" s="5" customFormat="1" ht="31.2" x14ac:dyDescent="0.6">
      <c r="A1" s="75" t="s">
        <v>0</v>
      </c>
      <c r="B1" s="148"/>
      <c r="C1" s="76"/>
      <c r="D1" s="77"/>
      <c r="E1" s="77"/>
      <c r="F1" s="77"/>
      <c r="G1" s="78" t="s">
        <v>1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/>
    </row>
    <row r="2" spans="1:22" s="5" customFormat="1" ht="31.2" x14ac:dyDescent="0.6">
      <c r="A2" s="79" t="s">
        <v>2</v>
      </c>
      <c r="B2" s="149"/>
      <c r="C2" s="76"/>
      <c r="D2" s="77"/>
      <c r="E2" s="81" t="s">
        <v>241</v>
      </c>
      <c r="F2" s="81"/>
      <c r="G2" s="81"/>
      <c r="H2" s="82"/>
      <c r="I2" s="82"/>
      <c r="J2" s="82"/>
      <c r="K2" s="82"/>
      <c r="L2" s="82"/>
      <c r="M2" s="82"/>
      <c r="N2" s="82"/>
      <c r="O2" s="77"/>
      <c r="P2" s="77"/>
      <c r="Q2" s="77"/>
      <c r="R2" s="83"/>
      <c r="S2" s="77"/>
      <c r="T2" s="77"/>
      <c r="U2" s="77"/>
      <c r="V2"/>
    </row>
    <row r="3" spans="1:22" s="5" customFormat="1" ht="23.25" customHeight="1" thickBot="1" x14ac:dyDescent="0.35">
      <c r="A3" s="84"/>
      <c r="B3" s="148"/>
      <c r="C3" s="76"/>
      <c r="D3" s="77" t="s">
        <v>4</v>
      </c>
      <c r="E3" s="82"/>
      <c r="F3" s="82"/>
      <c r="G3" s="85"/>
      <c r="H3" s="85"/>
      <c r="I3" s="85"/>
      <c r="J3" s="85"/>
      <c r="K3" s="81"/>
      <c r="L3" s="82"/>
      <c r="M3" s="85"/>
      <c r="N3" s="82"/>
      <c r="O3" s="86"/>
      <c r="P3" s="86"/>
      <c r="Q3" s="87"/>
      <c r="R3" s="87"/>
      <c r="S3" s="87"/>
      <c r="T3" s="87"/>
      <c r="U3" s="87"/>
      <c r="V3"/>
    </row>
    <row r="4" spans="1:22" s="12" customFormat="1" ht="15.75" customHeight="1" x14ac:dyDescent="0.3">
      <c r="A4" s="254" t="s">
        <v>5</v>
      </c>
      <c r="B4" s="256" t="s">
        <v>6</v>
      </c>
      <c r="C4" s="258" t="s">
        <v>7</v>
      </c>
      <c r="D4" s="258" t="s">
        <v>8</v>
      </c>
      <c r="E4" s="260" t="s">
        <v>9</v>
      </c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2"/>
      <c r="V4"/>
    </row>
    <row r="5" spans="1:22" s="12" customFormat="1" ht="40.950000000000003" customHeight="1" thickBot="1" x14ac:dyDescent="0.35">
      <c r="A5" s="255"/>
      <c r="B5" s="257"/>
      <c r="C5" s="259"/>
      <c r="D5" s="259"/>
      <c r="E5" s="88" t="s">
        <v>10</v>
      </c>
      <c r="F5" s="88" t="s">
        <v>11</v>
      </c>
      <c r="G5" s="88" t="s">
        <v>12</v>
      </c>
      <c r="H5" s="88" t="s">
        <v>13</v>
      </c>
      <c r="I5" s="88" t="s">
        <v>14</v>
      </c>
      <c r="J5" s="88" t="s">
        <v>15</v>
      </c>
      <c r="K5" s="88" t="s">
        <v>117</v>
      </c>
      <c r="L5" s="88" t="s">
        <v>17</v>
      </c>
      <c r="M5" s="88" t="s">
        <v>18</v>
      </c>
      <c r="N5" s="88" t="s">
        <v>19</v>
      </c>
      <c r="O5" s="88" t="s">
        <v>20</v>
      </c>
      <c r="P5" s="88" t="s">
        <v>21</v>
      </c>
      <c r="Q5" s="88" t="s">
        <v>22</v>
      </c>
      <c r="R5" s="88" t="s">
        <v>23</v>
      </c>
      <c r="S5" s="88" t="s">
        <v>24</v>
      </c>
      <c r="T5" s="88" t="s">
        <v>25</v>
      </c>
      <c r="U5" s="88" t="s">
        <v>26</v>
      </c>
      <c r="V5"/>
    </row>
    <row r="6" spans="1:22" s="12" customFormat="1" ht="16.5" hidden="1" customHeight="1" x14ac:dyDescent="0.3">
      <c r="A6" s="89"/>
      <c r="B6" s="203" t="s">
        <v>27</v>
      </c>
      <c r="C6" s="90"/>
      <c r="D6" s="91"/>
      <c r="E6" s="92"/>
      <c r="F6" s="93">
        <v>524102</v>
      </c>
      <c r="G6" s="93">
        <v>525722</v>
      </c>
      <c r="H6" s="93">
        <v>524101</v>
      </c>
      <c r="I6" s="93">
        <v>524201</v>
      </c>
      <c r="J6" s="93">
        <v>525713</v>
      </c>
      <c r="K6" s="93">
        <v>525724</v>
      </c>
      <c r="L6" s="93">
        <v>522983</v>
      </c>
      <c r="M6" s="93">
        <v>524200</v>
      </c>
      <c r="N6" s="93">
        <v>521101</v>
      </c>
      <c r="O6" s="93">
        <v>525714</v>
      </c>
      <c r="P6" s="93">
        <v>524304</v>
      </c>
      <c r="Q6" s="93">
        <v>524301</v>
      </c>
      <c r="R6" s="93">
        <v>525717</v>
      </c>
      <c r="S6" s="93">
        <v>525798</v>
      </c>
      <c r="T6" s="93">
        <v>524204</v>
      </c>
      <c r="U6" s="93">
        <v>511103</v>
      </c>
      <c r="V6"/>
    </row>
    <row r="7" spans="1:22" s="134" customFormat="1" ht="15.6" x14ac:dyDescent="0.3">
      <c r="A7" s="94" t="s">
        <v>239</v>
      </c>
      <c r="B7" s="152" t="s">
        <v>242</v>
      </c>
      <c r="C7" s="102">
        <v>13537</v>
      </c>
      <c r="D7" s="103"/>
      <c r="E7" s="104">
        <v>600</v>
      </c>
      <c r="F7" s="104">
        <v>600</v>
      </c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5"/>
    </row>
    <row r="8" spans="1:22" s="134" customFormat="1" ht="15.6" x14ac:dyDescent="0.3">
      <c r="A8" s="94" t="s">
        <v>239</v>
      </c>
      <c r="B8" s="152" t="s">
        <v>242</v>
      </c>
      <c r="C8" s="102">
        <v>13538</v>
      </c>
      <c r="D8" s="103"/>
      <c r="E8" s="104">
        <v>900</v>
      </c>
      <c r="F8" s="104">
        <v>900</v>
      </c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5"/>
    </row>
    <row r="9" spans="1:22" s="134" customFormat="1" ht="15.6" x14ac:dyDescent="0.3">
      <c r="A9" s="94" t="s">
        <v>239</v>
      </c>
      <c r="B9" s="152" t="s">
        <v>242</v>
      </c>
      <c r="C9" s="102">
        <v>13539</v>
      </c>
      <c r="D9" s="103"/>
      <c r="E9" s="104">
        <v>900</v>
      </c>
      <c r="F9" s="104">
        <v>900</v>
      </c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5"/>
    </row>
    <row r="10" spans="1:22" s="134" customFormat="1" ht="15.6" x14ac:dyDescent="0.3">
      <c r="A10" s="94" t="s">
        <v>243</v>
      </c>
      <c r="B10" s="152" t="s">
        <v>244</v>
      </c>
      <c r="C10" s="102">
        <v>13540</v>
      </c>
      <c r="D10" s="103"/>
      <c r="E10" s="104">
        <v>2000</v>
      </c>
      <c r="F10" s="104">
        <v>2000</v>
      </c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5"/>
    </row>
    <row r="11" spans="1:22" s="134" customFormat="1" ht="15.6" x14ac:dyDescent="0.3">
      <c r="A11" s="94" t="s">
        <v>243</v>
      </c>
      <c r="B11" s="152" t="s">
        <v>242</v>
      </c>
      <c r="C11" s="102">
        <v>13541</v>
      </c>
      <c r="D11" s="103"/>
      <c r="E11" s="104">
        <v>600</v>
      </c>
      <c r="F11" s="104">
        <v>600</v>
      </c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5"/>
    </row>
    <row r="12" spans="1:22" s="134" customFormat="1" ht="15.6" x14ac:dyDescent="0.3">
      <c r="A12" s="94" t="s">
        <v>243</v>
      </c>
      <c r="B12" s="152" t="s">
        <v>242</v>
      </c>
      <c r="C12" s="102">
        <v>13542</v>
      </c>
      <c r="D12" s="103"/>
      <c r="E12" s="104">
        <v>900</v>
      </c>
      <c r="F12" s="104">
        <v>900</v>
      </c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2" s="137" customFormat="1" ht="15.6" x14ac:dyDescent="0.3">
      <c r="A13" s="94" t="s">
        <v>243</v>
      </c>
      <c r="B13" s="152" t="s">
        <v>242</v>
      </c>
      <c r="C13" s="102">
        <v>13543</v>
      </c>
      <c r="D13" s="25"/>
      <c r="E13" s="25">
        <v>1000</v>
      </c>
      <c r="F13" s="25">
        <v>1000</v>
      </c>
      <c r="G13" s="2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6"/>
      <c r="T13" s="136"/>
      <c r="U13" s="136"/>
    </row>
    <row r="14" spans="1:22" s="137" customFormat="1" ht="15.6" x14ac:dyDescent="0.3">
      <c r="A14" s="94" t="s">
        <v>245</v>
      </c>
      <c r="B14" s="152" t="s">
        <v>246</v>
      </c>
      <c r="C14" s="102">
        <v>13544</v>
      </c>
      <c r="D14" s="25"/>
      <c r="E14" s="25">
        <v>400</v>
      </c>
      <c r="F14" s="25"/>
      <c r="G14" s="25"/>
      <c r="H14" s="135"/>
      <c r="I14" s="135"/>
      <c r="J14" s="135"/>
      <c r="K14" s="135"/>
      <c r="L14" s="135"/>
      <c r="M14" s="135">
        <f>E14</f>
        <v>400</v>
      </c>
      <c r="N14" s="135"/>
      <c r="O14" s="135"/>
      <c r="P14" s="135"/>
      <c r="Q14" s="135"/>
      <c r="R14" s="135"/>
      <c r="S14" s="136"/>
      <c r="T14" s="136"/>
      <c r="U14" s="136"/>
    </row>
    <row r="15" spans="1:22" s="137" customFormat="1" ht="15.6" x14ac:dyDescent="0.3">
      <c r="A15" s="94" t="s">
        <v>247</v>
      </c>
      <c r="B15" s="152" t="s">
        <v>248</v>
      </c>
      <c r="C15" s="102">
        <v>13545</v>
      </c>
      <c r="D15" s="25"/>
      <c r="E15" s="25">
        <v>500</v>
      </c>
      <c r="F15" s="25"/>
      <c r="G15" s="2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6"/>
      <c r="T15" s="136">
        <f>E15</f>
        <v>500</v>
      </c>
      <c r="U15" s="136"/>
    </row>
    <row r="16" spans="1:22" s="134" customFormat="1" ht="15.6" x14ac:dyDescent="0.3">
      <c r="A16" s="94" t="s">
        <v>249</v>
      </c>
      <c r="B16" s="152" t="s">
        <v>246</v>
      </c>
      <c r="C16" s="102">
        <v>13546</v>
      </c>
      <c r="D16" s="103"/>
      <c r="E16" s="104">
        <v>400</v>
      </c>
      <c r="F16" s="104"/>
      <c r="G16" s="104"/>
      <c r="H16" s="104"/>
      <c r="I16" s="104"/>
      <c r="J16" s="104"/>
      <c r="K16" s="104"/>
      <c r="L16" s="104"/>
      <c r="M16" s="104">
        <f>E16</f>
        <v>400</v>
      </c>
      <c r="N16" s="104"/>
      <c r="O16" s="104"/>
      <c r="P16" s="104"/>
      <c r="Q16" s="104"/>
      <c r="R16" s="104"/>
      <c r="S16" s="104"/>
      <c r="T16" s="104"/>
      <c r="U16" s="105"/>
    </row>
    <row r="17" spans="1:21" s="134" customFormat="1" ht="15.6" x14ac:dyDescent="0.3">
      <c r="A17" s="94" t="s">
        <v>249</v>
      </c>
      <c r="B17" s="152" t="s">
        <v>250</v>
      </c>
      <c r="C17" s="102">
        <v>13547</v>
      </c>
      <c r="D17" s="103"/>
      <c r="E17" s="104">
        <v>400</v>
      </c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>
        <f>E17</f>
        <v>400</v>
      </c>
      <c r="U17" s="105"/>
    </row>
    <row r="18" spans="1:21" s="134" customFormat="1" ht="15.6" x14ac:dyDescent="0.3">
      <c r="A18" s="94" t="s">
        <v>249</v>
      </c>
      <c r="B18" s="152" t="s">
        <v>251</v>
      </c>
      <c r="C18" s="102">
        <v>13548</v>
      </c>
      <c r="D18" s="103"/>
      <c r="E18" s="104">
        <v>640</v>
      </c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>
        <f>E18</f>
        <v>640</v>
      </c>
      <c r="U18" s="105"/>
    </row>
    <row r="19" spans="1:21" s="134" customFormat="1" ht="15.6" x14ac:dyDescent="0.3">
      <c r="A19" s="94" t="s">
        <v>249</v>
      </c>
      <c r="B19" s="152" t="s">
        <v>252</v>
      </c>
      <c r="C19" s="102">
        <v>13549</v>
      </c>
      <c r="D19" s="103"/>
      <c r="E19" s="104">
        <v>640</v>
      </c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>
        <f>E19</f>
        <v>640</v>
      </c>
      <c r="U19" s="105"/>
    </row>
    <row r="20" spans="1:21" s="134" customFormat="1" ht="31.2" x14ac:dyDescent="0.3">
      <c r="A20" s="94" t="s">
        <v>249</v>
      </c>
      <c r="B20" s="152" t="s">
        <v>253</v>
      </c>
      <c r="C20" s="102">
        <v>13550</v>
      </c>
      <c r="D20" s="103"/>
      <c r="E20" s="104">
        <v>500</v>
      </c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>
        <f>E20</f>
        <v>500</v>
      </c>
      <c r="U20" s="105"/>
    </row>
    <row r="21" spans="1:21" s="134" customFormat="1" ht="15.6" x14ac:dyDescent="0.3">
      <c r="A21" s="94" t="s">
        <v>249</v>
      </c>
      <c r="B21" s="152" t="s">
        <v>254</v>
      </c>
      <c r="C21" s="102">
        <v>13601</v>
      </c>
      <c r="D21" s="103"/>
      <c r="E21" s="104">
        <v>400</v>
      </c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>
        <f>E21</f>
        <v>400</v>
      </c>
      <c r="U21" s="105"/>
    </row>
    <row r="22" spans="1:21" s="134" customFormat="1" ht="15.6" x14ac:dyDescent="0.3">
      <c r="A22" s="94" t="s">
        <v>249</v>
      </c>
      <c r="B22" s="152" t="s">
        <v>255</v>
      </c>
      <c r="C22" s="102">
        <v>13602</v>
      </c>
      <c r="D22" s="103"/>
      <c r="E22" s="104">
        <v>400</v>
      </c>
      <c r="F22" s="104">
        <f>E22</f>
        <v>400</v>
      </c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5"/>
    </row>
    <row r="23" spans="1:21" s="134" customFormat="1" ht="15.6" x14ac:dyDescent="0.3">
      <c r="A23" s="94" t="s">
        <v>249</v>
      </c>
      <c r="B23" s="101" t="s">
        <v>256</v>
      </c>
      <c r="C23" s="102">
        <v>13603</v>
      </c>
      <c r="D23" s="103"/>
      <c r="E23" s="104">
        <v>1400</v>
      </c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>
        <f>E23</f>
        <v>1400</v>
      </c>
      <c r="T23" s="104"/>
      <c r="U23" s="105"/>
    </row>
    <row r="24" spans="1:21" s="134" customFormat="1" ht="15.6" x14ac:dyDescent="0.3">
      <c r="A24" s="94" t="s">
        <v>257</v>
      </c>
      <c r="B24" s="152" t="s">
        <v>229</v>
      </c>
      <c r="C24" s="102">
        <v>13604</v>
      </c>
      <c r="D24" s="103"/>
      <c r="E24" s="104">
        <v>130</v>
      </c>
      <c r="F24" s="104"/>
      <c r="G24" s="104">
        <f>E24</f>
        <v>130</v>
      </c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5"/>
    </row>
    <row r="25" spans="1:21" s="134" customFormat="1" ht="15.6" x14ac:dyDescent="0.3">
      <c r="A25" s="94" t="s">
        <v>258</v>
      </c>
      <c r="B25" s="152" t="s">
        <v>259</v>
      </c>
      <c r="C25" s="102">
        <v>13605</v>
      </c>
      <c r="D25" s="103"/>
      <c r="E25" s="104">
        <v>760</v>
      </c>
      <c r="F25" s="104">
        <f>E25</f>
        <v>760</v>
      </c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5"/>
    </row>
    <row r="26" spans="1:21" s="134" customFormat="1" ht="15.6" x14ac:dyDescent="0.3">
      <c r="A26" s="94" t="s">
        <v>258</v>
      </c>
      <c r="B26" s="152" t="s">
        <v>242</v>
      </c>
      <c r="C26" s="102">
        <v>13606</v>
      </c>
      <c r="D26" s="103"/>
      <c r="E26" s="104">
        <v>600</v>
      </c>
      <c r="F26" s="104">
        <v>600</v>
      </c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5"/>
    </row>
    <row r="27" spans="1:21" s="134" customFormat="1" ht="15.6" x14ac:dyDescent="0.3">
      <c r="A27" s="94" t="s">
        <v>258</v>
      </c>
      <c r="B27" s="152" t="s">
        <v>242</v>
      </c>
      <c r="C27" s="102">
        <v>13607</v>
      </c>
      <c r="D27" s="103"/>
      <c r="E27" s="104">
        <v>880</v>
      </c>
      <c r="F27" s="104">
        <v>880</v>
      </c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5"/>
    </row>
    <row r="28" spans="1:21" s="134" customFormat="1" ht="15.6" x14ac:dyDescent="0.3">
      <c r="A28" s="94" t="s">
        <v>258</v>
      </c>
      <c r="B28" s="152" t="s">
        <v>242</v>
      </c>
      <c r="C28" s="102">
        <v>13608</v>
      </c>
      <c r="D28" s="103"/>
      <c r="E28" s="104">
        <v>920</v>
      </c>
      <c r="F28" s="104">
        <v>920</v>
      </c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5"/>
    </row>
    <row r="29" spans="1:21" s="134" customFormat="1" ht="15.6" x14ac:dyDescent="0.3">
      <c r="A29" s="94" t="s">
        <v>260</v>
      </c>
      <c r="B29" s="152" t="s">
        <v>261</v>
      </c>
      <c r="C29" s="102">
        <v>13609</v>
      </c>
      <c r="D29" s="103"/>
      <c r="E29" s="104">
        <v>4000</v>
      </c>
      <c r="F29" s="104">
        <v>4000</v>
      </c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5"/>
    </row>
    <row r="30" spans="1:21" s="134" customFormat="1" ht="15.6" x14ac:dyDescent="0.3">
      <c r="A30" s="94" t="s">
        <v>260</v>
      </c>
      <c r="B30" s="152" t="s">
        <v>242</v>
      </c>
      <c r="C30" s="102">
        <v>13610</v>
      </c>
      <c r="D30" s="103"/>
      <c r="E30" s="104">
        <v>700</v>
      </c>
      <c r="F30" s="104">
        <f>E30</f>
        <v>700</v>
      </c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5"/>
    </row>
    <row r="31" spans="1:21" s="134" customFormat="1" ht="15.6" x14ac:dyDescent="0.3">
      <c r="A31" s="94" t="s">
        <v>260</v>
      </c>
      <c r="B31" s="152" t="s">
        <v>242</v>
      </c>
      <c r="C31" s="102">
        <v>13611</v>
      </c>
      <c r="D31" s="103"/>
      <c r="E31" s="104">
        <v>900</v>
      </c>
      <c r="F31" s="104">
        <f>E31</f>
        <v>900</v>
      </c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5"/>
    </row>
    <row r="32" spans="1:21" s="134" customFormat="1" ht="15.6" x14ac:dyDescent="0.3">
      <c r="A32" s="94" t="s">
        <v>260</v>
      </c>
      <c r="B32" s="152" t="s">
        <v>242</v>
      </c>
      <c r="C32" s="102">
        <v>13612</v>
      </c>
      <c r="D32" s="103"/>
      <c r="E32" s="104">
        <v>800</v>
      </c>
      <c r="F32" s="104">
        <f>E32</f>
        <v>800</v>
      </c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5"/>
    </row>
    <row r="33" spans="1:22" s="134" customFormat="1" ht="18.75" customHeight="1" x14ac:dyDescent="0.3">
      <c r="A33" s="94" t="s">
        <v>262</v>
      </c>
      <c r="B33" s="152" t="s">
        <v>263</v>
      </c>
      <c r="C33" s="102">
        <v>13613</v>
      </c>
      <c r="D33" s="103"/>
      <c r="E33" s="104">
        <v>770</v>
      </c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>
        <f>E33</f>
        <v>770</v>
      </c>
      <c r="T33" s="104"/>
      <c r="U33" s="105"/>
    </row>
    <row r="34" spans="1:22" s="134" customFormat="1" ht="15.6" x14ac:dyDescent="0.3">
      <c r="A34" s="94" t="s">
        <v>262</v>
      </c>
      <c r="B34" s="152" t="s">
        <v>264</v>
      </c>
      <c r="C34" s="102">
        <v>13614</v>
      </c>
      <c r="D34" s="103"/>
      <c r="E34" s="104">
        <v>135</v>
      </c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>
        <f>E34</f>
        <v>135</v>
      </c>
      <c r="S34" s="104"/>
      <c r="T34" s="104"/>
      <c r="U34" s="105"/>
    </row>
    <row r="35" spans="1:22" s="142" customFormat="1" ht="16.2" thickBot="1" x14ac:dyDescent="0.35">
      <c r="A35" s="138"/>
      <c r="B35" s="153"/>
      <c r="C35" s="139"/>
      <c r="D35" s="140">
        <v>100000</v>
      </c>
      <c r="E35" s="141">
        <f>SUM(E7:E34)</f>
        <v>23175</v>
      </c>
      <c r="F35" s="141">
        <f t="shared" ref="F35:T35" si="0">SUM(F7:F34)</f>
        <v>16860</v>
      </c>
      <c r="G35" s="141">
        <f t="shared" si="0"/>
        <v>130</v>
      </c>
      <c r="H35" s="141">
        <f t="shared" si="0"/>
        <v>0</v>
      </c>
      <c r="I35" s="141">
        <f t="shared" si="0"/>
        <v>0</v>
      </c>
      <c r="J35" s="141">
        <f t="shared" si="0"/>
        <v>0</v>
      </c>
      <c r="K35" s="141">
        <f t="shared" si="0"/>
        <v>0</v>
      </c>
      <c r="L35" s="141">
        <f t="shared" si="0"/>
        <v>0</v>
      </c>
      <c r="M35" s="141">
        <f t="shared" si="0"/>
        <v>800</v>
      </c>
      <c r="N35" s="141">
        <f t="shared" si="0"/>
        <v>0</v>
      </c>
      <c r="O35" s="141">
        <f t="shared" si="0"/>
        <v>0</v>
      </c>
      <c r="P35" s="141">
        <f t="shared" si="0"/>
        <v>0</v>
      </c>
      <c r="Q35" s="141">
        <f t="shared" si="0"/>
        <v>0</v>
      </c>
      <c r="R35" s="141">
        <f t="shared" si="0"/>
        <v>135</v>
      </c>
      <c r="S35" s="141">
        <f t="shared" si="0"/>
        <v>2170</v>
      </c>
      <c r="T35" s="141">
        <f t="shared" si="0"/>
        <v>3080</v>
      </c>
      <c r="U35" s="141"/>
    </row>
    <row r="36" spans="1:22" s="137" customFormat="1" ht="16.2" thickTop="1" x14ac:dyDescent="0.3">
      <c r="A36" s="139" t="s">
        <v>61</v>
      </c>
      <c r="B36" s="153"/>
      <c r="C36" s="143"/>
      <c r="D36" s="144">
        <f>SUM(D35-E35)</f>
        <v>76825</v>
      </c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6"/>
      <c r="U36" s="147"/>
    </row>
    <row r="37" spans="1:22" ht="15" thickBot="1" x14ac:dyDescent="0.35">
      <c r="A37" s="115"/>
      <c r="B37" s="155"/>
      <c r="C37" s="116"/>
      <c r="D37" s="116"/>
      <c r="E37" s="116"/>
      <c r="F37" s="116"/>
      <c r="G37" s="117"/>
      <c r="H37" s="117"/>
      <c r="I37" s="117"/>
      <c r="J37" s="117"/>
      <c r="K37" s="117"/>
      <c r="L37" s="117"/>
      <c r="M37" s="117"/>
      <c r="N37" s="117"/>
      <c r="O37" s="117"/>
      <c r="Q37" s="117"/>
      <c r="R37" s="117"/>
      <c r="S37" s="117"/>
      <c r="T37" s="117"/>
      <c r="U37" s="117"/>
      <c r="V37" s="117"/>
    </row>
    <row r="38" spans="1:22" s="57" customFormat="1" ht="29.4" thickBot="1" x14ac:dyDescent="0.6">
      <c r="A38" s="118" t="s">
        <v>62</v>
      </c>
      <c r="B38" s="156"/>
      <c r="C38" s="120"/>
      <c r="D38" s="243">
        <f>E35</f>
        <v>23175</v>
      </c>
      <c r="E38" s="244"/>
      <c r="F38" s="121"/>
      <c r="G38" s="122"/>
      <c r="H38" s="123"/>
      <c r="I38" s="124"/>
      <c r="J38" s="122"/>
      <c r="K38" s="122"/>
      <c r="L38" s="122"/>
      <c r="M38" s="122"/>
      <c r="N38" s="122"/>
      <c r="O38" s="122"/>
      <c r="P38"/>
      <c r="Q38" s="122"/>
      <c r="R38" s="122"/>
      <c r="S38" s="122"/>
      <c r="T38" s="122"/>
      <c r="U38" s="122"/>
      <c r="V38" s="122"/>
    </row>
    <row r="39" spans="1:22" ht="21" x14ac:dyDescent="0.4">
      <c r="A39" s="115"/>
      <c r="B39" s="155"/>
      <c r="C39" s="116"/>
      <c r="D39" s="125"/>
      <c r="E39" s="116"/>
      <c r="F39" s="116"/>
      <c r="G39" s="122"/>
      <c r="H39" s="126"/>
      <c r="I39" s="127"/>
      <c r="J39" s="127"/>
      <c r="K39" s="127"/>
      <c r="L39" s="127"/>
      <c r="M39" s="127"/>
      <c r="N39" s="127"/>
      <c r="O39" s="117"/>
      <c r="Q39" s="117"/>
      <c r="R39" s="117"/>
      <c r="S39" s="117"/>
      <c r="T39" s="117"/>
      <c r="U39" s="117"/>
      <c r="V39" s="117"/>
    </row>
    <row r="40" spans="1:22" ht="21" x14ac:dyDescent="0.4">
      <c r="D40" s="129"/>
      <c r="E40" s="129"/>
      <c r="F40" s="129"/>
      <c r="G40" s="122"/>
      <c r="I40" s="129"/>
      <c r="J40" s="129"/>
      <c r="K40" s="129"/>
      <c r="L40" s="129"/>
      <c r="M40" s="112"/>
    </row>
    <row r="41" spans="1:22" x14ac:dyDescent="0.3">
      <c r="A41" s="63"/>
      <c r="B41" s="158" t="s">
        <v>63</v>
      </c>
      <c r="C41" s="64"/>
      <c r="D41" s="64" t="s">
        <v>64</v>
      </c>
      <c r="G41" s="66" t="s">
        <v>65</v>
      </c>
      <c r="H41" s="66"/>
      <c r="J41" s="68"/>
      <c r="L41" s="67"/>
      <c r="M41" s="66"/>
      <c r="N41" s="67"/>
      <c r="O41" s="68"/>
      <c r="P41" s="66" t="s">
        <v>66</v>
      </c>
      <c r="Q41" s="68"/>
      <c r="S41" s="66" t="s">
        <v>66</v>
      </c>
      <c r="T41" s="68"/>
      <c r="U41" s="68"/>
    </row>
    <row r="42" spans="1:22" x14ac:dyDescent="0.3">
      <c r="A42" s="63"/>
      <c r="B42" s="159" t="s">
        <v>67</v>
      </c>
      <c r="C42" s="69"/>
      <c r="D42" s="69" t="s">
        <v>68</v>
      </c>
      <c r="G42" s="69" t="s">
        <v>69</v>
      </c>
      <c r="H42" s="69"/>
      <c r="J42" s="69"/>
      <c r="L42" s="69"/>
      <c r="M42" s="69"/>
      <c r="N42" s="69"/>
      <c r="O42" s="69"/>
      <c r="P42" s="69" t="s">
        <v>70</v>
      </c>
      <c r="Q42" s="69"/>
      <c r="S42" s="69" t="s">
        <v>70</v>
      </c>
      <c r="T42" s="68"/>
      <c r="U42" s="68"/>
    </row>
    <row r="43" spans="1:22" x14ac:dyDescent="0.3">
      <c r="A43" s="63"/>
      <c r="B43" s="159" t="s">
        <v>160</v>
      </c>
      <c r="C43" s="69"/>
      <c r="D43" s="69" t="s">
        <v>72</v>
      </c>
      <c r="G43" s="69" t="s">
        <v>73</v>
      </c>
      <c r="H43" s="69"/>
      <c r="J43" s="68"/>
      <c r="L43" s="60"/>
      <c r="M43" s="69"/>
      <c r="N43" s="60"/>
      <c r="O43" s="68"/>
      <c r="P43" s="69" t="s">
        <v>74</v>
      </c>
      <c r="Q43" s="68"/>
      <c r="S43" s="69" t="s">
        <v>74</v>
      </c>
      <c r="T43" s="68"/>
      <c r="U43" s="68"/>
    </row>
    <row r="44" spans="1:22" x14ac:dyDescent="0.3">
      <c r="A44" s="63"/>
      <c r="B44" s="159" t="s">
        <v>161</v>
      </c>
      <c r="C44" s="69"/>
      <c r="D44" s="69" t="s">
        <v>76</v>
      </c>
      <c r="G44" s="69" t="s">
        <v>77</v>
      </c>
      <c r="H44" s="69"/>
      <c r="J44" s="68"/>
      <c r="L44" s="60"/>
      <c r="M44" s="69"/>
      <c r="N44" s="60"/>
      <c r="O44" s="68"/>
      <c r="P44" s="69" t="s">
        <v>78</v>
      </c>
      <c r="Q44" s="68"/>
      <c r="S44" s="69" t="s">
        <v>78</v>
      </c>
      <c r="T44" s="68"/>
      <c r="U44" s="68"/>
    </row>
    <row r="45" spans="1:22" s="128" customFormat="1" ht="27" customHeight="1" x14ac:dyDescent="0.3">
      <c r="B45" s="157"/>
      <c r="C45"/>
      <c r="D45"/>
      <c r="F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 s="128" customFormat="1" ht="27" customHeight="1" x14ac:dyDescent="0.3">
      <c r="B46" s="157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1:22" s="128" customFormat="1" ht="27" customHeight="1" x14ac:dyDescent="0.3">
      <c r="B47" s="15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 s="128" customFormat="1" ht="27" customHeight="1" x14ac:dyDescent="0.3">
      <c r="B48" s="157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2:22" s="128" customFormat="1" ht="27" customHeight="1" x14ac:dyDescent="0.3">
      <c r="B49" s="157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2:22" s="128" customFormat="1" ht="27" customHeight="1" x14ac:dyDescent="0.3">
      <c r="B50" s="157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2:22" s="128" customFormat="1" ht="27" customHeight="1" x14ac:dyDescent="0.3">
      <c r="B51" s="157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2:22" s="128" customFormat="1" ht="27" customHeight="1" x14ac:dyDescent="0.3">
      <c r="B52" s="157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2:22" s="128" customFormat="1" ht="27" customHeight="1" x14ac:dyDescent="0.3">
      <c r="B53" s="157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2:22" s="128" customFormat="1" ht="27" customHeight="1" x14ac:dyDescent="0.3">
      <c r="B54" s="157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2:22" s="128" customFormat="1" ht="27" customHeight="1" x14ac:dyDescent="0.3">
      <c r="B55" s="157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</sheetData>
  <mergeCells count="6">
    <mergeCell ref="D38:E38"/>
    <mergeCell ref="A4:A5"/>
    <mergeCell ref="B4:B5"/>
    <mergeCell ref="C4:C5"/>
    <mergeCell ref="D4:D5"/>
    <mergeCell ref="E4:U4"/>
  </mergeCells>
  <conditionalFormatting sqref="R6">
    <cfRule type="duplicateValues" dxfId="19" priority="1"/>
    <cfRule type="duplicateValues" dxfId="18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B007-F8CC-4530-A14F-E14BDB758F35}">
  <dimension ref="A1:V48"/>
  <sheetViews>
    <sheetView workbookViewId="0">
      <selection activeCell="B12" sqref="B12"/>
    </sheetView>
  </sheetViews>
  <sheetFormatPr defaultColWidth="9.109375" defaultRowHeight="14.4" x14ac:dyDescent="0.3"/>
  <cols>
    <col min="1" max="1" width="12.44140625" style="128" customWidth="1"/>
    <col min="2" max="2" width="40.33203125" style="157" customWidth="1"/>
    <col min="3" max="3" width="9.44140625" customWidth="1"/>
    <col min="4" max="4" width="11.44140625" customWidth="1"/>
    <col min="5" max="5" width="13.88671875" customWidth="1"/>
    <col min="6" max="6" width="12.5546875" customWidth="1"/>
    <col min="7" max="7" width="12.33203125" customWidth="1"/>
    <col min="8" max="8" width="10.5546875" hidden="1" customWidth="1"/>
    <col min="9" max="9" width="9.5546875" hidden="1" customWidth="1"/>
    <col min="10" max="10" width="11.88671875" hidden="1" customWidth="1"/>
    <col min="11" max="11" width="11.88671875" customWidth="1"/>
    <col min="12" max="12" width="10.109375" customWidth="1"/>
    <col min="13" max="13" width="10.44140625" bestFit="1" customWidth="1"/>
    <col min="14" max="14" width="8" hidden="1" customWidth="1"/>
    <col min="15" max="15" width="7.88671875" hidden="1" customWidth="1"/>
    <col min="16" max="16" width="12" hidden="1" customWidth="1"/>
    <col min="17" max="17" width="9.5546875" hidden="1" customWidth="1"/>
    <col min="18" max="18" width="10.88671875" customWidth="1"/>
    <col min="19" max="19" width="8.6640625" customWidth="1"/>
    <col min="20" max="20" width="10.109375" customWidth="1"/>
    <col min="21" max="21" width="7.88671875" hidden="1" customWidth="1"/>
  </cols>
  <sheetData>
    <row r="1" spans="1:22" s="5" customFormat="1" ht="31.2" x14ac:dyDescent="0.6">
      <c r="A1" s="75" t="s">
        <v>0</v>
      </c>
      <c r="B1" s="148"/>
      <c r="C1" s="76"/>
      <c r="D1" s="77"/>
      <c r="E1" s="77"/>
      <c r="F1" s="77"/>
      <c r="G1" s="78" t="s">
        <v>1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/>
    </row>
    <row r="2" spans="1:22" s="5" customFormat="1" ht="31.8" thickBot="1" x14ac:dyDescent="0.65">
      <c r="A2" s="79" t="s">
        <v>2</v>
      </c>
      <c r="B2" s="149"/>
      <c r="C2" s="76"/>
      <c r="D2" s="77"/>
      <c r="E2" s="81" t="s">
        <v>217</v>
      </c>
      <c r="F2" s="81"/>
      <c r="G2" s="81"/>
      <c r="H2" s="82"/>
      <c r="I2" s="82"/>
      <c r="J2" s="82"/>
      <c r="K2" s="82"/>
      <c r="L2" s="82"/>
      <c r="M2" s="82"/>
      <c r="N2" s="82"/>
      <c r="O2" s="77"/>
      <c r="P2" s="77"/>
      <c r="Q2" s="77"/>
      <c r="R2" s="83"/>
      <c r="S2" s="77"/>
      <c r="T2" s="77"/>
      <c r="U2" s="77"/>
      <c r="V2"/>
    </row>
    <row r="3" spans="1:22" ht="15.75" customHeight="1" x14ac:dyDescent="0.3">
      <c r="A3" s="245" t="s">
        <v>5</v>
      </c>
      <c r="B3" s="247" t="s">
        <v>6</v>
      </c>
      <c r="C3" s="247" t="s">
        <v>7</v>
      </c>
      <c r="D3" s="249" t="s">
        <v>8</v>
      </c>
      <c r="E3" s="251" t="s">
        <v>9</v>
      </c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3"/>
    </row>
    <row r="4" spans="1:22" ht="57.75" customHeight="1" thickBot="1" x14ac:dyDescent="0.35">
      <c r="A4" s="246"/>
      <c r="B4" s="248"/>
      <c r="C4" s="248"/>
      <c r="D4" s="250"/>
      <c r="E4" s="166" t="s">
        <v>10</v>
      </c>
      <c r="F4" s="166" t="s">
        <v>11</v>
      </c>
      <c r="G4" s="166" t="s">
        <v>12</v>
      </c>
      <c r="H4" s="166" t="s">
        <v>13</v>
      </c>
      <c r="I4" s="166" t="s">
        <v>14</v>
      </c>
      <c r="J4" s="166" t="s">
        <v>15</v>
      </c>
      <c r="K4" s="166" t="s">
        <v>218</v>
      </c>
      <c r="L4" s="166" t="s">
        <v>17</v>
      </c>
      <c r="M4" s="166" t="s">
        <v>18</v>
      </c>
      <c r="N4" s="166" t="s">
        <v>19</v>
      </c>
      <c r="O4" s="166" t="s">
        <v>20</v>
      </c>
      <c r="P4" s="166" t="s">
        <v>21</v>
      </c>
      <c r="Q4" s="166" t="s">
        <v>22</v>
      </c>
      <c r="R4" s="166" t="s">
        <v>23</v>
      </c>
      <c r="S4" s="166" t="s">
        <v>24</v>
      </c>
      <c r="T4" s="166" t="s">
        <v>25</v>
      </c>
      <c r="U4" s="167" t="s">
        <v>26</v>
      </c>
    </row>
    <row r="5" spans="1:22" ht="16.5" hidden="1" customHeight="1" x14ac:dyDescent="0.3">
      <c r="A5" s="168"/>
      <c r="B5" s="169" t="s">
        <v>27</v>
      </c>
      <c r="C5" s="170"/>
      <c r="D5" s="171"/>
      <c r="E5" s="172"/>
      <c r="F5" s="173">
        <v>524102</v>
      </c>
      <c r="G5" s="173">
        <v>525722</v>
      </c>
      <c r="H5" s="173">
        <v>524101</v>
      </c>
      <c r="I5" s="173">
        <v>524201</v>
      </c>
      <c r="J5" s="173">
        <v>525713</v>
      </c>
      <c r="K5" s="173">
        <v>525724</v>
      </c>
      <c r="L5" s="173">
        <v>522983</v>
      </c>
      <c r="M5" s="173">
        <v>524200</v>
      </c>
      <c r="N5" s="173">
        <v>521101</v>
      </c>
      <c r="O5" s="173">
        <v>525714</v>
      </c>
      <c r="P5" s="173">
        <v>524304</v>
      </c>
      <c r="Q5" s="173">
        <v>524301</v>
      </c>
      <c r="R5" s="173">
        <v>525717</v>
      </c>
      <c r="S5" s="173">
        <v>525798</v>
      </c>
      <c r="T5" s="173">
        <v>524204</v>
      </c>
      <c r="U5" s="174">
        <v>511103</v>
      </c>
    </row>
    <row r="6" spans="1:22" s="29" customFormat="1" x14ac:dyDescent="0.3">
      <c r="A6" s="175"/>
      <c r="B6" s="176" t="s">
        <v>118</v>
      </c>
      <c r="C6" s="177"/>
      <c r="D6" s="178"/>
      <c r="E6" s="179"/>
      <c r="F6" s="179"/>
      <c r="G6" s="179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1"/>
      <c r="T6" s="181"/>
      <c r="U6" s="182"/>
      <c r="V6"/>
    </row>
    <row r="7" spans="1:22" s="188" customFormat="1" x14ac:dyDescent="0.3">
      <c r="A7" s="175" t="s">
        <v>216</v>
      </c>
      <c r="B7" s="183" t="s">
        <v>219</v>
      </c>
      <c r="C7" s="184">
        <v>13516</v>
      </c>
      <c r="D7" s="185"/>
      <c r="E7" s="186">
        <v>720</v>
      </c>
      <c r="F7" s="186">
        <v>720</v>
      </c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7"/>
    </row>
    <row r="8" spans="1:22" s="188" customFormat="1" x14ac:dyDescent="0.3">
      <c r="A8" s="175" t="s">
        <v>216</v>
      </c>
      <c r="B8" s="183" t="s">
        <v>219</v>
      </c>
      <c r="C8" s="184">
        <v>13517</v>
      </c>
      <c r="D8" s="185"/>
      <c r="E8" s="186">
        <v>900</v>
      </c>
      <c r="F8" s="186">
        <v>900</v>
      </c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7"/>
    </row>
    <row r="9" spans="1:22" s="188" customFormat="1" x14ac:dyDescent="0.3">
      <c r="A9" s="175" t="s">
        <v>216</v>
      </c>
      <c r="B9" s="183" t="s">
        <v>219</v>
      </c>
      <c r="C9" s="184">
        <v>13518</v>
      </c>
      <c r="D9" s="185"/>
      <c r="E9" s="186">
        <v>900</v>
      </c>
      <c r="F9" s="186">
        <v>900</v>
      </c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7"/>
    </row>
    <row r="10" spans="1:22" s="188" customFormat="1" x14ac:dyDescent="0.3">
      <c r="A10" s="175" t="s">
        <v>216</v>
      </c>
      <c r="B10" s="183" t="s">
        <v>219</v>
      </c>
      <c r="C10" s="184">
        <v>13519</v>
      </c>
      <c r="D10" s="185"/>
      <c r="E10" s="186">
        <v>700</v>
      </c>
      <c r="F10" s="186">
        <v>700</v>
      </c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7"/>
    </row>
    <row r="11" spans="1:22" s="188" customFormat="1" x14ac:dyDescent="0.3">
      <c r="A11" s="175" t="s">
        <v>216</v>
      </c>
      <c r="B11" s="183" t="s">
        <v>219</v>
      </c>
      <c r="C11" s="184">
        <v>13520</v>
      </c>
      <c r="D11" s="185"/>
      <c r="E11" s="186">
        <v>800</v>
      </c>
      <c r="F11" s="186">
        <v>800</v>
      </c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7"/>
    </row>
    <row r="12" spans="1:22" s="188" customFormat="1" x14ac:dyDescent="0.3">
      <c r="A12" s="175" t="s">
        <v>216</v>
      </c>
      <c r="B12" s="183" t="s">
        <v>219</v>
      </c>
      <c r="C12" s="184">
        <v>13521</v>
      </c>
      <c r="D12" s="185"/>
      <c r="E12" s="186">
        <v>900</v>
      </c>
      <c r="F12" s="186">
        <v>900</v>
      </c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7"/>
    </row>
    <row r="13" spans="1:22" x14ac:dyDescent="0.3">
      <c r="A13" s="175" t="s">
        <v>220</v>
      </c>
      <c r="B13" s="183" t="s">
        <v>221</v>
      </c>
      <c r="C13" s="184">
        <v>13522</v>
      </c>
      <c r="D13" s="189"/>
      <c r="E13" s="189">
        <v>500</v>
      </c>
      <c r="F13" s="189"/>
      <c r="G13" s="189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1"/>
      <c r="T13" s="191">
        <f>E13</f>
        <v>500</v>
      </c>
      <c r="U13" s="192"/>
    </row>
    <row r="14" spans="1:22" x14ac:dyDescent="0.3">
      <c r="A14" s="175" t="s">
        <v>222</v>
      </c>
      <c r="B14" s="183" t="s">
        <v>223</v>
      </c>
      <c r="C14" s="184">
        <v>13523</v>
      </c>
      <c r="D14" s="189"/>
      <c r="E14" s="189">
        <v>230</v>
      </c>
      <c r="F14" s="189"/>
      <c r="G14" s="189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1">
        <f>E14</f>
        <v>230</v>
      </c>
      <c r="T14" s="191"/>
      <c r="U14" s="192"/>
    </row>
    <row r="15" spans="1:22" x14ac:dyDescent="0.3">
      <c r="A15" s="175" t="s">
        <v>222</v>
      </c>
      <c r="B15" s="183" t="s">
        <v>224</v>
      </c>
      <c r="C15" s="184">
        <v>13524</v>
      </c>
      <c r="D15" s="189"/>
      <c r="E15" s="189">
        <v>400</v>
      </c>
      <c r="F15" s="189">
        <f>E15</f>
        <v>400</v>
      </c>
      <c r="G15" s="189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1"/>
      <c r="T15" s="191"/>
      <c r="U15" s="192"/>
    </row>
    <row r="16" spans="1:22" s="188" customFormat="1" x14ac:dyDescent="0.3">
      <c r="A16" s="175" t="s">
        <v>225</v>
      </c>
      <c r="B16" s="183" t="s">
        <v>105</v>
      </c>
      <c r="C16" s="184">
        <v>13525</v>
      </c>
      <c r="D16" s="185"/>
      <c r="E16" s="186">
        <v>400</v>
      </c>
      <c r="F16" s="186"/>
      <c r="G16" s="186"/>
      <c r="H16" s="186"/>
      <c r="I16" s="186"/>
      <c r="J16" s="186"/>
      <c r="K16" s="186"/>
      <c r="L16" s="186"/>
      <c r="M16" s="186">
        <f>E16</f>
        <v>400</v>
      </c>
      <c r="N16" s="186"/>
      <c r="O16" s="186"/>
      <c r="P16" s="186"/>
      <c r="Q16" s="186"/>
      <c r="R16" s="186"/>
      <c r="S16" s="186"/>
      <c r="T16" s="186"/>
      <c r="U16" s="187"/>
    </row>
    <row r="17" spans="1:22" s="188" customFormat="1" x14ac:dyDescent="0.3">
      <c r="A17" s="175" t="s">
        <v>226</v>
      </c>
      <c r="B17" s="183" t="s">
        <v>227</v>
      </c>
      <c r="C17" s="184">
        <v>13526</v>
      </c>
      <c r="D17" s="185"/>
      <c r="E17" s="186">
        <v>250</v>
      </c>
      <c r="F17" s="186"/>
      <c r="G17" s="186"/>
      <c r="H17" s="186"/>
      <c r="I17" s="186"/>
      <c r="J17" s="186"/>
      <c r="K17" s="186">
        <f>E17</f>
        <v>250</v>
      </c>
      <c r="L17" s="186"/>
      <c r="M17" s="186"/>
      <c r="N17" s="186"/>
      <c r="O17" s="186"/>
      <c r="P17" s="186"/>
      <c r="Q17" s="186"/>
      <c r="R17" s="186"/>
      <c r="S17" s="186"/>
      <c r="T17" s="186"/>
      <c r="U17" s="187"/>
    </row>
    <row r="18" spans="1:22" s="188" customFormat="1" x14ac:dyDescent="0.3">
      <c r="A18" s="175" t="s">
        <v>226</v>
      </c>
      <c r="B18" s="183" t="s">
        <v>228</v>
      </c>
      <c r="C18" s="184">
        <v>13527</v>
      </c>
      <c r="D18" s="185"/>
      <c r="E18" s="186">
        <v>1295</v>
      </c>
      <c r="F18" s="186"/>
      <c r="G18" s="186"/>
      <c r="H18" s="186"/>
      <c r="I18" s="186"/>
      <c r="J18" s="186"/>
      <c r="K18" s="186"/>
      <c r="L18" s="186">
        <f>E18</f>
        <v>1295</v>
      </c>
      <c r="M18" s="186"/>
      <c r="N18" s="186"/>
      <c r="O18" s="186"/>
      <c r="P18" s="186"/>
      <c r="Q18" s="186"/>
      <c r="R18" s="186"/>
      <c r="S18" s="186"/>
      <c r="T18" s="186"/>
      <c r="U18" s="187"/>
    </row>
    <row r="19" spans="1:22" s="188" customFormat="1" x14ac:dyDescent="0.3">
      <c r="A19" s="175" t="s">
        <v>226</v>
      </c>
      <c r="B19" s="183" t="s">
        <v>229</v>
      </c>
      <c r="C19" s="184">
        <v>13528</v>
      </c>
      <c r="D19" s="185"/>
      <c r="E19" s="186">
        <v>1020</v>
      </c>
      <c r="F19" s="186"/>
      <c r="G19" s="186">
        <f>E19</f>
        <v>1020</v>
      </c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7"/>
    </row>
    <row r="20" spans="1:22" s="188" customFormat="1" ht="28.8" x14ac:dyDescent="0.3">
      <c r="A20" s="175" t="s">
        <v>230</v>
      </c>
      <c r="B20" s="183" t="s">
        <v>231</v>
      </c>
      <c r="C20" s="184">
        <v>13529</v>
      </c>
      <c r="D20" s="185"/>
      <c r="E20" s="186">
        <v>400</v>
      </c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>
        <f>E20</f>
        <v>400</v>
      </c>
      <c r="U20" s="187"/>
    </row>
    <row r="21" spans="1:22" s="188" customFormat="1" x14ac:dyDescent="0.3">
      <c r="A21" s="175" t="s">
        <v>232</v>
      </c>
      <c r="B21" s="183" t="s">
        <v>105</v>
      </c>
      <c r="C21" s="184">
        <v>13530</v>
      </c>
      <c r="D21" s="185"/>
      <c r="E21" s="186">
        <v>400</v>
      </c>
      <c r="F21" s="186"/>
      <c r="G21" s="186"/>
      <c r="H21" s="186"/>
      <c r="I21" s="186"/>
      <c r="J21" s="186"/>
      <c r="K21" s="186"/>
      <c r="L21" s="186"/>
      <c r="M21" s="186">
        <f>E21</f>
        <v>400</v>
      </c>
      <c r="N21" s="186"/>
      <c r="O21" s="186"/>
      <c r="P21" s="186"/>
      <c r="Q21" s="186"/>
      <c r="R21" s="186"/>
      <c r="S21" s="186"/>
      <c r="T21" s="186"/>
      <c r="U21" s="187"/>
    </row>
    <row r="22" spans="1:22" s="188" customFormat="1" ht="28.8" x14ac:dyDescent="0.3">
      <c r="A22" s="175" t="s">
        <v>233</v>
      </c>
      <c r="B22" s="183" t="s">
        <v>234</v>
      </c>
      <c r="C22" s="184">
        <v>13531</v>
      </c>
      <c r="D22" s="185"/>
      <c r="E22" s="186">
        <v>773.5</v>
      </c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>
        <f>E22</f>
        <v>773.5</v>
      </c>
      <c r="S22" s="186"/>
      <c r="T22" s="186"/>
      <c r="U22" s="187"/>
    </row>
    <row r="23" spans="1:22" s="188" customFormat="1" x14ac:dyDescent="0.3">
      <c r="A23" s="175" t="s">
        <v>233</v>
      </c>
      <c r="B23" s="193" t="s">
        <v>235</v>
      </c>
      <c r="C23" s="184">
        <v>13532</v>
      </c>
      <c r="D23" s="185"/>
      <c r="E23" s="186">
        <v>500</v>
      </c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>
        <f>E23</f>
        <v>500</v>
      </c>
      <c r="U23" s="187"/>
    </row>
    <row r="24" spans="1:22" s="188" customFormat="1" x14ac:dyDescent="0.3">
      <c r="A24" s="175" t="s">
        <v>236</v>
      </c>
      <c r="B24" s="183" t="s">
        <v>105</v>
      </c>
      <c r="C24" s="184">
        <v>13533</v>
      </c>
      <c r="D24" s="185"/>
      <c r="E24" s="186">
        <v>300</v>
      </c>
      <c r="F24" s="186"/>
      <c r="G24" s="186"/>
      <c r="H24" s="186"/>
      <c r="I24" s="186"/>
      <c r="J24" s="186"/>
      <c r="K24" s="186"/>
      <c r="L24" s="186"/>
      <c r="M24" s="186">
        <f>E24</f>
        <v>300</v>
      </c>
      <c r="N24" s="186"/>
      <c r="O24" s="186"/>
      <c r="P24" s="186"/>
      <c r="Q24" s="186"/>
      <c r="R24" s="186"/>
      <c r="S24" s="186"/>
      <c r="T24" s="186"/>
      <c r="U24" s="187"/>
    </row>
    <row r="25" spans="1:22" s="188" customFormat="1" x14ac:dyDescent="0.3">
      <c r="A25" s="175" t="s">
        <v>237</v>
      </c>
      <c r="B25" s="183" t="s">
        <v>238</v>
      </c>
      <c r="C25" s="184">
        <v>13534</v>
      </c>
      <c r="D25" s="185"/>
      <c r="E25" s="186">
        <v>400</v>
      </c>
      <c r="F25" s="186">
        <f>E25</f>
        <v>400</v>
      </c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7"/>
    </row>
    <row r="26" spans="1:22" s="188" customFormat="1" x14ac:dyDescent="0.3">
      <c r="A26" s="175" t="s">
        <v>237</v>
      </c>
      <c r="B26" s="183" t="s">
        <v>105</v>
      </c>
      <c r="C26" s="184">
        <v>13535</v>
      </c>
      <c r="D26" s="185"/>
      <c r="E26" s="186">
        <v>400</v>
      </c>
      <c r="F26" s="186"/>
      <c r="G26" s="186"/>
      <c r="H26" s="186"/>
      <c r="I26" s="186"/>
      <c r="J26" s="186"/>
      <c r="K26" s="186"/>
      <c r="L26" s="186"/>
      <c r="M26" s="186">
        <f>E26</f>
        <v>400</v>
      </c>
      <c r="N26" s="186"/>
      <c r="O26" s="186"/>
      <c r="P26" s="186"/>
      <c r="Q26" s="186"/>
      <c r="R26" s="186"/>
      <c r="S26" s="186"/>
      <c r="T26" s="186"/>
      <c r="U26" s="187"/>
    </row>
    <row r="27" spans="1:22" s="188" customFormat="1" ht="15" thickBot="1" x14ac:dyDescent="0.35">
      <c r="A27" s="194" t="s">
        <v>239</v>
      </c>
      <c r="B27" s="195" t="s">
        <v>240</v>
      </c>
      <c r="C27" s="196">
        <v>13536</v>
      </c>
      <c r="D27" s="197"/>
      <c r="E27" s="198">
        <v>45</v>
      </c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>
        <f>E27</f>
        <v>45</v>
      </c>
      <c r="S27" s="198"/>
      <c r="T27" s="198"/>
      <c r="U27" s="199"/>
    </row>
    <row r="28" spans="1:22" s="29" customFormat="1" ht="15" thickBot="1" x14ac:dyDescent="0.35">
      <c r="A28" s="106"/>
      <c r="B28" s="200"/>
      <c r="C28" s="107"/>
      <c r="D28" s="201">
        <v>100000</v>
      </c>
      <c r="E28" s="202">
        <f>SUM(E7:E27)</f>
        <v>12233.5</v>
      </c>
      <c r="F28" s="202">
        <f t="shared" ref="F28:U28" si="0">SUM(F7:F27)</f>
        <v>5720</v>
      </c>
      <c r="G28" s="202">
        <f t="shared" si="0"/>
        <v>1020</v>
      </c>
      <c r="H28" s="202">
        <f t="shared" si="0"/>
        <v>0</v>
      </c>
      <c r="I28" s="202">
        <f t="shared" si="0"/>
        <v>0</v>
      </c>
      <c r="J28" s="202">
        <f t="shared" si="0"/>
        <v>0</v>
      </c>
      <c r="K28" s="202">
        <f t="shared" si="0"/>
        <v>250</v>
      </c>
      <c r="L28" s="202">
        <f t="shared" si="0"/>
        <v>1295</v>
      </c>
      <c r="M28" s="202">
        <f t="shared" si="0"/>
        <v>1500</v>
      </c>
      <c r="N28" s="202">
        <f t="shared" si="0"/>
        <v>0</v>
      </c>
      <c r="O28" s="202">
        <f t="shared" si="0"/>
        <v>0</v>
      </c>
      <c r="P28" s="202">
        <f t="shared" si="0"/>
        <v>0</v>
      </c>
      <c r="Q28" s="202">
        <f t="shared" si="0"/>
        <v>0</v>
      </c>
      <c r="R28" s="202">
        <f t="shared" si="0"/>
        <v>818.5</v>
      </c>
      <c r="S28" s="202">
        <f t="shared" si="0"/>
        <v>230</v>
      </c>
      <c r="T28" s="202">
        <f t="shared" si="0"/>
        <v>1400</v>
      </c>
      <c r="U28" s="202">
        <f t="shared" si="0"/>
        <v>0</v>
      </c>
    </row>
    <row r="29" spans="1:22" ht="15" thickTop="1" x14ac:dyDescent="0.3">
      <c r="A29" s="107" t="s">
        <v>61</v>
      </c>
      <c r="B29" s="200"/>
      <c r="C29" s="110"/>
      <c r="D29" s="111">
        <f>SUM(D28-E28)</f>
        <v>87766.5</v>
      </c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3"/>
      <c r="U29" s="114"/>
    </row>
    <row r="30" spans="1:22" s="137" customFormat="1" ht="16.2" thickBot="1" x14ac:dyDescent="0.35">
      <c r="A30" s="139"/>
      <c r="B30" s="153"/>
      <c r="C30" s="143"/>
      <c r="D30" s="144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6"/>
      <c r="U30" s="147"/>
    </row>
    <row r="31" spans="1:22" s="57" customFormat="1" ht="29.4" thickBot="1" x14ac:dyDescent="0.6">
      <c r="A31" s="118" t="s">
        <v>62</v>
      </c>
      <c r="B31" s="156"/>
      <c r="C31" s="120"/>
      <c r="D31" s="243">
        <f>E28</f>
        <v>12233.5</v>
      </c>
      <c r="E31" s="244"/>
      <c r="F31" s="121"/>
      <c r="G31" s="122"/>
      <c r="H31" s="123"/>
      <c r="I31" s="124"/>
      <c r="J31" s="122"/>
      <c r="K31" s="122"/>
      <c r="L31" s="122"/>
      <c r="M31" s="122"/>
      <c r="N31" s="122"/>
      <c r="O31" s="122"/>
      <c r="P31"/>
      <c r="Q31" s="122"/>
      <c r="R31" s="122"/>
      <c r="S31" s="122"/>
      <c r="T31" s="122"/>
      <c r="U31" s="122"/>
      <c r="V31" s="122"/>
    </row>
    <row r="32" spans="1:22" ht="21" x14ac:dyDescent="0.4">
      <c r="A32" s="115"/>
      <c r="B32" s="155"/>
      <c r="C32" s="116"/>
      <c r="D32" s="125"/>
      <c r="E32" s="116"/>
      <c r="F32" s="116"/>
      <c r="G32" s="122"/>
      <c r="H32" s="126"/>
      <c r="I32" s="127"/>
      <c r="J32" s="127"/>
      <c r="K32" s="127"/>
      <c r="L32" s="127"/>
      <c r="M32" s="127"/>
      <c r="N32" s="127"/>
      <c r="O32" s="117"/>
      <c r="Q32" s="117"/>
      <c r="R32" s="117"/>
      <c r="S32" s="117"/>
      <c r="T32" s="117"/>
      <c r="U32" s="117"/>
      <c r="V32" s="117"/>
    </row>
    <row r="33" spans="1:22" ht="21" x14ac:dyDescent="0.4">
      <c r="D33" s="129"/>
      <c r="E33" s="129"/>
      <c r="F33" s="129"/>
      <c r="G33" s="122"/>
      <c r="I33" s="129"/>
      <c r="J33" s="129"/>
      <c r="K33" s="129"/>
      <c r="L33" s="129"/>
      <c r="M33" s="112"/>
    </row>
    <row r="34" spans="1:22" x14ac:dyDescent="0.3">
      <c r="A34" s="63"/>
      <c r="B34" s="158" t="s">
        <v>63</v>
      </c>
      <c r="C34" s="64"/>
      <c r="E34" s="64" t="s">
        <v>64</v>
      </c>
      <c r="H34" s="66"/>
      <c r="J34" s="68"/>
      <c r="K34" s="66" t="s">
        <v>65</v>
      </c>
      <c r="L34" s="67"/>
      <c r="M34" s="66"/>
      <c r="N34" s="67"/>
      <c r="O34" s="68"/>
      <c r="P34" s="66" t="s">
        <v>66</v>
      </c>
      <c r="Q34" s="68"/>
      <c r="S34" s="66" t="s">
        <v>66</v>
      </c>
      <c r="T34" s="68"/>
      <c r="U34" s="68"/>
    </row>
    <row r="35" spans="1:22" x14ac:dyDescent="0.3">
      <c r="A35" s="63"/>
      <c r="B35" s="159" t="s">
        <v>67</v>
      </c>
      <c r="C35" s="69"/>
      <c r="E35" s="69" t="s">
        <v>68</v>
      </c>
      <c r="H35" s="69"/>
      <c r="J35" s="69"/>
      <c r="K35" s="69" t="s">
        <v>69</v>
      </c>
      <c r="L35" s="69"/>
      <c r="M35" s="69"/>
      <c r="N35" s="69"/>
      <c r="O35" s="69"/>
      <c r="P35" s="69" t="s">
        <v>70</v>
      </c>
      <c r="Q35" s="69"/>
      <c r="S35" s="69" t="s">
        <v>70</v>
      </c>
      <c r="T35" s="68"/>
      <c r="U35" s="68"/>
    </row>
    <row r="36" spans="1:22" x14ac:dyDescent="0.3">
      <c r="A36" s="63"/>
      <c r="B36" s="159" t="s">
        <v>160</v>
      </c>
      <c r="C36" s="69"/>
      <c r="E36" s="69" t="s">
        <v>72</v>
      </c>
      <c r="H36" s="69"/>
      <c r="J36" s="68"/>
      <c r="K36" s="69" t="s">
        <v>73</v>
      </c>
      <c r="L36" s="60"/>
      <c r="M36" s="69"/>
      <c r="N36" s="60"/>
      <c r="O36" s="68"/>
      <c r="P36" s="69" t="s">
        <v>74</v>
      </c>
      <c r="Q36" s="68"/>
      <c r="S36" s="69" t="s">
        <v>74</v>
      </c>
      <c r="T36" s="68"/>
      <c r="U36" s="68"/>
    </row>
    <row r="37" spans="1:22" x14ac:dyDescent="0.3">
      <c r="A37" s="63"/>
      <c r="B37" s="159" t="s">
        <v>161</v>
      </c>
      <c r="C37" s="69"/>
      <c r="E37" s="69" t="s">
        <v>76</v>
      </c>
      <c r="H37" s="69"/>
      <c r="J37" s="68"/>
      <c r="K37" s="69" t="s">
        <v>77</v>
      </c>
      <c r="L37" s="60"/>
      <c r="M37" s="69"/>
      <c r="N37" s="60"/>
      <c r="O37" s="68"/>
      <c r="P37" s="69" t="s">
        <v>78</v>
      </c>
      <c r="Q37" s="68"/>
      <c r="S37" s="69" t="s">
        <v>78</v>
      </c>
      <c r="T37" s="68"/>
      <c r="U37" s="68"/>
    </row>
    <row r="38" spans="1:22" s="128" customFormat="1" ht="27" customHeight="1" x14ac:dyDescent="0.3">
      <c r="B38" s="157"/>
      <c r="C38"/>
      <c r="D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2" s="128" customFormat="1" ht="27" customHeight="1" x14ac:dyDescent="0.3">
      <c r="B39" s="157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1:22" s="128" customFormat="1" ht="27" customHeight="1" x14ac:dyDescent="0.3">
      <c r="B40" s="157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1:22" s="128" customFormat="1" ht="27" customHeight="1" x14ac:dyDescent="0.3">
      <c r="B41" s="157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1:22" s="128" customFormat="1" ht="27" customHeight="1" x14ac:dyDescent="0.3">
      <c r="B42" s="157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1:22" s="128" customFormat="1" ht="27" customHeight="1" x14ac:dyDescent="0.3">
      <c r="B43" s="157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1:22" s="128" customFormat="1" ht="27" customHeight="1" x14ac:dyDescent="0.3">
      <c r="B44" s="157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2" s="128" customFormat="1" ht="27" customHeight="1" x14ac:dyDescent="0.3">
      <c r="B45" s="157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 s="128" customFormat="1" ht="27" customHeight="1" x14ac:dyDescent="0.3">
      <c r="B46" s="157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1:22" s="128" customFormat="1" ht="27" customHeight="1" x14ac:dyDescent="0.3">
      <c r="B47" s="15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 s="128" customFormat="1" ht="27" customHeight="1" x14ac:dyDescent="0.3">
      <c r="B48" s="157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</sheetData>
  <mergeCells count="6">
    <mergeCell ref="D31:E31"/>
    <mergeCell ref="A3:A4"/>
    <mergeCell ref="B3:B4"/>
    <mergeCell ref="C3:C4"/>
    <mergeCell ref="D3:D4"/>
    <mergeCell ref="E3:U3"/>
  </mergeCells>
  <conditionalFormatting sqref="R5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E38D-1E09-45BD-9FED-EF96524C221E}">
  <dimension ref="A1:V42"/>
  <sheetViews>
    <sheetView workbookViewId="0">
      <selection activeCell="B8" sqref="B8"/>
    </sheetView>
  </sheetViews>
  <sheetFormatPr defaultColWidth="9.109375" defaultRowHeight="14.4" x14ac:dyDescent="0.3"/>
  <cols>
    <col min="1" max="1" width="12.88671875" style="128" customWidth="1"/>
    <col min="2" max="2" width="59.5546875" style="157" customWidth="1"/>
    <col min="3" max="3" width="10.5546875" customWidth="1"/>
    <col min="4" max="4" width="14.5546875" customWidth="1"/>
    <col min="5" max="5" width="22.44140625" customWidth="1"/>
    <col min="6" max="6" width="15.5546875" customWidth="1"/>
    <col min="7" max="7" width="17.109375" hidden="1" customWidth="1"/>
    <col min="8" max="8" width="10.5546875" hidden="1" customWidth="1"/>
    <col min="9" max="9" width="9.5546875" hidden="1" customWidth="1"/>
    <col min="10" max="10" width="11.88671875" hidden="1" customWidth="1"/>
    <col min="11" max="11" width="25.33203125" hidden="1" customWidth="1"/>
    <col min="12" max="12" width="11" hidden="1" customWidth="1"/>
    <col min="13" max="13" width="14.88671875" customWidth="1"/>
    <col min="14" max="14" width="8" hidden="1" customWidth="1"/>
    <col min="15" max="15" width="7.88671875" hidden="1" customWidth="1"/>
    <col min="16" max="16" width="15.88671875" hidden="1" customWidth="1"/>
    <col min="17" max="17" width="8.6640625" hidden="1" customWidth="1"/>
    <col min="18" max="18" width="16.6640625" customWidth="1"/>
    <col min="19" max="19" width="11.109375" hidden="1" customWidth="1"/>
    <col min="20" max="20" width="20.109375" customWidth="1"/>
    <col min="21" max="21" width="8.6640625" hidden="1" customWidth="1"/>
  </cols>
  <sheetData>
    <row r="1" spans="1:22" s="5" customFormat="1" ht="31.2" x14ac:dyDescent="0.6">
      <c r="A1" s="75" t="s">
        <v>0</v>
      </c>
      <c r="B1" s="148"/>
      <c r="C1" s="76"/>
      <c r="D1" s="77"/>
      <c r="E1" s="77"/>
      <c r="F1" s="77"/>
      <c r="G1" s="78" t="s">
        <v>1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/>
    </row>
    <row r="2" spans="1:22" s="5" customFormat="1" ht="31.2" x14ac:dyDescent="0.6">
      <c r="A2" s="79" t="s">
        <v>2</v>
      </c>
      <c r="B2" s="149"/>
      <c r="C2" s="76"/>
      <c r="D2" s="77"/>
      <c r="E2" s="81" t="s">
        <v>196</v>
      </c>
      <c r="F2" s="81"/>
      <c r="G2" s="81"/>
      <c r="H2" s="82"/>
      <c r="I2" s="82"/>
      <c r="J2" s="82"/>
      <c r="K2" s="82"/>
      <c r="L2" s="82"/>
      <c r="M2" s="82"/>
      <c r="N2" s="82"/>
      <c r="O2" s="77"/>
      <c r="P2" s="77"/>
      <c r="Q2" s="77"/>
      <c r="R2" s="83">
        <v>45413</v>
      </c>
      <c r="S2" s="77"/>
      <c r="T2" s="77"/>
      <c r="U2" s="77"/>
      <c r="V2"/>
    </row>
    <row r="3" spans="1:22" s="12" customFormat="1" ht="15.75" customHeight="1" x14ac:dyDescent="0.3">
      <c r="A3" s="263" t="s">
        <v>5</v>
      </c>
      <c r="B3" s="264" t="s">
        <v>6</v>
      </c>
      <c r="C3" s="264" t="s">
        <v>7</v>
      </c>
      <c r="D3" s="265" t="s">
        <v>8</v>
      </c>
      <c r="E3" s="266" t="s">
        <v>9</v>
      </c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/>
    </row>
    <row r="4" spans="1:22" s="12" customFormat="1" ht="57.75" customHeight="1" x14ac:dyDescent="0.3">
      <c r="A4" s="263"/>
      <c r="B4" s="264"/>
      <c r="C4" s="264"/>
      <c r="D4" s="265"/>
      <c r="E4" s="163" t="s">
        <v>10</v>
      </c>
      <c r="F4" s="163" t="s">
        <v>11</v>
      </c>
      <c r="G4" s="163" t="s">
        <v>12</v>
      </c>
      <c r="H4" s="163" t="s">
        <v>13</v>
      </c>
      <c r="I4" s="163" t="s">
        <v>14</v>
      </c>
      <c r="J4" s="163" t="s">
        <v>15</v>
      </c>
      <c r="K4" s="163" t="s">
        <v>117</v>
      </c>
      <c r="L4" s="163" t="s">
        <v>17</v>
      </c>
      <c r="M4" s="163" t="s">
        <v>18</v>
      </c>
      <c r="N4" s="163" t="s">
        <v>19</v>
      </c>
      <c r="O4" s="163" t="s">
        <v>20</v>
      </c>
      <c r="P4" s="163" t="s">
        <v>21</v>
      </c>
      <c r="Q4" s="163" t="s">
        <v>22</v>
      </c>
      <c r="R4" s="163" t="s">
        <v>23</v>
      </c>
      <c r="S4" s="163" t="s">
        <v>24</v>
      </c>
      <c r="T4" s="163" t="s">
        <v>25</v>
      </c>
      <c r="U4" s="163" t="s">
        <v>26</v>
      </c>
      <c r="V4"/>
    </row>
    <row r="5" spans="1:22" s="12" customFormat="1" ht="16.5" customHeight="1" x14ac:dyDescent="0.3">
      <c r="A5" s="160"/>
      <c r="B5" s="164" t="s">
        <v>27</v>
      </c>
      <c r="C5" s="161"/>
      <c r="D5" s="162"/>
      <c r="E5" s="163"/>
      <c r="F5" s="165">
        <v>524102</v>
      </c>
      <c r="G5" s="165">
        <v>525722</v>
      </c>
      <c r="H5" s="165">
        <v>524101</v>
      </c>
      <c r="I5" s="165">
        <v>524201</v>
      </c>
      <c r="J5" s="165">
        <v>525713</v>
      </c>
      <c r="K5" s="165">
        <v>525724</v>
      </c>
      <c r="L5" s="165">
        <v>522983</v>
      </c>
      <c r="M5" s="165">
        <v>524200</v>
      </c>
      <c r="N5" s="165">
        <v>521101</v>
      </c>
      <c r="O5" s="165">
        <v>525714</v>
      </c>
      <c r="P5" s="165">
        <v>524304</v>
      </c>
      <c r="Q5" s="165">
        <v>524301</v>
      </c>
      <c r="R5" s="165">
        <v>525717</v>
      </c>
      <c r="S5" s="165">
        <v>525798</v>
      </c>
      <c r="T5" s="165">
        <v>524204</v>
      </c>
      <c r="U5" s="165">
        <v>511103</v>
      </c>
      <c r="V5"/>
    </row>
    <row r="6" spans="1:22" s="29" customFormat="1" ht="15.6" x14ac:dyDescent="0.3">
      <c r="A6" s="94"/>
      <c r="B6" s="151" t="s">
        <v>118</v>
      </c>
      <c r="C6" s="96"/>
      <c r="D6" s="97">
        <v>50000</v>
      </c>
      <c r="E6" s="98"/>
      <c r="F6" s="98"/>
      <c r="G6" s="98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100"/>
      <c r="T6" s="100"/>
      <c r="U6" s="100"/>
      <c r="V6"/>
    </row>
    <row r="7" spans="1:22" s="134" customFormat="1" ht="15.6" x14ac:dyDescent="0.3">
      <c r="A7" s="94" t="s">
        <v>193</v>
      </c>
      <c r="B7" s="151" t="s">
        <v>197</v>
      </c>
      <c r="C7" s="102">
        <v>13501</v>
      </c>
      <c r="D7" s="103"/>
      <c r="E7" s="104">
        <v>560</v>
      </c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>
        <f>E7</f>
        <v>560</v>
      </c>
      <c r="S7" s="104"/>
      <c r="T7" s="104"/>
      <c r="U7" s="105"/>
    </row>
    <row r="8" spans="1:22" s="134" customFormat="1" ht="15.6" x14ac:dyDescent="0.3">
      <c r="A8" s="94" t="s">
        <v>198</v>
      </c>
      <c r="B8" s="151" t="s">
        <v>199</v>
      </c>
      <c r="C8" s="102">
        <v>13502</v>
      </c>
      <c r="D8" s="103"/>
      <c r="E8" s="104">
        <v>400</v>
      </c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>
        <f>E8</f>
        <v>400</v>
      </c>
      <c r="U8" s="105"/>
    </row>
    <row r="9" spans="1:22" s="134" customFormat="1" ht="15.6" x14ac:dyDescent="0.3">
      <c r="A9" s="94" t="s">
        <v>200</v>
      </c>
      <c r="B9" s="152" t="s">
        <v>201</v>
      </c>
      <c r="C9" s="102">
        <v>13503</v>
      </c>
      <c r="D9" s="103"/>
      <c r="E9" s="104">
        <v>400</v>
      </c>
      <c r="F9" s="104"/>
      <c r="G9" s="104"/>
      <c r="H9" s="104"/>
      <c r="I9" s="104"/>
      <c r="J9" s="104"/>
      <c r="K9" s="104"/>
      <c r="L9" s="104"/>
      <c r="M9" s="104">
        <f>E9</f>
        <v>400</v>
      </c>
      <c r="N9" s="104"/>
      <c r="O9" s="104"/>
      <c r="P9" s="104"/>
      <c r="Q9" s="104"/>
      <c r="R9" s="104"/>
      <c r="S9" s="104"/>
      <c r="T9" s="104"/>
      <c r="U9" s="105"/>
    </row>
    <row r="10" spans="1:22" s="134" customFormat="1" ht="31.2" x14ac:dyDescent="0.3">
      <c r="A10" s="94" t="s">
        <v>202</v>
      </c>
      <c r="B10" s="152" t="s">
        <v>203</v>
      </c>
      <c r="C10" s="102">
        <v>13504</v>
      </c>
      <c r="D10" s="103"/>
      <c r="E10" s="104">
        <v>400</v>
      </c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>
        <f>E10</f>
        <v>400</v>
      </c>
      <c r="U10" s="105"/>
    </row>
    <row r="11" spans="1:22" s="134" customFormat="1" ht="31.2" x14ac:dyDescent="0.3">
      <c r="A11" s="94" t="s">
        <v>204</v>
      </c>
      <c r="B11" s="152" t="s">
        <v>205</v>
      </c>
      <c r="C11" s="102">
        <v>13505</v>
      </c>
      <c r="D11" s="103"/>
      <c r="E11" s="104">
        <v>300</v>
      </c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>
        <f>E11</f>
        <v>300</v>
      </c>
      <c r="S11" s="104"/>
      <c r="T11" s="104"/>
      <c r="U11" s="105"/>
    </row>
    <row r="12" spans="1:22" s="134" customFormat="1" ht="15.6" x14ac:dyDescent="0.3">
      <c r="A12" s="94" t="s">
        <v>204</v>
      </c>
      <c r="B12" s="152" t="s">
        <v>206</v>
      </c>
      <c r="C12" s="102">
        <v>13506</v>
      </c>
      <c r="D12" s="103"/>
      <c r="E12" s="104">
        <v>4000</v>
      </c>
      <c r="F12" s="104"/>
      <c r="G12" s="104"/>
      <c r="H12" s="104"/>
      <c r="I12" s="104"/>
      <c r="J12" s="104"/>
      <c r="K12" s="104"/>
      <c r="L12" s="104"/>
      <c r="M12" s="104">
        <f>E12</f>
        <v>4000</v>
      </c>
      <c r="N12" s="104"/>
      <c r="O12" s="104"/>
      <c r="P12" s="104"/>
      <c r="Q12" s="104"/>
      <c r="R12" s="104"/>
      <c r="S12" s="104"/>
      <c r="T12" s="104"/>
      <c r="U12" s="105"/>
    </row>
    <row r="13" spans="1:22" s="137" customFormat="1" ht="31.2" x14ac:dyDescent="0.3">
      <c r="A13" s="94" t="s">
        <v>204</v>
      </c>
      <c r="B13" s="152" t="s">
        <v>207</v>
      </c>
      <c r="C13" s="102">
        <v>13507</v>
      </c>
      <c r="D13" s="25"/>
      <c r="E13" s="25">
        <v>400</v>
      </c>
      <c r="F13" s="25"/>
      <c r="G13" s="2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6"/>
      <c r="T13" s="136">
        <f>E13</f>
        <v>400</v>
      </c>
      <c r="U13" s="136"/>
    </row>
    <row r="14" spans="1:22" s="137" customFormat="1" ht="15.6" x14ac:dyDescent="0.3">
      <c r="A14" s="22" t="s">
        <v>208</v>
      </c>
      <c r="B14" s="152" t="s">
        <v>201</v>
      </c>
      <c r="C14" s="102">
        <v>13508</v>
      </c>
      <c r="D14" s="25"/>
      <c r="E14" s="25">
        <v>400</v>
      </c>
      <c r="F14" s="25"/>
      <c r="G14" s="25"/>
      <c r="H14" s="135"/>
      <c r="I14" s="135"/>
      <c r="J14" s="135"/>
      <c r="K14" s="135"/>
      <c r="L14" s="135"/>
      <c r="M14" s="135">
        <f>E14</f>
        <v>400</v>
      </c>
      <c r="N14" s="135"/>
      <c r="O14" s="135"/>
      <c r="P14" s="135"/>
      <c r="Q14" s="135"/>
      <c r="R14" s="135"/>
      <c r="S14" s="136"/>
      <c r="T14" s="136"/>
      <c r="U14" s="136"/>
    </row>
    <row r="15" spans="1:22" s="137" customFormat="1" ht="31.2" x14ac:dyDescent="0.3">
      <c r="A15" s="22" t="s">
        <v>209</v>
      </c>
      <c r="B15" s="152" t="s">
        <v>210</v>
      </c>
      <c r="C15" s="102">
        <v>13509</v>
      </c>
      <c r="D15" s="25"/>
      <c r="E15" s="25">
        <v>800</v>
      </c>
      <c r="F15" s="25"/>
      <c r="G15" s="2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6"/>
      <c r="T15" s="136">
        <f>E15</f>
        <v>800</v>
      </c>
      <c r="U15" s="136"/>
    </row>
    <row r="16" spans="1:22" s="134" customFormat="1" ht="15.6" x14ac:dyDescent="0.3">
      <c r="A16" s="94" t="s">
        <v>211</v>
      </c>
      <c r="B16" s="152" t="s">
        <v>201</v>
      </c>
      <c r="C16" s="102">
        <v>13510</v>
      </c>
      <c r="D16" s="103"/>
      <c r="E16" s="104">
        <v>400</v>
      </c>
      <c r="F16" s="104"/>
      <c r="G16" s="104"/>
      <c r="H16" s="104"/>
      <c r="I16" s="104"/>
      <c r="J16" s="104"/>
      <c r="K16" s="104"/>
      <c r="L16" s="104"/>
      <c r="M16" s="104">
        <f>E16</f>
        <v>400</v>
      </c>
      <c r="N16" s="104"/>
      <c r="O16" s="104"/>
      <c r="P16" s="104"/>
      <c r="Q16" s="104"/>
      <c r="R16" s="104"/>
      <c r="S16" s="104"/>
      <c r="T16" s="104"/>
      <c r="U16" s="105"/>
    </row>
    <row r="17" spans="1:22" s="134" customFormat="1" ht="15.6" x14ac:dyDescent="0.3">
      <c r="A17" s="94" t="s">
        <v>212</v>
      </c>
      <c r="B17" s="152" t="s">
        <v>213</v>
      </c>
      <c r="C17" s="102">
        <v>13511</v>
      </c>
      <c r="D17" s="103"/>
      <c r="E17" s="104">
        <v>500</v>
      </c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>
        <f>E17</f>
        <v>500</v>
      </c>
      <c r="U17" s="105"/>
    </row>
    <row r="18" spans="1:22" s="134" customFormat="1" ht="15.6" x14ac:dyDescent="0.3">
      <c r="A18" s="94" t="s">
        <v>214</v>
      </c>
      <c r="B18" s="152" t="s">
        <v>215</v>
      </c>
      <c r="C18" s="102">
        <v>13512</v>
      </c>
      <c r="D18" s="103"/>
      <c r="E18" s="104">
        <v>1000</v>
      </c>
      <c r="F18" s="104">
        <f>E18</f>
        <v>1000</v>
      </c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5"/>
    </row>
    <row r="19" spans="1:22" s="134" customFormat="1" ht="15.6" x14ac:dyDescent="0.3">
      <c r="A19" s="94" t="s">
        <v>214</v>
      </c>
      <c r="B19" s="152" t="s">
        <v>215</v>
      </c>
      <c r="C19" s="102">
        <v>13513</v>
      </c>
      <c r="D19" s="103"/>
      <c r="E19" s="104">
        <v>1000</v>
      </c>
      <c r="F19" s="104">
        <f>E19</f>
        <v>1000</v>
      </c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5"/>
    </row>
    <row r="20" spans="1:22" s="134" customFormat="1" ht="15.6" x14ac:dyDescent="0.3">
      <c r="A20" s="94" t="s">
        <v>214</v>
      </c>
      <c r="B20" s="152" t="s">
        <v>201</v>
      </c>
      <c r="C20" s="102">
        <v>13514</v>
      </c>
      <c r="D20" s="103"/>
      <c r="E20" s="104">
        <v>400</v>
      </c>
      <c r="F20" s="104"/>
      <c r="G20" s="104"/>
      <c r="H20" s="104"/>
      <c r="I20" s="104"/>
      <c r="J20" s="104"/>
      <c r="K20" s="104"/>
      <c r="L20" s="104"/>
      <c r="M20" s="104">
        <f>E20</f>
        <v>400</v>
      </c>
      <c r="N20" s="104"/>
      <c r="O20" s="104"/>
      <c r="P20" s="104"/>
      <c r="Q20" s="104"/>
      <c r="R20" s="104"/>
      <c r="S20" s="104"/>
      <c r="T20" s="104"/>
      <c r="U20" s="105"/>
    </row>
    <row r="21" spans="1:22" s="134" customFormat="1" ht="15.6" x14ac:dyDescent="0.3">
      <c r="A21" s="94" t="s">
        <v>216</v>
      </c>
      <c r="B21" s="152" t="s">
        <v>201</v>
      </c>
      <c r="C21" s="102">
        <v>13515</v>
      </c>
      <c r="D21" s="103"/>
      <c r="E21" s="104">
        <v>400</v>
      </c>
      <c r="F21" s="104"/>
      <c r="G21" s="104"/>
      <c r="H21" s="104"/>
      <c r="I21" s="104"/>
      <c r="J21" s="104"/>
      <c r="K21" s="104"/>
      <c r="L21" s="104"/>
      <c r="M21" s="104">
        <f>E21</f>
        <v>400</v>
      </c>
      <c r="N21" s="104"/>
      <c r="O21" s="104"/>
      <c r="P21" s="104"/>
      <c r="Q21" s="104"/>
      <c r="R21" s="104"/>
      <c r="S21" s="104"/>
      <c r="T21" s="104"/>
      <c r="U21" s="105"/>
    </row>
    <row r="22" spans="1:22" s="142" customFormat="1" ht="16.2" thickBot="1" x14ac:dyDescent="0.35">
      <c r="A22" s="138"/>
      <c r="B22" s="153"/>
      <c r="C22" s="139"/>
      <c r="D22" s="140">
        <v>50000</v>
      </c>
      <c r="E22" s="141">
        <f>SUM(E7:E21)</f>
        <v>11360</v>
      </c>
      <c r="F22" s="141">
        <f t="shared" ref="F22:U22" si="0">SUM(F7:F21)</f>
        <v>2000</v>
      </c>
      <c r="G22" s="141">
        <f t="shared" si="0"/>
        <v>0</v>
      </c>
      <c r="H22" s="141">
        <f t="shared" si="0"/>
        <v>0</v>
      </c>
      <c r="I22" s="141">
        <f t="shared" si="0"/>
        <v>0</v>
      </c>
      <c r="J22" s="141">
        <f t="shared" si="0"/>
        <v>0</v>
      </c>
      <c r="K22" s="141">
        <f t="shared" si="0"/>
        <v>0</v>
      </c>
      <c r="L22" s="141">
        <f t="shared" si="0"/>
        <v>0</v>
      </c>
      <c r="M22" s="141">
        <f t="shared" si="0"/>
        <v>6000</v>
      </c>
      <c r="N22" s="141">
        <f t="shared" si="0"/>
        <v>0</v>
      </c>
      <c r="O22" s="141">
        <f t="shared" si="0"/>
        <v>0</v>
      </c>
      <c r="P22" s="141">
        <f t="shared" si="0"/>
        <v>0</v>
      </c>
      <c r="Q22" s="141">
        <f t="shared" si="0"/>
        <v>0</v>
      </c>
      <c r="R22" s="141">
        <f t="shared" si="0"/>
        <v>860</v>
      </c>
      <c r="S22" s="141">
        <f t="shared" si="0"/>
        <v>0</v>
      </c>
      <c r="T22" s="141">
        <f t="shared" si="0"/>
        <v>2500</v>
      </c>
      <c r="U22" s="141">
        <f t="shared" si="0"/>
        <v>0</v>
      </c>
    </row>
    <row r="23" spans="1:22" s="137" customFormat="1" ht="16.2" thickTop="1" x14ac:dyDescent="0.3">
      <c r="A23" s="139" t="s">
        <v>61</v>
      </c>
      <c r="B23" s="153"/>
      <c r="C23" s="143"/>
      <c r="D23" s="144">
        <f>SUM(D22-E22)</f>
        <v>38640</v>
      </c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47"/>
    </row>
    <row r="24" spans="1:22" ht="15" thickBot="1" x14ac:dyDescent="0.35">
      <c r="A24" s="115"/>
      <c r="B24" s="155"/>
      <c r="C24" s="116"/>
      <c r="D24" s="116"/>
      <c r="E24" s="116"/>
      <c r="F24" s="116"/>
      <c r="G24" s="117"/>
      <c r="H24" s="117"/>
      <c r="I24" s="117"/>
      <c r="J24" s="117"/>
      <c r="K24" s="117"/>
      <c r="L24" s="117"/>
      <c r="M24" s="117"/>
      <c r="N24" s="117"/>
      <c r="O24" s="117"/>
      <c r="Q24" s="117"/>
      <c r="R24" s="117"/>
      <c r="S24" s="117"/>
      <c r="T24" s="117"/>
      <c r="U24" s="117"/>
      <c r="V24" s="117"/>
    </row>
    <row r="25" spans="1:22" s="57" customFormat="1" ht="29.4" thickBot="1" x14ac:dyDescent="0.6">
      <c r="A25" s="118" t="s">
        <v>62</v>
      </c>
      <c r="B25" s="156"/>
      <c r="C25" s="120"/>
      <c r="D25" s="243">
        <f>E22</f>
        <v>11360</v>
      </c>
      <c r="E25" s="244"/>
      <c r="F25" s="121"/>
      <c r="G25" s="122"/>
      <c r="H25" s="123"/>
      <c r="I25" s="124"/>
      <c r="J25" s="122"/>
      <c r="K25" s="122"/>
      <c r="L25" s="122"/>
      <c r="M25" s="122"/>
      <c r="N25" s="122"/>
      <c r="O25" s="122"/>
      <c r="P25"/>
      <c r="Q25" s="122"/>
      <c r="R25" s="122"/>
      <c r="S25" s="122"/>
      <c r="T25" s="122"/>
      <c r="U25" s="122"/>
      <c r="V25" s="122"/>
    </row>
    <row r="26" spans="1:22" ht="21" x14ac:dyDescent="0.4">
      <c r="A26" s="115"/>
      <c r="B26" s="155"/>
      <c r="C26" s="116"/>
      <c r="D26" s="125"/>
      <c r="E26" s="116"/>
      <c r="F26" s="116"/>
      <c r="G26" s="122"/>
      <c r="H26" s="126"/>
      <c r="I26" s="127"/>
      <c r="J26" s="127"/>
      <c r="K26" s="127"/>
      <c r="L26" s="127"/>
      <c r="M26" s="127"/>
      <c r="N26" s="127"/>
      <c r="O26" s="117"/>
      <c r="Q26" s="117"/>
      <c r="R26" s="117"/>
      <c r="S26" s="117"/>
      <c r="T26" s="117"/>
      <c r="U26" s="117"/>
      <c r="V26" s="117"/>
    </row>
    <row r="27" spans="1:22" ht="21" x14ac:dyDescent="0.4">
      <c r="D27" s="129"/>
      <c r="E27" s="129"/>
      <c r="F27" s="129"/>
      <c r="G27" s="122"/>
      <c r="I27" s="129"/>
      <c r="J27" s="129"/>
      <c r="K27" s="129"/>
      <c r="L27" s="129"/>
    </row>
    <row r="28" spans="1:22" x14ac:dyDescent="0.3">
      <c r="A28" s="63"/>
      <c r="B28" s="158" t="s">
        <v>63</v>
      </c>
      <c r="C28" s="64"/>
      <c r="D28" s="64" t="s">
        <v>64</v>
      </c>
      <c r="F28" s="66" t="s">
        <v>65</v>
      </c>
      <c r="H28" s="66"/>
      <c r="J28" s="68"/>
      <c r="L28" s="67"/>
      <c r="N28" s="67"/>
      <c r="O28" s="68"/>
      <c r="P28" s="66" t="s">
        <v>66</v>
      </c>
      <c r="Q28" s="68"/>
      <c r="T28" s="66" t="s">
        <v>66</v>
      </c>
      <c r="U28" s="68"/>
    </row>
    <row r="29" spans="1:22" x14ac:dyDescent="0.3">
      <c r="A29" s="63"/>
      <c r="B29" s="159" t="s">
        <v>67</v>
      </c>
      <c r="C29" s="69"/>
      <c r="D29" s="69" t="s">
        <v>68</v>
      </c>
      <c r="F29" s="69" t="s">
        <v>69</v>
      </c>
      <c r="H29" s="69"/>
      <c r="J29" s="69"/>
      <c r="L29" s="69"/>
      <c r="N29" s="69"/>
      <c r="O29" s="69"/>
      <c r="P29" s="69" t="s">
        <v>70</v>
      </c>
      <c r="Q29" s="69"/>
      <c r="T29" s="69" t="s">
        <v>70</v>
      </c>
      <c r="U29" s="68"/>
    </row>
    <row r="30" spans="1:22" x14ac:dyDescent="0.3">
      <c r="A30" s="63"/>
      <c r="B30" s="159" t="s">
        <v>160</v>
      </c>
      <c r="C30" s="69"/>
      <c r="D30" s="69" t="s">
        <v>72</v>
      </c>
      <c r="F30" s="69" t="s">
        <v>73</v>
      </c>
      <c r="H30" s="69"/>
      <c r="J30" s="68"/>
      <c r="L30" s="60"/>
      <c r="N30" s="60"/>
      <c r="O30" s="68"/>
      <c r="P30" s="69" t="s">
        <v>74</v>
      </c>
      <c r="Q30" s="68"/>
      <c r="T30" s="69" t="s">
        <v>74</v>
      </c>
      <c r="U30" s="68"/>
    </row>
    <row r="31" spans="1:22" x14ac:dyDescent="0.3">
      <c r="A31" s="63"/>
      <c r="B31" s="159" t="s">
        <v>161</v>
      </c>
      <c r="C31" s="69"/>
      <c r="D31" s="69" t="s">
        <v>76</v>
      </c>
      <c r="F31" s="69" t="s">
        <v>77</v>
      </c>
      <c r="H31" s="69"/>
      <c r="J31" s="68"/>
      <c r="L31" s="60"/>
      <c r="N31" s="60"/>
      <c r="O31" s="68"/>
      <c r="P31" s="69" t="s">
        <v>78</v>
      </c>
      <c r="Q31" s="68"/>
      <c r="T31" s="69" t="s">
        <v>78</v>
      </c>
      <c r="U31" s="68"/>
    </row>
    <row r="32" spans="1:22" s="128" customFormat="1" ht="27" customHeight="1" x14ac:dyDescent="0.3">
      <c r="B32" s="157"/>
      <c r="C32"/>
      <c r="D32"/>
      <c r="F32"/>
      <c r="G32"/>
      <c r="H32"/>
      <c r="I32"/>
      <c r="J32"/>
      <c r="K32"/>
      <c r="L32"/>
      <c r="N32"/>
      <c r="O32"/>
      <c r="P32"/>
      <c r="Q32"/>
      <c r="R32"/>
      <c r="S32"/>
      <c r="T32"/>
      <c r="U32"/>
      <c r="V32"/>
    </row>
    <row r="33" spans="2:22" s="128" customFormat="1" ht="27" customHeight="1" x14ac:dyDescent="0.3">
      <c r="B33" s="157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2:22" s="128" customFormat="1" ht="27" customHeight="1" x14ac:dyDescent="0.3">
      <c r="B34" s="157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2:22" s="128" customFormat="1" ht="27" customHeight="1" x14ac:dyDescent="0.3">
      <c r="B35" s="157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2:22" s="128" customFormat="1" ht="27" customHeight="1" x14ac:dyDescent="0.3">
      <c r="B36" s="157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2:22" s="128" customFormat="1" ht="27" customHeight="1" x14ac:dyDescent="0.3">
      <c r="B37" s="15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2:22" s="128" customFormat="1" ht="27" customHeight="1" x14ac:dyDescent="0.3">
      <c r="B38" s="157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2:22" s="128" customFormat="1" ht="27" customHeight="1" x14ac:dyDescent="0.3">
      <c r="B39" s="157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2:22" s="128" customFormat="1" ht="27" customHeight="1" x14ac:dyDescent="0.3">
      <c r="B40" s="157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2:22" s="128" customFormat="1" ht="27" customHeight="1" x14ac:dyDescent="0.3">
      <c r="B41" s="157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2:22" s="128" customFormat="1" ht="27" customHeight="1" x14ac:dyDescent="0.3">
      <c r="B42" s="157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</sheetData>
  <mergeCells count="6">
    <mergeCell ref="D25:E25"/>
    <mergeCell ref="A3:A4"/>
    <mergeCell ref="B3:B4"/>
    <mergeCell ref="C3:C4"/>
    <mergeCell ref="D3:D4"/>
    <mergeCell ref="E3:U3"/>
  </mergeCells>
  <conditionalFormatting sqref="R5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0ACA-B039-4E5B-9F19-C2064E8EEE30}">
  <dimension ref="A1:W54"/>
  <sheetViews>
    <sheetView workbookViewId="0">
      <selection activeCell="B6" sqref="B6"/>
    </sheetView>
  </sheetViews>
  <sheetFormatPr defaultColWidth="9.109375" defaultRowHeight="14.4" x14ac:dyDescent="0.3"/>
  <cols>
    <col min="1" max="1" width="12" style="128" customWidth="1"/>
    <col min="2" max="2" width="57.33203125" style="157" customWidth="1"/>
    <col min="3" max="3" width="13.109375" customWidth="1"/>
    <col min="4" max="4" width="14.109375" customWidth="1"/>
    <col min="5" max="5" width="15.44140625" customWidth="1"/>
    <col min="6" max="6" width="13.44140625" customWidth="1"/>
    <col min="7" max="7" width="18.6640625" hidden="1" customWidth="1"/>
    <col min="8" max="8" width="10.5546875" hidden="1" customWidth="1"/>
    <col min="9" max="9" width="9.5546875" hidden="1" customWidth="1"/>
    <col min="10" max="10" width="11.88671875" hidden="1" customWidth="1"/>
    <col min="11" max="11" width="12.33203125" hidden="1" customWidth="1"/>
    <col min="12" max="12" width="11" bestFit="1" customWidth="1"/>
    <col min="13" max="13" width="12" customWidth="1"/>
    <col min="14" max="14" width="8" hidden="1" customWidth="1"/>
    <col min="15" max="15" width="11.33203125" bestFit="1" customWidth="1"/>
    <col min="16" max="16" width="9" hidden="1" customWidth="1"/>
    <col min="17" max="17" width="9.5546875" hidden="1" customWidth="1"/>
    <col min="18" max="18" width="13.109375" customWidth="1"/>
    <col min="19" max="19" width="13.6640625" bestFit="1" customWidth="1"/>
    <col min="20" max="20" width="12.44140625" customWidth="1"/>
    <col min="21" max="21" width="7.88671875" hidden="1" customWidth="1"/>
  </cols>
  <sheetData>
    <row r="1" spans="1:22" s="5" customFormat="1" ht="31.2" x14ac:dyDescent="0.6">
      <c r="A1" s="75" t="s">
        <v>0</v>
      </c>
      <c r="B1" s="148"/>
      <c r="C1" s="76"/>
      <c r="D1" s="77"/>
      <c r="E1" s="77"/>
      <c r="F1" s="77"/>
      <c r="G1" s="78" t="s">
        <v>1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/>
    </row>
    <row r="2" spans="1:22" s="5" customFormat="1" ht="31.2" x14ac:dyDescent="0.6">
      <c r="A2" s="79" t="s">
        <v>2</v>
      </c>
      <c r="B2" s="149"/>
      <c r="C2" s="76"/>
      <c r="D2" s="77"/>
      <c r="E2" s="81" t="s">
        <v>162</v>
      </c>
      <c r="F2" s="81"/>
      <c r="G2" s="81"/>
      <c r="H2" s="82"/>
      <c r="I2" s="82"/>
      <c r="J2" s="82"/>
      <c r="K2" s="82"/>
      <c r="L2" s="82"/>
      <c r="M2" s="82"/>
      <c r="N2" s="82"/>
      <c r="O2" s="77"/>
      <c r="P2" s="77"/>
      <c r="Q2" s="77"/>
      <c r="R2" s="83"/>
      <c r="S2" s="77"/>
      <c r="T2" s="77"/>
      <c r="U2" s="77"/>
      <c r="V2"/>
    </row>
    <row r="3" spans="1:22" s="5" customFormat="1" ht="23.25" customHeight="1" thickBot="1" x14ac:dyDescent="0.35">
      <c r="A3" s="84"/>
      <c r="B3" s="148"/>
      <c r="C3" s="76"/>
      <c r="D3" s="77" t="s">
        <v>4</v>
      </c>
      <c r="E3" s="82"/>
      <c r="F3" s="82"/>
      <c r="G3" s="85"/>
      <c r="H3" s="85"/>
      <c r="I3" s="85"/>
      <c r="J3" s="85"/>
      <c r="K3" s="81"/>
      <c r="L3" s="82"/>
      <c r="M3" s="85"/>
      <c r="N3" s="82"/>
      <c r="O3" s="86"/>
      <c r="P3" s="86"/>
      <c r="Q3" s="87"/>
      <c r="R3" s="87"/>
      <c r="S3" s="87"/>
      <c r="T3" s="87"/>
      <c r="U3" s="87"/>
      <c r="V3"/>
    </row>
    <row r="4" spans="1:22" s="12" customFormat="1" ht="15.75" customHeight="1" x14ac:dyDescent="0.3">
      <c r="A4" s="254" t="s">
        <v>5</v>
      </c>
      <c r="B4" s="256" t="s">
        <v>6</v>
      </c>
      <c r="C4" s="258" t="s">
        <v>7</v>
      </c>
      <c r="D4" s="258" t="s">
        <v>8</v>
      </c>
      <c r="E4" s="260" t="s">
        <v>9</v>
      </c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2"/>
      <c r="V4"/>
    </row>
    <row r="5" spans="1:22" s="12" customFormat="1" ht="57.75" customHeight="1" thickBot="1" x14ac:dyDescent="0.35">
      <c r="A5" s="255"/>
      <c r="B5" s="257"/>
      <c r="C5" s="259"/>
      <c r="D5" s="259"/>
      <c r="E5" s="88" t="s">
        <v>10</v>
      </c>
      <c r="F5" s="88" t="s">
        <v>11</v>
      </c>
      <c r="G5" s="88" t="s">
        <v>12</v>
      </c>
      <c r="H5" s="88" t="s">
        <v>13</v>
      </c>
      <c r="I5" s="88" t="s">
        <v>14</v>
      </c>
      <c r="J5" s="88" t="s">
        <v>15</v>
      </c>
      <c r="K5" s="88" t="s">
        <v>117</v>
      </c>
      <c r="L5" s="88" t="s">
        <v>17</v>
      </c>
      <c r="M5" s="88" t="s">
        <v>18</v>
      </c>
      <c r="N5" s="88" t="s">
        <v>19</v>
      </c>
      <c r="O5" s="88" t="s">
        <v>20</v>
      </c>
      <c r="P5" s="88" t="s">
        <v>21</v>
      </c>
      <c r="Q5" s="88" t="s">
        <v>22</v>
      </c>
      <c r="R5" s="88" t="s">
        <v>23</v>
      </c>
      <c r="S5" s="88" t="s">
        <v>24</v>
      </c>
      <c r="T5" s="88" t="s">
        <v>25</v>
      </c>
      <c r="U5" s="88" t="s">
        <v>26</v>
      </c>
      <c r="V5"/>
    </row>
    <row r="6" spans="1:22" s="12" customFormat="1" ht="16.5" customHeight="1" x14ac:dyDescent="0.3">
      <c r="A6" s="89"/>
      <c r="B6" s="150" t="s">
        <v>27</v>
      </c>
      <c r="C6" s="90"/>
      <c r="D6" s="91"/>
      <c r="E6" s="92"/>
      <c r="F6" s="93">
        <v>524102</v>
      </c>
      <c r="G6" s="93">
        <v>525722</v>
      </c>
      <c r="H6" s="93">
        <v>524101</v>
      </c>
      <c r="I6" s="93">
        <v>524201</v>
      </c>
      <c r="J6" s="93">
        <v>525713</v>
      </c>
      <c r="K6" s="93">
        <v>525724</v>
      </c>
      <c r="L6" s="93">
        <v>522983</v>
      </c>
      <c r="M6" s="93">
        <v>524200</v>
      </c>
      <c r="N6" s="93">
        <v>521101</v>
      </c>
      <c r="O6" s="93">
        <v>525714</v>
      </c>
      <c r="P6" s="93">
        <v>524304</v>
      </c>
      <c r="Q6" s="93">
        <v>524301</v>
      </c>
      <c r="R6" s="93">
        <v>525717</v>
      </c>
      <c r="S6" s="93">
        <v>525798</v>
      </c>
      <c r="T6" s="93">
        <v>524204</v>
      </c>
      <c r="U6" s="93">
        <v>511103</v>
      </c>
      <c r="V6"/>
    </row>
    <row r="7" spans="1:22" s="29" customFormat="1" ht="15.6" x14ac:dyDescent="0.3">
      <c r="A7" s="94"/>
      <c r="B7" s="151" t="s">
        <v>118</v>
      </c>
      <c r="C7" s="96"/>
      <c r="D7" s="97">
        <v>50000</v>
      </c>
      <c r="E7" s="98"/>
      <c r="F7" s="98"/>
      <c r="G7" s="98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100"/>
      <c r="T7" s="100"/>
      <c r="U7" s="100"/>
      <c r="V7"/>
    </row>
    <row r="8" spans="1:22" s="134" customFormat="1" ht="31.2" x14ac:dyDescent="0.3">
      <c r="A8" s="94" t="s">
        <v>163</v>
      </c>
      <c r="B8" s="152" t="s">
        <v>164</v>
      </c>
      <c r="C8" s="102">
        <v>14525</v>
      </c>
      <c r="D8" s="103"/>
      <c r="E8" s="104">
        <v>625</v>
      </c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5"/>
    </row>
    <row r="9" spans="1:22" s="134" customFormat="1" ht="31.2" x14ac:dyDescent="0.3">
      <c r="A9" s="94" t="s">
        <v>165</v>
      </c>
      <c r="B9" s="152" t="s">
        <v>166</v>
      </c>
      <c r="C9" s="102">
        <v>14526</v>
      </c>
      <c r="D9" s="103"/>
      <c r="E9" s="104">
        <v>400</v>
      </c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>
        <f>E9</f>
        <v>400</v>
      </c>
      <c r="U9" s="105"/>
    </row>
    <row r="10" spans="1:22" s="134" customFormat="1" ht="31.2" x14ac:dyDescent="0.3">
      <c r="A10" s="94" t="s">
        <v>165</v>
      </c>
      <c r="B10" s="152" t="s">
        <v>167</v>
      </c>
      <c r="C10" s="102">
        <v>14527</v>
      </c>
      <c r="D10" s="103"/>
      <c r="E10" s="104">
        <v>400</v>
      </c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>
        <f>E10</f>
        <v>400</v>
      </c>
      <c r="U10" s="105"/>
    </row>
    <row r="11" spans="1:22" s="134" customFormat="1" ht="31.2" x14ac:dyDescent="0.3">
      <c r="A11" s="94" t="s">
        <v>168</v>
      </c>
      <c r="B11" s="152" t="s">
        <v>169</v>
      </c>
      <c r="C11" s="102">
        <v>14528</v>
      </c>
      <c r="D11" s="103"/>
      <c r="E11" s="104">
        <v>500</v>
      </c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>
        <f>E11</f>
        <v>500</v>
      </c>
      <c r="U11" s="105"/>
    </row>
    <row r="12" spans="1:22" s="134" customFormat="1" ht="15.6" x14ac:dyDescent="0.3">
      <c r="A12" s="94" t="s">
        <v>170</v>
      </c>
      <c r="B12" s="152" t="s">
        <v>171</v>
      </c>
      <c r="C12" s="102">
        <v>14529</v>
      </c>
      <c r="D12" s="103"/>
      <c r="E12" s="104">
        <v>400</v>
      </c>
      <c r="F12" s="104"/>
      <c r="G12" s="104"/>
      <c r="H12" s="104"/>
      <c r="I12" s="104"/>
      <c r="J12" s="104"/>
      <c r="K12" s="104"/>
      <c r="L12" s="104"/>
      <c r="M12" s="104">
        <f>E12</f>
        <v>400</v>
      </c>
      <c r="N12" s="104"/>
      <c r="O12" s="104"/>
      <c r="P12" s="104"/>
      <c r="Q12" s="104"/>
      <c r="R12" s="104"/>
      <c r="S12" s="104"/>
      <c r="T12" s="104"/>
      <c r="U12" s="105"/>
    </row>
    <row r="13" spans="1:22" s="134" customFormat="1" ht="15.6" x14ac:dyDescent="0.3">
      <c r="A13" s="94" t="s">
        <v>170</v>
      </c>
      <c r="B13" s="101" t="s">
        <v>172</v>
      </c>
      <c r="C13" s="102">
        <v>14530</v>
      </c>
      <c r="D13" s="103"/>
      <c r="E13" s="104">
        <v>500</v>
      </c>
      <c r="F13" s="104">
        <f>E13</f>
        <v>500</v>
      </c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5"/>
    </row>
    <row r="14" spans="1:22" s="137" customFormat="1" ht="15.6" x14ac:dyDescent="0.3">
      <c r="A14" s="94" t="s">
        <v>170</v>
      </c>
      <c r="B14" s="152" t="s">
        <v>173</v>
      </c>
      <c r="C14" s="102">
        <v>14531</v>
      </c>
      <c r="D14" s="25"/>
      <c r="E14" s="25">
        <v>4510</v>
      </c>
      <c r="F14" s="25">
        <f>E14</f>
        <v>4510</v>
      </c>
      <c r="G14" s="2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6"/>
      <c r="T14" s="136"/>
      <c r="U14" s="136"/>
    </row>
    <row r="15" spans="1:22" s="137" customFormat="1" ht="15.6" x14ac:dyDescent="0.3">
      <c r="A15" s="94" t="s">
        <v>170</v>
      </c>
      <c r="B15" s="152" t="s">
        <v>174</v>
      </c>
      <c r="C15" s="102">
        <v>14532</v>
      </c>
      <c r="D15" s="25"/>
      <c r="E15" s="25">
        <v>690</v>
      </c>
      <c r="F15" s="25"/>
      <c r="G15" s="2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6"/>
      <c r="T15" s="136">
        <f>E15</f>
        <v>690</v>
      </c>
      <c r="U15" s="136"/>
    </row>
    <row r="16" spans="1:22" s="137" customFormat="1" ht="15.6" x14ac:dyDescent="0.3">
      <c r="A16" s="22" t="s">
        <v>175</v>
      </c>
      <c r="B16" s="152" t="s">
        <v>176</v>
      </c>
      <c r="C16" s="102">
        <v>14533</v>
      </c>
      <c r="D16" s="25"/>
      <c r="E16" s="25">
        <v>500</v>
      </c>
      <c r="F16" s="25"/>
      <c r="G16" s="2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6"/>
      <c r="T16" s="136">
        <f>E16</f>
        <v>500</v>
      </c>
      <c r="U16" s="136"/>
    </row>
    <row r="17" spans="1:21" s="134" customFormat="1" ht="15.6" x14ac:dyDescent="0.3">
      <c r="A17" s="94" t="s">
        <v>177</v>
      </c>
      <c r="B17" s="152" t="s">
        <v>178</v>
      </c>
      <c r="C17" s="102">
        <v>14534</v>
      </c>
      <c r="D17" s="103"/>
      <c r="E17" s="104">
        <v>1060</v>
      </c>
      <c r="F17" s="104">
        <f>E17</f>
        <v>1060</v>
      </c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5"/>
    </row>
    <row r="18" spans="1:21" s="134" customFormat="1" ht="15.6" x14ac:dyDescent="0.3">
      <c r="A18" s="94" t="s">
        <v>179</v>
      </c>
      <c r="B18" s="152" t="s">
        <v>171</v>
      </c>
      <c r="C18" s="102">
        <v>14535</v>
      </c>
      <c r="D18" s="103"/>
      <c r="E18" s="104">
        <v>400</v>
      </c>
      <c r="F18" s="104"/>
      <c r="G18" s="104"/>
      <c r="H18" s="104"/>
      <c r="I18" s="104"/>
      <c r="J18" s="104"/>
      <c r="K18" s="104"/>
      <c r="L18" s="104"/>
      <c r="M18" s="104">
        <f>E18</f>
        <v>400</v>
      </c>
      <c r="N18" s="104"/>
      <c r="O18" s="104"/>
      <c r="P18" s="104"/>
      <c r="Q18" s="104"/>
      <c r="R18" s="104"/>
      <c r="S18" s="104"/>
      <c r="T18" s="104"/>
      <c r="U18" s="105"/>
    </row>
    <row r="19" spans="1:21" s="134" customFormat="1" ht="15.6" x14ac:dyDescent="0.3">
      <c r="A19" s="94" t="s">
        <v>179</v>
      </c>
      <c r="B19" s="152" t="s">
        <v>180</v>
      </c>
      <c r="C19" s="102">
        <v>14536</v>
      </c>
      <c r="D19" s="103"/>
      <c r="E19" s="104">
        <v>400</v>
      </c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>
        <f>E19</f>
        <v>400</v>
      </c>
      <c r="U19" s="105"/>
    </row>
    <row r="20" spans="1:21" s="134" customFormat="1" ht="15.6" x14ac:dyDescent="0.3">
      <c r="A20" s="94" t="s">
        <v>181</v>
      </c>
      <c r="B20" s="152" t="s">
        <v>182</v>
      </c>
      <c r="C20" s="102">
        <v>14537</v>
      </c>
      <c r="D20" s="103"/>
      <c r="E20" s="104">
        <v>1057</v>
      </c>
      <c r="F20" s="104"/>
      <c r="G20" s="104"/>
      <c r="H20" s="104"/>
      <c r="I20" s="104"/>
      <c r="J20" s="104"/>
      <c r="K20" s="104"/>
      <c r="L20" s="104">
        <f>E20</f>
        <v>1057</v>
      </c>
      <c r="M20" s="104"/>
      <c r="N20" s="104"/>
      <c r="O20" s="104"/>
      <c r="P20" s="104"/>
      <c r="Q20" s="104"/>
      <c r="R20" s="104"/>
      <c r="S20" s="104"/>
      <c r="T20" s="104"/>
      <c r="U20" s="105"/>
    </row>
    <row r="21" spans="1:21" s="134" customFormat="1" ht="15.6" x14ac:dyDescent="0.3">
      <c r="A21" s="94" t="s">
        <v>181</v>
      </c>
      <c r="B21" s="101" t="s">
        <v>183</v>
      </c>
      <c r="C21" s="102">
        <v>14538</v>
      </c>
      <c r="D21" s="103"/>
      <c r="E21" s="104">
        <v>440</v>
      </c>
      <c r="F21" s="104">
        <f>E21</f>
        <v>440</v>
      </c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5"/>
    </row>
    <row r="22" spans="1:21" s="134" customFormat="1" ht="15.6" x14ac:dyDescent="0.3">
      <c r="A22" s="94" t="s">
        <v>181</v>
      </c>
      <c r="B22" s="152" t="s">
        <v>184</v>
      </c>
      <c r="C22" s="102">
        <v>14539</v>
      </c>
      <c r="D22" s="103"/>
      <c r="E22" s="104">
        <v>1000</v>
      </c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>
        <f>E22</f>
        <v>1000</v>
      </c>
      <c r="T22" s="104"/>
      <c r="U22" s="105"/>
    </row>
    <row r="23" spans="1:21" s="134" customFormat="1" ht="15.6" x14ac:dyDescent="0.3">
      <c r="A23" s="94" t="s">
        <v>181</v>
      </c>
      <c r="B23" s="152" t="s">
        <v>185</v>
      </c>
      <c r="C23" s="102">
        <v>14540</v>
      </c>
      <c r="D23" s="103"/>
      <c r="E23" s="104">
        <v>120</v>
      </c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>
        <f>E23</f>
        <v>120</v>
      </c>
      <c r="S23" s="104"/>
      <c r="T23" s="104"/>
      <c r="U23" s="105"/>
    </row>
    <row r="24" spans="1:21" s="134" customFormat="1" ht="15.6" x14ac:dyDescent="0.3">
      <c r="A24" s="94" t="s">
        <v>186</v>
      </c>
      <c r="B24" s="152" t="s">
        <v>187</v>
      </c>
      <c r="C24" s="102">
        <v>14541</v>
      </c>
      <c r="D24" s="103"/>
      <c r="E24" s="104">
        <v>1050</v>
      </c>
      <c r="F24" s="104"/>
      <c r="G24" s="104"/>
      <c r="H24" s="104"/>
      <c r="I24" s="104"/>
      <c r="J24" s="104"/>
      <c r="K24" s="104"/>
      <c r="L24" s="104"/>
      <c r="M24" s="104"/>
      <c r="N24" s="104"/>
      <c r="O24" s="104">
        <f>E24</f>
        <v>1050</v>
      </c>
      <c r="P24" s="104"/>
      <c r="Q24" s="104"/>
      <c r="R24" s="104"/>
      <c r="S24" s="104"/>
      <c r="T24" s="104"/>
      <c r="U24" s="105"/>
    </row>
    <row r="25" spans="1:21" s="134" customFormat="1" ht="15.6" x14ac:dyDescent="0.3">
      <c r="A25" s="94" t="s">
        <v>188</v>
      </c>
      <c r="B25" s="152" t="s">
        <v>171</v>
      </c>
      <c r="C25" s="102">
        <v>14542</v>
      </c>
      <c r="D25" s="103"/>
      <c r="E25" s="104">
        <v>450</v>
      </c>
      <c r="F25" s="104"/>
      <c r="G25" s="104"/>
      <c r="H25" s="104"/>
      <c r="I25" s="104"/>
      <c r="J25" s="104"/>
      <c r="K25" s="104"/>
      <c r="L25" s="104"/>
      <c r="M25" s="104">
        <f>E25</f>
        <v>450</v>
      </c>
      <c r="N25" s="104"/>
      <c r="O25" s="104"/>
      <c r="P25" s="104"/>
      <c r="Q25" s="104"/>
      <c r="R25" s="104"/>
      <c r="S25" s="104"/>
      <c r="T25" s="104"/>
      <c r="U25" s="105"/>
    </row>
    <row r="26" spans="1:21" s="134" customFormat="1" ht="15.6" x14ac:dyDescent="0.3">
      <c r="A26" s="94" t="s">
        <v>189</v>
      </c>
      <c r="B26" s="152" t="s">
        <v>190</v>
      </c>
      <c r="C26" s="102">
        <v>14543</v>
      </c>
      <c r="D26" s="103"/>
      <c r="E26" s="104">
        <v>845</v>
      </c>
      <c r="F26" s="104">
        <f t="shared" ref="F26:F31" si="0">E26</f>
        <v>845</v>
      </c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5"/>
    </row>
    <row r="27" spans="1:21" s="134" customFormat="1" ht="15.6" x14ac:dyDescent="0.3">
      <c r="A27" s="94" t="s">
        <v>189</v>
      </c>
      <c r="B27" s="152" t="s">
        <v>190</v>
      </c>
      <c r="C27" s="102">
        <v>14544</v>
      </c>
      <c r="D27" s="103"/>
      <c r="E27" s="104">
        <v>1440</v>
      </c>
      <c r="F27" s="104">
        <f t="shared" si="0"/>
        <v>1440</v>
      </c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5"/>
    </row>
    <row r="28" spans="1:21" s="134" customFormat="1" ht="15.6" x14ac:dyDescent="0.3">
      <c r="A28" s="94" t="s">
        <v>189</v>
      </c>
      <c r="B28" s="152" t="s">
        <v>190</v>
      </c>
      <c r="C28" s="102">
        <v>14545</v>
      </c>
      <c r="D28" s="103"/>
      <c r="E28" s="104">
        <v>1340</v>
      </c>
      <c r="F28" s="104">
        <f t="shared" si="0"/>
        <v>1340</v>
      </c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5"/>
    </row>
    <row r="29" spans="1:21" s="134" customFormat="1" ht="15.6" x14ac:dyDescent="0.3">
      <c r="A29" s="94" t="s">
        <v>191</v>
      </c>
      <c r="B29" s="152" t="s">
        <v>192</v>
      </c>
      <c r="C29" s="102">
        <v>14546</v>
      </c>
      <c r="D29" s="103"/>
      <c r="E29" s="104">
        <v>220</v>
      </c>
      <c r="F29" s="104">
        <f t="shared" si="0"/>
        <v>220</v>
      </c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5"/>
    </row>
    <row r="30" spans="1:21" s="134" customFormat="1" ht="15.6" x14ac:dyDescent="0.3">
      <c r="A30" s="94" t="s">
        <v>191</v>
      </c>
      <c r="B30" s="152" t="s">
        <v>190</v>
      </c>
      <c r="C30" s="102">
        <v>14547</v>
      </c>
      <c r="D30" s="103"/>
      <c r="E30" s="104">
        <v>1350</v>
      </c>
      <c r="F30" s="104">
        <f t="shared" si="0"/>
        <v>1350</v>
      </c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5"/>
    </row>
    <row r="31" spans="1:21" s="134" customFormat="1" ht="15.6" x14ac:dyDescent="0.3">
      <c r="A31" s="94" t="s">
        <v>191</v>
      </c>
      <c r="B31" s="152" t="s">
        <v>190</v>
      </c>
      <c r="C31" s="102">
        <v>14548</v>
      </c>
      <c r="D31" s="103"/>
      <c r="E31" s="104">
        <v>1140</v>
      </c>
      <c r="F31" s="104">
        <f t="shared" si="0"/>
        <v>1140</v>
      </c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5"/>
    </row>
    <row r="32" spans="1:21" s="134" customFormat="1" ht="15.6" x14ac:dyDescent="0.3">
      <c r="A32" s="94" t="s">
        <v>193</v>
      </c>
      <c r="B32" s="152" t="s">
        <v>194</v>
      </c>
      <c r="C32" s="102">
        <v>14549</v>
      </c>
      <c r="D32" s="103"/>
      <c r="E32" s="104">
        <v>400</v>
      </c>
      <c r="F32" s="104"/>
      <c r="G32" s="104"/>
      <c r="H32" s="104"/>
      <c r="I32" s="104"/>
      <c r="J32" s="104"/>
      <c r="K32" s="104"/>
      <c r="L32" s="104"/>
      <c r="M32" s="104">
        <f>E32</f>
        <v>400</v>
      </c>
      <c r="N32" s="104"/>
      <c r="O32" s="104"/>
      <c r="P32" s="104"/>
      <c r="Q32" s="104"/>
      <c r="R32" s="104"/>
      <c r="S32" s="104"/>
      <c r="T32" s="104"/>
      <c r="U32" s="105"/>
    </row>
    <row r="33" spans="1:23" s="134" customFormat="1" ht="15.6" x14ac:dyDescent="0.3">
      <c r="A33" s="94" t="s">
        <v>193</v>
      </c>
      <c r="B33" s="152" t="s">
        <v>195</v>
      </c>
      <c r="C33" s="102">
        <v>14550</v>
      </c>
      <c r="D33" s="103"/>
      <c r="E33" s="104">
        <v>550</v>
      </c>
      <c r="F33" s="104"/>
      <c r="G33" s="104"/>
      <c r="H33" s="104"/>
      <c r="I33" s="104"/>
      <c r="J33" s="104"/>
      <c r="K33" s="104"/>
      <c r="L33" s="104"/>
      <c r="M33" s="104"/>
      <c r="N33" s="104"/>
      <c r="O33" s="104">
        <f>E33</f>
        <v>550</v>
      </c>
      <c r="P33" s="104"/>
      <c r="Q33" s="104"/>
      <c r="R33" s="104"/>
      <c r="S33" s="104"/>
      <c r="T33" s="104"/>
      <c r="U33" s="105"/>
    </row>
    <row r="34" spans="1:23" s="142" customFormat="1" ht="16.2" thickBot="1" x14ac:dyDescent="0.35">
      <c r="A34" s="138"/>
      <c r="B34" s="153"/>
      <c r="C34" s="139"/>
      <c r="D34" s="154">
        <v>50000</v>
      </c>
      <c r="E34" s="141">
        <f>SUM(E8:E33)</f>
        <v>21787</v>
      </c>
      <c r="F34" s="141">
        <f t="shared" ref="F34:T34" si="1">SUM(F8:F33)</f>
        <v>12845</v>
      </c>
      <c r="G34" s="141">
        <f t="shared" si="1"/>
        <v>0</v>
      </c>
      <c r="H34" s="141">
        <f t="shared" si="1"/>
        <v>0</v>
      </c>
      <c r="I34" s="141">
        <f t="shared" si="1"/>
        <v>0</v>
      </c>
      <c r="J34" s="141">
        <f t="shared" si="1"/>
        <v>0</v>
      </c>
      <c r="K34" s="141">
        <f t="shared" si="1"/>
        <v>0</v>
      </c>
      <c r="L34" s="141">
        <f t="shared" si="1"/>
        <v>1057</v>
      </c>
      <c r="M34" s="141">
        <f t="shared" si="1"/>
        <v>1650</v>
      </c>
      <c r="N34" s="141">
        <f t="shared" si="1"/>
        <v>0</v>
      </c>
      <c r="O34" s="141">
        <f t="shared" si="1"/>
        <v>1600</v>
      </c>
      <c r="P34" s="141">
        <f t="shared" si="1"/>
        <v>0</v>
      </c>
      <c r="Q34" s="141">
        <f t="shared" si="1"/>
        <v>0</v>
      </c>
      <c r="R34" s="141">
        <f t="shared" si="1"/>
        <v>120</v>
      </c>
      <c r="S34" s="141">
        <f t="shared" si="1"/>
        <v>1000</v>
      </c>
      <c r="T34" s="141">
        <f t="shared" si="1"/>
        <v>2890</v>
      </c>
      <c r="U34" s="141"/>
    </row>
    <row r="35" spans="1:23" s="137" customFormat="1" ht="16.2" thickTop="1" x14ac:dyDescent="0.3">
      <c r="A35" s="139" t="s">
        <v>61</v>
      </c>
      <c r="B35" s="153"/>
      <c r="C35" s="143"/>
      <c r="D35" s="144">
        <f>SUM(D34-E34)</f>
        <v>28213</v>
      </c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6"/>
      <c r="U35" s="147"/>
    </row>
    <row r="36" spans="1:23" ht="15" thickBot="1" x14ac:dyDescent="0.35">
      <c r="A36" s="115"/>
      <c r="B36" s="155"/>
      <c r="C36" s="116"/>
      <c r="D36" s="116"/>
      <c r="E36" s="116"/>
      <c r="F36" s="116"/>
      <c r="G36" s="117"/>
      <c r="H36" s="117"/>
      <c r="I36" s="117"/>
      <c r="J36" s="117"/>
      <c r="K36" s="117"/>
      <c r="L36" s="117"/>
      <c r="M36" s="117"/>
      <c r="N36" s="117"/>
      <c r="O36" s="117"/>
      <c r="Q36" s="117"/>
      <c r="R36" s="117"/>
      <c r="S36" s="117"/>
      <c r="T36" s="117"/>
      <c r="U36" s="117"/>
      <c r="V36" s="117"/>
    </row>
    <row r="37" spans="1:23" s="57" customFormat="1" ht="29.4" thickBot="1" x14ac:dyDescent="0.6">
      <c r="A37" s="118" t="s">
        <v>62</v>
      </c>
      <c r="B37" s="156"/>
      <c r="C37" s="120"/>
      <c r="D37" s="243">
        <f>E34</f>
        <v>21787</v>
      </c>
      <c r="E37" s="244"/>
      <c r="F37" s="121"/>
      <c r="G37" s="122"/>
      <c r="H37" s="123"/>
      <c r="I37" s="124"/>
      <c r="J37" s="122"/>
      <c r="K37" s="122"/>
      <c r="L37" s="122"/>
      <c r="M37" s="122"/>
      <c r="N37" s="122"/>
      <c r="O37" s="122"/>
      <c r="P37"/>
      <c r="Q37" s="122"/>
      <c r="R37" s="122"/>
      <c r="S37" s="122"/>
      <c r="T37" s="122"/>
      <c r="U37" s="122"/>
      <c r="V37" s="122"/>
    </row>
    <row r="38" spans="1:23" ht="21" x14ac:dyDescent="0.4">
      <c r="A38" s="115"/>
      <c r="B38" s="155"/>
      <c r="C38" s="116"/>
      <c r="D38" s="125"/>
      <c r="E38" s="116"/>
      <c r="F38" s="116"/>
      <c r="G38" s="122"/>
      <c r="H38" s="126"/>
      <c r="I38" s="127"/>
      <c r="J38" s="127"/>
      <c r="K38" s="127"/>
      <c r="L38" s="127"/>
      <c r="M38" s="127"/>
      <c r="N38" s="127"/>
      <c r="O38" s="117"/>
      <c r="Q38" s="117"/>
      <c r="R38" s="117"/>
      <c r="S38" s="117"/>
      <c r="T38" s="117"/>
      <c r="U38" s="117"/>
      <c r="V38" s="117"/>
    </row>
    <row r="39" spans="1:23" ht="21" x14ac:dyDescent="0.4">
      <c r="D39" s="129"/>
      <c r="E39" s="129"/>
      <c r="F39" s="112"/>
      <c r="G39" s="122"/>
      <c r="I39" s="129"/>
      <c r="J39" s="129"/>
      <c r="K39" s="129"/>
      <c r="L39" s="129"/>
      <c r="M39" s="112"/>
    </row>
    <row r="40" spans="1:23" x14ac:dyDescent="0.3">
      <c r="A40" s="63"/>
      <c r="B40" s="158" t="s">
        <v>63</v>
      </c>
      <c r="C40" s="64"/>
      <c r="D40" s="64" t="s">
        <v>64</v>
      </c>
      <c r="L40" s="66" t="s">
        <v>65</v>
      </c>
      <c r="M40" s="66"/>
      <c r="N40" s="66"/>
      <c r="P40" s="68"/>
      <c r="S40" s="66" t="s">
        <v>66</v>
      </c>
      <c r="T40" s="67"/>
      <c r="U40" s="68"/>
      <c r="V40" s="66"/>
      <c r="W40" s="68"/>
    </row>
    <row r="41" spans="1:23" x14ac:dyDescent="0.3">
      <c r="A41" s="63"/>
      <c r="B41" s="159" t="s">
        <v>67</v>
      </c>
      <c r="C41" s="69"/>
      <c r="D41" s="69" t="s">
        <v>68</v>
      </c>
      <c r="L41" s="69" t="s">
        <v>69</v>
      </c>
      <c r="M41" s="69"/>
      <c r="N41" s="69"/>
      <c r="P41" s="69"/>
      <c r="S41" s="69" t="s">
        <v>70</v>
      </c>
      <c r="T41" s="69"/>
      <c r="U41" s="69"/>
      <c r="V41" s="69"/>
      <c r="W41" s="69"/>
    </row>
    <row r="42" spans="1:23" x14ac:dyDescent="0.3">
      <c r="A42" s="63"/>
      <c r="B42" s="159" t="s">
        <v>160</v>
      </c>
      <c r="C42" s="69"/>
      <c r="D42" s="69" t="s">
        <v>72</v>
      </c>
      <c r="L42" s="69" t="s">
        <v>73</v>
      </c>
      <c r="M42" s="69"/>
      <c r="N42" s="69"/>
      <c r="P42" s="68"/>
      <c r="S42" s="69" t="s">
        <v>74</v>
      </c>
      <c r="T42" s="60"/>
      <c r="U42" s="68"/>
      <c r="V42" s="69"/>
      <c r="W42" s="68"/>
    </row>
    <row r="43" spans="1:23" x14ac:dyDescent="0.3">
      <c r="A43" s="63"/>
      <c r="B43" s="159" t="s">
        <v>161</v>
      </c>
      <c r="C43" s="69"/>
      <c r="D43" s="69" t="s">
        <v>76</v>
      </c>
      <c r="L43" s="69" t="s">
        <v>77</v>
      </c>
      <c r="M43" s="69"/>
      <c r="N43" s="69"/>
      <c r="P43" s="68"/>
      <c r="S43" s="69" t="s">
        <v>78</v>
      </c>
      <c r="T43" s="60"/>
      <c r="U43" s="68"/>
      <c r="V43" s="69"/>
      <c r="W43" s="68"/>
    </row>
    <row r="44" spans="1:23" s="128" customFormat="1" ht="27" customHeight="1" x14ac:dyDescent="0.3">
      <c r="B44" s="157"/>
      <c r="C44"/>
      <c r="D44"/>
      <c r="F44"/>
      <c r="G44"/>
      <c r="H44"/>
      <c r="I44"/>
      <c r="J44"/>
      <c r="K44"/>
      <c r="M44"/>
      <c r="N44"/>
      <c r="O44"/>
      <c r="P44"/>
      <c r="Q44"/>
      <c r="R44"/>
      <c r="S44"/>
      <c r="T44"/>
      <c r="U44"/>
      <c r="V44"/>
    </row>
    <row r="45" spans="1:23" s="128" customFormat="1" ht="27" customHeight="1" x14ac:dyDescent="0.3">
      <c r="B45" s="157"/>
      <c r="C45"/>
      <c r="D45"/>
      <c r="E45"/>
      <c r="G45"/>
      <c r="H45"/>
      <c r="I45"/>
      <c r="J45"/>
      <c r="K45"/>
      <c r="M45"/>
      <c r="N45"/>
      <c r="O45"/>
      <c r="P45"/>
      <c r="Q45"/>
      <c r="R45"/>
      <c r="S45"/>
      <c r="T45"/>
      <c r="U45"/>
      <c r="V45"/>
    </row>
    <row r="46" spans="1:23" s="128" customFormat="1" ht="27" customHeight="1" x14ac:dyDescent="0.3">
      <c r="B46" s="157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1:23" s="128" customFormat="1" ht="27" customHeight="1" x14ac:dyDescent="0.3">
      <c r="B47" s="15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3" s="128" customFormat="1" ht="27" customHeight="1" x14ac:dyDescent="0.3">
      <c r="B48" s="157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2:22" s="128" customFormat="1" ht="27" customHeight="1" x14ac:dyDescent="0.3">
      <c r="B49" s="157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2:22" s="128" customFormat="1" ht="27" customHeight="1" x14ac:dyDescent="0.3">
      <c r="B50" s="157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2:22" s="128" customFormat="1" ht="27" customHeight="1" x14ac:dyDescent="0.3">
      <c r="B51" s="157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2:22" s="128" customFormat="1" ht="27" customHeight="1" x14ac:dyDescent="0.3">
      <c r="B52" s="157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2:22" s="128" customFormat="1" ht="27" customHeight="1" x14ac:dyDescent="0.3">
      <c r="B53" s="157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2:22" s="128" customFormat="1" ht="27" customHeight="1" x14ac:dyDescent="0.3">
      <c r="B54" s="157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</sheetData>
  <mergeCells count="6">
    <mergeCell ref="D37:E37"/>
    <mergeCell ref="A4:A5"/>
    <mergeCell ref="B4:B5"/>
    <mergeCell ref="C4:C5"/>
    <mergeCell ref="D4:D5"/>
    <mergeCell ref="E4:U4"/>
  </mergeCells>
  <conditionalFormatting sqref="R6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914E-DCB7-43FA-86E7-A65295701D7A}">
  <dimension ref="A1:V48"/>
  <sheetViews>
    <sheetView workbookViewId="0">
      <selection activeCell="B9" sqref="B9"/>
    </sheetView>
  </sheetViews>
  <sheetFormatPr defaultColWidth="9.109375" defaultRowHeight="14.4" x14ac:dyDescent="0.3"/>
  <cols>
    <col min="1" max="1" width="12" style="128" customWidth="1"/>
    <col min="2" max="2" width="64.5546875" customWidth="1"/>
    <col min="3" max="3" width="9.6640625" customWidth="1"/>
    <col min="4" max="5" width="12.6640625" customWidth="1"/>
    <col min="6" max="6" width="12.109375" customWidth="1"/>
    <col min="7" max="7" width="13.109375" customWidth="1"/>
    <col min="8" max="8" width="10.5546875" hidden="1" customWidth="1"/>
    <col min="9" max="9" width="9.5546875" hidden="1" customWidth="1"/>
    <col min="10" max="10" width="11.88671875" hidden="1" customWidth="1"/>
    <col min="11" max="11" width="12" customWidth="1"/>
    <col min="12" max="12" width="11" bestFit="1" customWidth="1"/>
    <col min="13" max="13" width="11.6640625" customWidth="1"/>
    <col min="14" max="14" width="8" hidden="1" customWidth="1"/>
    <col min="15" max="15" width="7.88671875" hidden="1" customWidth="1"/>
    <col min="16" max="16" width="24.5546875" hidden="1" customWidth="1"/>
    <col min="17" max="17" width="0.109375" hidden="1" customWidth="1"/>
    <col min="18" max="18" width="13.109375" customWidth="1"/>
    <col min="19" max="19" width="11.109375" customWidth="1"/>
    <col min="20" max="20" width="11.88671875" customWidth="1"/>
    <col min="21" max="21" width="7.88671875" hidden="1" customWidth="1"/>
  </cols>
  <sheetData>
    <row r="1" spans="1:22" s="5" customFormat="1" ht="31.2" x14ac:dyDescent="0.6">
      <c r="A1" s="75" t="s">
        <v>0</v>
      </c>
      <c r="B1" s="76"/>
      <c r="C1" s="76"/>
      <c r="D1" s="77"/>
      <c r="E1" s="77"/>
      <c r="F1" s="77"/>
      <c r="G1" s="78" t="s">
        <v>1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/>
    </row>
    <row r="2" spans="1:22" s="5" customFormat="1" ht="31.2" x14ac:dyDescent="0.6">
      <c r="A2" s="79" t="s">
        <v>2</v>
      </c>
      <c r="B2" s="80"/>
      <c r="C2" s="76"/>
      <c r="D2" s="77"/>
      <c r="E2" s="81" t="s">
        <v>131</v>
      </c>
      <c r="F2" s="81"/>
      <c r="G2" s="81"/>
      <c r="H2" s="82"/>
      <c r="I2" s="82"/>
      <c r="J2" s="82"/>
      <c r="K2" s="82"/>
      <c r="L2" s="82"/>
      <c r="M2" s="82"/>
      <c r="N2" s="82"/>
      <c r="O2" s="77"/>
      <c r="P2" s="77"/>
      <c r="Q2" s="77"/>
      <c r="R2" s="83">
        <v>45413</v>
      </c>
      <c r="S2" s="77"/>
      <c r="T2" s="77"/>
      <c r="U2" s="77"/>
      <c r="V2"/>
    </row>
    <row r="3" spans="1:22" s="5" customFormat="1" ht="23.25" customHeight="1" thickBot="1" x14ac:dyDescent="0.35">
      <c r="A3" s="84"/>
      <c r="B3" s="76"/>
      <c r="C3" s="76"/>
      <c r="D3" s="77" t="s">
        <v>4</v>
      </c>
      <c r="E3" s="82"/>
      <c r="F3" s="82"/>
      <c r="G3" s="85"/>
      <c r="H3" s="85"/>
      <c r="I3" s="85"/>
      <c r="J3" s="85"/>
      <c r="K3" s="81"/>
      <c r="L3" s="82"/>
      <c r="M3" s="85"/>
      <c r="N3" s="82"/>
      <c r="O3" s="86"/>
      <c r="P3" s="86"/>
      <c r="Q3" s="87"/>
      <c r="R3" s="87"/>
      <c r="S3" s="87"/>
      <c r="T3" s="87"/>
      <c r="U3" s="87"/>
      <c r="V3"/>
    </row>
    <row r="4" spans="1:22" s="12" customFormat="1" ht="15.75" customHeight="1" x14ac:dyDescent="0.3">
      <c r="A4" s="254" t="s">
        <v>5</v>
      </c>
      <c r="B4" s="258" t="s">
        <v>6</v>
      </c>
      <c r="C4" s="258" t="s">
        <v>7</v>
      </c>
      <c r="D4" s="258" t="s">
        <v>8</v>
      </c>
      <c r="E4" s="260" t="s">
        <v>9</v>
      </c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2"/>
      <c r="V4"/>
    </row>
    <row r="5" spans="1:22" s="12" customFormat="1" ht="57.75" customHeight="1" thickBot="1" x14ac:dyDescent="0.35">
      <c r="A5" s="255"/>
      <c r="B5" s="259"/>
      <c r="C5" s="259"/>
      <c r="D5" s="259"/>
      <c r="E5" s="88" t="s">
        <v>10</v>
      </c>
      <c r="F5" s="88" t="s">
        <v>11</v>
      </c>
      <c r="G5" s="88" t="s">
        <v>12</v>
      </c>
      <c r="H5" s="88" t="s">
        <v>13</v>
      </c>
      <c r="I5" s="88" t="s">
        <v>14</v>
      </c>
      <c r="J5" s="88" t="s">
        <v>15</v>
      </c>
      <c r="K5" s="88" t="s">
        <v>117</v>
      </c>
      <c r="L5" s="88" t="s">
        <v>17</v>
      </c>
      <c r="M5" s="88" t="s">
        <v>18</v>
      </c>
      <c r="N5" s="88" t="s">
        <v>19</v>
      </c>
      <c r="O5" s="88" t="s">
        <v>20</v>
      </c>
      <c r="P5" s="88" t="s">
        <v>21</v>
      </c>
      <c r="Q5" s="88" t="s">
        <v>22</v>
      </c>
      <c r="R5" s="88" t="s">
        <v>23</v>
      </c>
      <c r="S5" s="88" t="s">
        <v>24</v>
      </c>
      <c r="T5" s="88" t="s">
        <v>25</v>
      </c>
      <c r="U5" s="88" t="s">
        <v>26</v>
      </c>
      <c r="V5"/>
    </row>
    <row r="6" spans="1:22" s="12" customFormat="1" ht="16.5" customHeight="1" x14ac:dyDescent="0.3">
      <c r="A6" s="89"/>
      <c r="B6" s="17" t="s">
        <v>27</v>
      </c>
      <c r="C6" s="90"/>
      <c r="D6" s="91"/>
      <c r="E6" s="92"/>
      <c r="F6" s="93">
        <v>524102</v>
      </c>
      <c r="G6" s="93">
        <v>525722</v>
      </c>
      <c r="H6" s="93">
        <v>524101</v>
      </c>
      <c r="I6" s="93">
        <v>524201</v>
      </c>
      <c r="J6" s="93">
        <v>525713</v>
      </c>
      <c r="K6" s="93">
        <v>525724</v>
      </c>
      <c r="L6" s="93">
        <v>522983</v>
      </c>
      <c r="M6" s="93">
        <v>524200</v>
      </c>
      <c r="N6" s="93">
        <v>521101</v>
      </c>
      <c r="O6" s="93">
        <v>525714</v>
      </c>
      <c r="P6" s="93">
        <v>524304</v>
      </c>
      <c r="Q6" s="93">
        <v>524301</v>
      </c>
      <c r="R6" s="93">
        <v>525717</v>
      </c>
      <c r="S6" s="93">
        <v>525798</v>
      </c>
      <c r="T6" s="93">
        <v>524204</v>
      </c>
      <c r="U6" s="93">
        <v>511103</v>
      </c>
      <c r="V6"/>
    </row>
    <row r="7" spans="1:22" s="29" customFormat="1" ht="15.6" x14ac:dyDescent="0.3">
      <c r="A7" s="94"/>
      <c r="B7" s="95" t="s">
        <v>118</v>
      </c>
      <c r="C7" s="96"/>
      <c r="D7" s="97">
        <v>50000</v>
      </c>
      <c r="E7" s="98"/>
      <c r="F7" s="98"/>
      <c r="G7" s="98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100"/>
      <c r="T7" s="100"/>
      <c r="U7" s="100"/>
      <c r="V7"/>
    </row>
    <row r="8" spans="1:22" s="134" customFormat="1" ht="15.6" x14ac:dyDescent="0.3">
      <c r="A8" s="94" t="s">
        <v>132</v>
      </c>
      <c r="B8" s="101" t="s">
        <v>133</v>
      </c>
      <c r="C8" s="102">
        <v>18031</v>
      </c>
      <c r="D8" s="103"/>
      <c r="E8" s="104">
        <v>1200</v>
      </c>
      <c r="F8" s="104"/>
      <c r="G8" s="104"/>
      <c r="H8" s="104"/>
      <c r="I8" s="104"/>
      <c r="J8" s="104"/>
      <c r="K8" s="104">
        <f>E8</f>
        <v>1200</v>
      </c>
      <c r="L8" s="104"/>
      <c r="M8" s="104"/>
      <c r="N8" s="104"/>
      <c r="O8" s="104"/>
      <c r="P8" s="104"/>
      <c r="Q8" s="104"/>
      <c r="R8" s="104"/>
      <c r="S8" s="104"/>
      <c r="T8" s="104"/>
      <c r="U8" s="105"/>
    </row>
    <row r="9" spans="1:22" s="134" customFormat="1" ht="15.6" x14ac:dyDescent="0.3">
      <c r="A9" s="94" t="s">
        <v>134</v>
      </c>
      <c r="B9" s="101" t="s">
        <v>135</v>
      </c>
      <c r="C9" s="102">
        <v>18032</v>
      </c>
      <c r="D9" s="103"/>
      <c r="E9" s="104">
        <v>230</v>
      </c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>
        <f>E9</f>
        <v>230</v>
      </c>
      <c r="S9" s="104"/>
      <c r="T9" s="104"/>
      <c r="U9" s="105"/>
    </row>
    <row r="10" spans="1:22" s="134" customFormat="1" ht="15.6" x14ac:dyDescent="0.3">
      <c r="A10" s="94" t="s">
        <v>136</v>
      </c>
      <c r="B10" s="101" t="s">
        <v>137</v>
      </c>
      <c r="C10" s="102">
        <v>18033</v>
      </c>
      <c r="D10" s="103"/>
      <c r="E10" s="104">
        <v>400</v>
      </c>
      <c r="F10" s="104"/>
      <c r="G10" s="104"/>
      <c r="H10" s="104"/>
      <c r="I10" s="104"/>
      <c r="J10" s="104"/>
      <c r="K10" s="104"/>
      <c r="L10" s="104"/>
      <c r="M10" s="104">
        <f>E10</f>
        <v>400</v>
      </c>
      <c r="N10" s="104"/>
      <c r="O10" s="104"/>
      <c r="P10" s="104"/>
      <c r="Q10" s="104"/>
      <c r="R10" s="104"/>
      <c r="S10" s="104"/>
      <c r="T10" s="104"/>
      <c r="U10" s="105"/>
    </row>
    <row r="11" spans="1:22" s="134" customFormat="1" ht="15.6" x14ac:dyDescent="0.3">
      <c r="A11" s="94" t="s">
        <v>136</v>
      </c>
      <c r="B11" s="101" t="s">
        <v>138</v>
      </c>
      <c r="C11" s="102">
        <v>18034</v>
      </c>
      <c r="D11" s="103"/>
      <c r="E11" s="104">
        <v>6780</v>
      </c>
      <c r="F11" s="104">
        <f>E11</f>
        <v>6780</v>
      </c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5"/>
    </row>
    <row r="12" spans="1:22" s="134" customFormat="1" ht="15.6" x14ac:dyDescent="0.3">
      <c r="A12" s="94" t="s">
        <v>139</v>
      </c>
      <c r="B12" s="101" t="s">
        <v>140</v>
      </c>
      <c r="C12" s="102">
        <v>18035</v>
      </c>
      <c r="D12" s="103"/>
      <c r="E12" s="104">
        <v>450</v>
      </c>
      <c r="F12" s="104">
        <f>E12</f>
        <v>450</v>
      </c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2" s="134" customFormat="1" ht="15.6" x14ac:dyDescent="0.3">
      <c r="A13" s="94" t="s">
        <v>141</v>
      </c>
      <c r="B13" s="101" t="s">
        <v>142</v>
      </c>
      <c r="C13" s="102">
        <v>18036</v>
      </c>
      <c r="D13" s="103"/>
      <c r="E13" s="104">
        <v>375</v>
      </c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>
        <f>E13</f>
        <v>375</v>
      </c>
      <c r="T13" s="104"/>
      <c r="U13" s="105"/>
    </row>
    <row r="14" spans="1:22" s="137" customFormat="1" ht="15.6" x14ac:dyDescent="0.3">
      <c r="A14" s="22" t="s">
        <v>143</v>
      </c>
      <c r="B14" s="101" t="s">
        <v>137</v>
      </c>
      <c r="C14" s="102">
        <v>18037</v>
      </c>
      <c r="D14" s="25"/>
      <c r="E14" s="25">
        <v>400</v>
      </c>
      <c r="F14" s="25"/>
      <c r="G14" s="25"/>
      <c r="H14" s="135"/>
      <c r="I14" s="135"/>
      <c r="J14" s="135"/>
      <c r="K14" s="135"/>
      <c r="L14" s="135"/>
      <c r="M14" s="135">
        <f>E14</f>
        <v>400</v>
      </c>
      <c r="N14" s="135"/>
      <c r="O14" s="135"/>
      <c r="P14" s="135"/>
      <c r="Q14" s="135"/>
      <c r="R14" s="135"/>
      <c r="S14" s="136"/>
      <c r="T14" s="136"/>
      <c r="U14" s="136"/>
    </row>
    <row r="15" spans="1:22" s="137" customFormat="1" ht="15.6" x14ac:dyDescent="0.3">
      <c r="A15" s="22" t="s">
        <v>144</v>
      </c>
      <c r="B15" s="101" t="s">
        <v>140</v>
      </c>
      <c r="C15" s="102">
        <v>18038</v>
      </c>
      <c r="D15" s="25"/>
      <c r="E15" s="25">
        <v>740</v>
      </c>
      <c r="F15" s="25">
        <f>E15</f>
        <v>740</v>
      </c>
      <c r="G15" s="2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6"/>
      <c r="T15" s="136"/>
      <c r="U15" s="136"/>
    </row>
    <row r="16" spans="1:22" s="137" customFormat="1" ht="15.6" x14ac:dyDescent="0.3">
      <c r="A16" s="22" t="s">
        <v>145</v>
      </c>
      <c r="B16" s="101" t="s">
        <v>140</v>
      </c>
      <c r="C16" s="102">
        <v>18039</v>
      </c>
      <c r="D16" s="25"/>
      <c r="E16" s="25">
        <v>340</v>
      </c>
      <c r="F16" s="25">
        <f>E16</f>
        <v>340</v>
      </c>
      <c r="G16" s="2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6"/>
      <c r="T16" s="136"/>
      <c r="U16" s="136"/>
    </row>
    <row r="17" spans="1:22" s="134" customFormat="1" ht="15.6" x14ac:dyDescent="0.3">
      <c r="A17" s="94" t="s">
        <v>145</v>
      </c>
      <c r="B17" s="101" t="s">
        <v>146</v>
      </c>
      <c r="C17" s="102">
        <v>18040</v>
      </c>
      <c r="D17" s="103"/>
      <c r="E17" s="104">
        <v>500</v>
      </c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>
        <f>E17</f>
        <v>500</v>
      </c>
      <c r="U17" s="105"/>
    </row>
    <row r="18" spans="1:22" s="134" customFormat="1" ht="15.6" x14ac:dyDescent="0.3">
      <c r="A18" s="94" t="s">
        <v>147</v>
      </c>
      <c r="B18" s="101" t="s">
        <v>148</v>
      </c>
      <c r="C18" s="102">
        <v>18041</v>
      </c>
      <c r="D18" s="103"/>
      <c r="E18" s="104">
        <v>3530</v>
      </c>
      <c r="F18" s="104"/>
      <c r="G18" s="104"/>
      <c r="H18" s="104"/>
      <c r="I18" s="104"/>
      <c r="J18" s="104"/>
      <c r="K18" s="104"/>
      <c r="L18" s="104">
        <f>E18</f>
        <v>3530</v>
      </c>
      <c r="M18" s="104"/>
      <c r="N18" s="104"/>
      <c r="O18" s="104"/>
      <c r="P18" s="104"/>
      <c r="Q18" s="104"/>
      <c r="R18" s="104"/>
      <c r="S18" s="104"/>
      <c r="T18" s="104"/>
      <c r="U18" s="105"/>
    </row>
    <row r="19" spans="1:22" s="134" customFormat="1" ht="15.6" x14ac:dyDescent="0.3">
      <c r="A19" s="94" t="s">
        <v>149</v>
      </c>
      <c r="B19" s="101" t="s">
        <v>150</v>
      </c>
      <c r="C19" s="102">
        <v>18042</v>
      </c>
      <c r="D19" s="103"/>
      <c r="E19" s="104">
        <v>147</v>
      </c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>
        <f>E19</f>
        <v>147</v>
      </c>
      <c r="S19" s="104"/>
      <c r="T19" s="104"/>
      <c r="U19" s="105"/>
    </row>
    <row r="20" spans="1:22" s="134" customFormat="1" ht="15.6" x14ac:dyDescent="0.3">
      <c r="A20" s="94" t="s">
        <v>151</v>
      </c>
      <c r="B20" s="101" t="s">
        <v>152</v>
      </c>
      <c r="C20" s="102">
        <v>18043</v>
      </c>
      <c r="D20" s="103"/>
      <c r="E20" s="104">
        <v>290</v>
      </c>
      <c r="F20" s="104">
        <f>E20</f>
        <v>290</v>
      </c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5"/>
    </row>
    <row r="21" spans="1:22" s="134" customFormat="1" ht="15.6" x14ac:dyDescent="0.3">
      <c r="A21" s="94" t="s">
        <v>151</v>
      </c>
      <c r="B21" s="101" t="s">
        <v>137</v>
      </c>
      <c r="C21" s="102">
        <v>18044</v>
      </c>
      <c r="D21" s="103"/>
      <c r="E21" s="104">
        <v>500</v>
      </c>
      <c r="F21" s="104"/>
      <c r="G21" s="104"/>
      <c r="H21" s="104"/>
      <c r="I21" s="104"/>
      <c r="J21" s="104"/>
      <c r="K21" s="104"/>
      <c r="L21" s="104"/>
      <c r="M21" s="104">
        <f>E21</f>
        <v>500</v>
      </c>
      <c r="N21" s="104"/>
      <c r="O21" s="104"/>
      <c r="P21" s="104"/>
      <c r="Q21" s="104"/>
      <c r="R21" s="104"/>
      <c r="S21" s="104"/>
      <c r="T21" s="104"/>
      <c r="U21" s="105"/>
    </row>
    <row r="22" spans="1:22" s="134" customFormat="1" ht="15.6" x14ac:dyDescent="0.3">
      <c r="A22" s="94" t="s">
        <v>153</v>
      </c>
      <c r="B22" s="101" t="s">
        <v>154</v>
      </c>
      <c r="C22" s="102">
        <v>18045</v>
      </c>
      <c r="D22" s="103"/>
      <c r="E22" s="104">
        <v>550</v>
      </c>
      <c r="F22" s="104"/>
      <c r="G22" s="104">
        <f>E22</f>
        <v>550</v>
      </c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5"/>
    </row>
    <row r="23" spans="1:22" s="134" customFormat="1" ht="15.6" x14ac:dyDescent="0.3">
      <c r="A23" s="94" t="s">
        <v>153</v>
      </c>
      <c r="B23" s="101" t="s">
        <v>155</v>
      </c>
      <c r="C23" s="102">
        <v>18046</v>
      </c>
      <c r="D23" s="103"/>
      <c r="E23" s="104">
        <v>2050</v>
      </c>
      <c r="F23" s="104"/>
      <c r="G23" s="104">
        <f>E23</f>
        <v>2050</v>
      </c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5"/>
    </row>
    <row r="24" spans="1:22" s="134" customFormat="1" ht="15.6" x14ac:dyDescent="0.3">
      <c r="A24" s="94" t="s">
        <v>156</v>
      </c>
      <c r="B24" s="101" t="s">
        <v>137</v>
      </c>
      <c r="C24" s="102">
        <v>18047</v>
      </c>
      <c r="D24" s="103"/>
      <c r="E24" s="104">
        <v>400</v>
      </c>
      <c r="F24" s="104"/>
      <c r="G24" s="104"/>
      <c r="H24" s="104"/>
      <c r="I24" s="104"/>
      <c r="J24" s="104"/>
      <c r="K24" s="104"/>
      <c r="L24" s="104"/>
      <c r="M24" s="104">
        <f>E24</f>
        <v>400</v>
      </c>
      <c r="N24" s="104"/>
      <c r="O24" s="104"/>
      <c r="P24" s="104"/>
      <c r="Q24" s="104"/>
      <c r="R24" s="104"/>
      <c r="S24" s="104"/>
      <c r="T24" s="104"/>
      <c r="U24" s="105"/>
    </row>
    <row r="25" spans="1:22" s="134" customFormat="1" ht="15.6" x14ac:dyDescent="0.3">
      <c r="A25" s="94" t="s">
        <v>156</v>
      </c>
      <c r="B25" s="101" t="s">
        <v>146</v>
      </c>
      <c r="C25" s="102">
        <v>18048</v>
      </c>
      <c r="D25" s="103"/>
      <c r="E25" s="104">
        <v>640</v>
      </c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>
        <f>E25</f>
        <v>640</v>
      </c>
      <c r="U25" s="105"/>
    </row>
    <row r="26" spans="1:22" s="134" customFormat="1" ht="15.6" x14ac:dyDescent="0.3">
      <c r="A26" s="94" t="str">
        <f>A25</f>
        <v>2024.04.29</v>
      </c>
      <c r="B26" s="101" t="s">
        <v>157</v>
      </c>
      <c r="C26" s="102">
        <v>18049</v>
      </c>
      <c r="D26" s="103"/>
      <c r="E26" s="104">
        <v>5500</v>
      </c>
      <c r="F26" s="104"/>
      <c r="G26" s="104"/>
      <c r="H26" s="104"/>
      <c r="I26" s="104"/>
      <c r="J26" s="104"/>
      <c r="K26" s="104"/>
      <c r="L26" s="104"/>
      <c r="M26" s="104">
        <f>E26</f>
        <v>5500</v>
      </c>
      <c r="N26" s="104"/>
      <c r="O26" s="104"/>
      <c r="P26" s="104"/>
      <c r="Q26" s="104"/>
      <c r="R26" s="104"/>
      <c r="S26" s="104"/>
      <c r="T26" s="104"/>
      <c r="U26" s="105"/>
    </row>
    <row r="27" spans="1:22" s="134" customFormat="1" ht="15.6" x14ac:dyDescent="0.3">
      <c r="A27" s="94" t="s">
        <v>158</v>
      </c>
      <c r="B27" s="101" t="s">
        <v>159</v>
      </c>
      <c r="C27" s="102">
        <v>18050</v>
      </c>
      <c r="D27" s="103"/>
      <c r="E27" s="104">
        <v>200</v>
      </c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>
        <f>E27</f>
        <v>200</v>
      </c>
      <c r="S27" s="104"/>
      <c r="T27" s="104"/>
      <c r="U27" s="105"/>
    </row>
    <row r="28" spans="1:22" s="142" customFormat="1" ht="16.2" thickBot="1" x14ac:dyDescent="0.35">
      <c r="A28" s="138"/>
      <c r="B28" s="139"/>
      <c r="C28" s="139"/>
      <c r="D28" s="140">
        <v>50000</v>
      </c>
      <c r="E28" s="141">
        <f>SUM(E8:E27)</f>
        <v>25222</v>
      </c>
      <c r="F28" s="141">
        <f t="shared" ref="F28:U28" si="0">SUM(F8:F27)</f>
        <v>8600</v>
      </c>
      <c r="G28" s="141">
        <f t="shared" si="0"/>
        <v>2600</v>
      </c>
      <c r="H28" s="141">
        <f t="shared" si="0"/>
        <v>0</v>
      </c>
      <c r="I28" s="141">
        <f t="shared" si="0"/>
        <v>0</v>
      </c>
      <c r="J28" s="141">
        <f t="shared" si="0"/>
        <v>0</v>
      </c>
      <c r="K28" s="141">
        <f t="shared" si="0"/>
        <v>1200</v>
      </c>
      <c r="L28" s="141">
        <f t="shared" si="0"/>
        <v>3530</v>
      </c>
      <c r="M28" s="141">
        <f t="shared" si="0"/>
        <v>7200</v>
      </c>
      <c r="N28" s="141">
        <f t="shared" si="0"/>
        <v>0</v>
      </c>
      <c r="O28" s="141">
        <f t="shared" si="0"/>
        <v>0</v>
      </c>
      <c r="P28" s="141">
        <f t="shared" si="0"/>
        <v>0</v>
      </c>
      <c r="Q28" s="141">
        <f t="shared" si="0"/>
        <v>0</v>
      </c>
      <c r="R28" s="141">
        <f t="shared" si="0"/>
        <v>577</v>
      </c>
      <c r="S28" s="141">
        <f t="shared" si="0"/>
        <v>375</v>
      </c>
      <c r="T28" s="141">
        <f t="shared" si="0"/>
        <v>1140</v>
      </c>
      <c r="U28" s="141">
        <f t="shared" si="0"/>
        <v>0</v>
      </c>
    </row>
    <row r="29" spans="1:22" s="137" customFormat="1" ht="16.2" thickTop="1" x14ac:dyDescent="0.3">
      <c r="A29" s="139" t="s">
        <v>61</v>
      </c>
      <c r="B29" s="139"/>
      <c r="C29" s="143"/>
      <c r="D29" s="144">
        <f>SUM(D28-E28)</f>
        <v>24778</v>
      </c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6"/>
      <c r="U29" s="147"/>
    </row>
    <row r="30" spans="1:22" ht="15" thickBot="1" x14ac:dyDescent="0.35">
      <c r="A30" s="115"/>
      <c r="B30" s="116"/>
      <c r="C30" s="116"/>
      <c r="D30" s="116"/>
      <c r="E30" s="116"/>
      <c r="F30" s="116"/>
      <c r="G30" s="117"/>
      <c r="H30" s="117"/>
      <c r="I30" s="117"/>
      <c r="J30" s="117"/>
      <c r="K30" s="117"/>
      <c r="L30" s="117"/>
      <c r="M30" s="117"/>
      <c r="N30" s="117"/>
      <c r="O30" s="117"/>
      <c r="Q30" s="117"/>
      <c r="R30" s="117"/>
      <c r="S30" s="117"/>
      <c r="T30" s="117"/>
      <c r="U30" s="117"/>
      <c r="V30" s="117"/>
    </row>
    <row r="31" spans="1:22" s="57" customFormat="1" ht="29.4" thickBot="1" x14ac:dyDescent="0.6">
      <c r="A31" s="118" t="s">
        <v>62</v>
      </c>
      <c r="B31" s="119"/>
      <c r="C31" s="120"/>
      <c r="D31" s="243">
        <f>E28</f>
        <v>25222</v>
      </c>
      <c r="E31" s="244"/>
      <c r="F31" s="121"/>
      <c r="G31" s="122"/>
      <c r="H31" s="123"/>
      <c r="I31" s="124"/>
      <c r="J31" s="122"/>
      <c r="K31" s="122"/>
      <c r="L31" s="122"/>
      <c r="M31" s="122"/>
      <c r="N31" s="122"/>
      <c r="O31" s="122"/>
      <c r="P31"/>
      <c r="Q31" s="122"/>
      <c r="R31" s="122"/>
      <c r="S31" s="122"/>
      <c r="T31" s="122"/>
      <c r="U31" s="122"/>
      <c r="V31" s="122"/>
    </row>
    <row r="32" spans="1:22" ht="21" x14ac:dyDescent="0.4">
      <c r="A32" s="115"/>
      <c r="B32" s="116"/>
      <c r="C32" s="116"/>
      <c r="D32" s="125"/>
      <c r="E32" s="116"/>
      <c r="F32" s="116"/>
      <c r="G32" s="122"/>
      <c r="H32" s="126"/>
      <c r="I32" s="127"/>
      <c r="J32" s="127"/>
      <c r="K32" s="127"/>
      <c r="L32" s="127"/>
      <c r="M32" s="127"/>
      <c r="N32" s="127"/>
      <c r="O32" s="117"/>
      <c r="Q32" s="117"/>
      <c r="R32" s="117"/>
      <c r="S32" s="117"/>
      <c r="T32" s="117"/>
      <c r="U32" s="117"/>
      <c r="V32" s="117"/>
    </row>
    <row r="33" spans="1:22" ht="21" x14ac:dyDescent="0.4">
      <c r="D33" s="129"/>
      <c r="E33" s="129"/>
      <c r="F33" s="129"/>
      <c r="G33" s="122"/>
      <c r="I33" s="129"/>
      <c r="J33" s="129"/>
      <c r="K33" s="129"/>
      <c r="L33" s="129"/>
      <c r="M33" s="112"/>
    </row>
    <row r="34" spans="1:22" x14ac:dyDescent="0.3">
      <c r="A34" s="63"/>
      <c r="B34" s="64" t="s">
        <v>63</v>
      </c>
      <c r="C34" s="64"/>
      <c r="D34" s="64" t="s">
        <v>64</v>
      </c>
      <c r="H34" s="66"/>
      <c r="J34" s="68"/>
      <c r="K34" s="66" t="s">
        <v>65</v>
      </c>
      <c r="L34" s="67"/>
      <c r="M34" s="66"/>
      <c r="N34" s="67"/>
      <c r="O34" s="68"/>
      <c r="P34" s="66" t="s">
        <v>66</v>
      </c>
      <c r="Q34" s="68"/>
      <c r="S34" s="66" t="s">
        <v>66</v>
      </c>
      <c r="T34" s="68"/>
      <c r="U34" s="68"/>
    </row>
    <row r="35" spans="1:22" x14ac:dyDescent="0.3">
      <c r="A35" s="63"/>
      <c r="B35" s="69" t="s">
        <v>67</v>
      </c>
      <c r="C35" s="69"/>
      <c r="D35" s="69" t="s">
        <v>68</v>
      </c>
      <c r="H35" s="69"/>
      <c r="J35" s="69"/>
      <c r="K35" s="69" t="s">
        <v>69</v>
      </c>
      <c r="L35" s="69"/>
      <c r="M35" s="69"/>
      <c r="N35" s="69"/>
      <c r="O35" s="69"/>
      <c r="P35" s="69" t="s">
        <v>70</v>
      </c>
      <c r="Q35" s="69"/>
      <c r="S35" s="69" t="s">
        <v>70</v>
      </c>
      <c r="T35" s="68"/>
      <c r="U35" s="68"/>
    </row>
    <row r="36" spans="1:22" x14ac:dyDescent="0.3">
      <c r="A36" s="63"/>
      <c r="B36" s="69" t="s">
        <v>160</v>
      </c>
      <c r="C36" s="69"/>
      <c r="D36" s="69" t="s">
        <v>72</v>
      </c>
      <c r="H36" s="69"/>
      <c r="J36" s="68"/>
      <c r="K36" s="69" t="s">
        <v>73</v>
      </c>
      <c r="L36" s="60"/>
      <c r="M36" s="69"/>
      <c r="N36" s="60"/>
      <c r="O36" s="68"/>
      <c r="P36" s="69" t="s">
        <v>74</v>
      </c>
      <c r="Q36" s="68"/>
      <c r="S36" s="69" t="s">
        <v>74</v>
      </c>
      <c r="T36" s="68"/>
      <c r="U36" s="68"/>
    </row>
    <row r="37" spans="1:22" x14ac:dyDescent="0.3">
      <c r="A37" s="63"/>
      <c r="B37" s="69" t="s">
        <v>161</v>
      </c>
      <c r="C37" s="69"/>
      <c r="D37" s="69" t="s">
        <v>76</v>
      </c>
      <c r="H37" s="69"/>
      <c r="J37" s="68"/>
      <c r="K37" s="69" t="s">
        <v>77</v>
      </c>
      <c r="L37" s="60"/>
      <c r="M37" s="69"/>
      <c r="N37" s="60"/>
      <c r="O37" s="68"/>
      <c r="P37" s="69" t="s">
        <v>78</v>
      </c>
      <c r="Q37" s="68"/>
      <c r="S37" s="69" t="s">
        <v>78</v>
      </c>
      <c r="T37" s="68"/>
      <c r="U37" s="68"/>
    </row>
    <row r="38" spans="1:22" s="128" customFormat="1" ht="27" customHeight="1" x14ac:dyDescent="0.3">
      <c r="B38"/>
      <c r="C38"/>
      <c r="D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2" s="128" customFormat="1" ht="27" customHeight="1" x14ac:dyDescent="0.3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1:22" s="128" customFormat="1" ht="27" customHeight="1" x14ac:dyDescent="0.3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1:22" s="128" customFormat="1" ht="27" customHeight="1" x14ac:dyDescent="0.3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1:22" s="128" customFormat="1" ht="27" customHeight="1" x14ac:dyDescent="0.3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1:22" s="128" customFormat="1" ht="27" customHeight="1" x14ac:dyDescent="0.3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1:22" s="128" customFormat="1" ht="27" customHeight="1" x14ac:dyDescent="0.3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2" s="128" customFormat="1" ht="27" customHeight="1" x14ac:dyDescent="0.3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 s="128" customFormat="1" ht="27" customHeight="1" x14ac:dyDescent="0.3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1:22" s="128" customFormat="1" ht="27" customHeight="1" x14ac:dyDescent="0.3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 s="128" customFormat="1" ht="27" customHeight="1" x14ac:dyDescent="0.3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</sheetData>
  <mergeCells count="6">
    <mergeCell ref="D31:E31"/>
    <mergeCell ref="A4:A5"/>
    <mergeCell ref="B4:B5"/>
    <mergeCell ref="C4:C5"/>
    <mergeCell ref="D4:D5"/>
    <mergeCell ref="E4:U4"/>
  </mergeCells>
  <conditionalFormatting sqref="R6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2584-C07B-4945-9521-980A806222D9}">
  <dimension ref="A1:V38"/>
  <sheetViews>
    <sheetView workbookViewId="0">
      <selection activeCell="B8" sqref="B8"/>
    </sheetView>
  </sheetViews>
  <sheetFormatPr defaultColWidth="9.109375" defaultRowHeight="14.4" x14ac:dyDescent="0.3"/>
  <cols>
    <col min="1" max="1" width="14.5546875" style="128" customWidth="1"/>
    <col min="2" max="2" width="67.5546875" bestFit="1" customWidth="1"/>
    <col min="3" max="3" width="13.109375" customWidth="1"/>
    <col min="4" max="4" width="14.109375" customWidth="1"/>
    <col min="5" max="5" width="13.5546875" customWidth="1"/>
    <col min="6" max="6" width="13.44140625" customWidth="1"/>
    <col min="7" max="7" width="13.6640625" hidden="1" customWidth="1"/>
    <col min="8" max="8" width="11.5546875" hidden="1" customWidth="1"/>
    <col min="9" max="9" width="10.44140625" hidden="1" customWidth="1"/>
    <col min="10" max="10" width="12" hidden="1" customWidth="1"/>
    <col min="11" max="11" width="12.5546875" hidden="1" customWidth="1"/>
    <col min="12" max="13" width="11.33203125" hidden="1" customWidth="1"/>
    <col min="14" max="14" width="9.33203125" hidden="1" customWidth="1"/>
    <col min="15" max="15" width="10.44140625" hidden="1" customWidth="1"/>
    <col min="16" max="16" width="9.33203125" hidden="1" customWidth="1"/>
    <col min="17" max="17" width="10.6640625" hidden="1" customWidth="1"/>
    <col min="18" max="18" width="13" hidden="1" customWidth="1"/>
    <col min="19" max="19" width="13.6640625" bestFit="1" customWidth="1"/>
    <col min="20" max="20" width="12.44140625" customWidth="1"/>
    <col min="21" max="21" width="13.6640625" hidden="1" customWidth="1"/>
  </cols>
  <sheetData>
    <row r="1" spans="1:22" s="5" customFormat="1" ht="31.2" x14ac:dyDescent="0.6">
      <c r="A1" s="75" t="s">
        <v>0</v>
      </c>
      <c r="B1" s="76"/>
      <c r="C1" s="76"/>
      <c r="D1" s="77"/>
      <c r="E1" s="77"/>
      <c r="F1" s="77"/>
      <c r="G1" s="78" t="s">
        <v>1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/>
    </row>
    <row r="2" spans="1:22" s="5" customFormat="1" ht="31.2" x14ac:dyDescent="0.6">
      <c r="A2" s="79" t="s">
        <v>2</v>
      </c>
      <c r="B2" s="80"/>
      <c r="C2" s="76"/>
      <c r="D2" s="77"/>
      <c r="E2" s="81" t="s">
        <v>128</v>
      </c>
      <c r="F2" s="81"/>
      <c r="G2" s="81"/>
      <c r="H2" s="82"/>
      <c r="I2" s="82"/>
      <c r="J2" s="82"/>
      <c r="K2" s="82"/>
      <c r="L2" s="82"/>
      <c r="M2" s="82"/>
      <c r="N2" s="82"/>
      <c r="O2" s="77"/>
      <c r="P2" s="77"/>
      <c r="Q2" s="77"/>
      <c r="R2" s="83">
        <v>45372</v>
      </c>
      <c r="S2" s="77"/>
      <c r="T2" s="77"/>
      <c r="U2" s="77"/>
      <c r="V2"/>
    </row>
    <row r="3" spans="1:22" s="5" customFormat="1" ht="26.4" thickBot="1" x14ac:dyDescent="0.35">
      <c r="A3" s="84"/>
      <c r="B3" s="76"/>
      <c r="C3" s="76"/>
      <c r="D3" s="77" t="s">
        <v>4</v>
      </c>
      <c r="E3" s="82"/>
      <c r="F3" s="82"/>
      <c r="G3" s="85"/>
      <c r="H3" s="85"/>
      <c r="I3" s="85"/>
      <c r="J3" s="85"/>
      <c r="K3" s="81"/>
      <c r="L3" s="82"/>
      <c r="M3" s="85"/>
      <c r="N3" s="82"/>
      <c r="O3" s="86"/>
      <c r="P3" s="86"/>
      <c r="Q3" s="87"/>
      <c r="R3" s="87"/>
      <c r="S3" s="87"/>
      <c r="T3" s="87"/>
      <c r="U3" s="87"/>
      <c r="V3"/>
    </row>
    <row r="4" spans="1:22" s="12" customFormat="1" ht="15.6" x14ac:dyDescent="0.3">
      <c r="A4" s="254" t="s">
        <v>5</v>
      </c>
      <c r="B4" s="258" t="s">
        <v>6</v>
      </c>
      <c r="C4" s="258" t="s">
        <v>7</v>
      </c>
      <c r="D4" s="258" t="s">
        <v>8</v>
      </c>
      <c r="E4" s="260" t="s">
        <v>9</v>
      </c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2"/>
      <c r="V4"/>
    </row>
    <row r="5" spans="1:22" s="12" customFormat="1" ht="47.4" thickBot="1" x14ac:dyDescent="0.35">
      <c r="A5" s="255"/>
      <c r="B5" s="259"/>
      <c r="C5" s="259"/>
      <c r="D5" s="259"/>
      <c r="E5" s="88" t="s">
        <v>10</v>
      </c>
      <c r="F5" s="88" t="s">
        <v>11</v>
      </c>
      <c r="G5" s="88" t="s">
        <v>12</v>
      </c>
      <c r="H5" s="88" t="s">
        <v>13</v>
      </c>
      <c r="I5" s="88" t="s">
        <v>14</v>
      </c>
      <c r="J5" s="88" t="s">
        <v>15</v>
      </c>
      <c r="K5" s="88" t="s">
        <v>117</v>
      </c>
      <c r="L5" s="88" t="s">
        <v>17</v>
      </c>
      <c r="M5" s="88" t="s">
        <v>18</v>
      </c>
      <c r="N5" s="88" t="s">
        <v>19</v>
      </c>
      <c r="O5" s="88" t="s">
        <v>20</v>
      </c>
      <c r="P5" s="88" t="s">
        <v>21</v>
      </c>
      <c r="Q5" s="88" t="s">
        <v>22</v>
      </c>
      <c r="R5" s="88" t="s">
        <v>23</v>
      </c>
      <c r="S5" s="88" t="s">
        <v>24</v>
      </c>
      <c r="T5" s="88" t="s">
        <v>25</v>
      </c>
      <c r="U5" s="88" t="s">
        <v>26</v>
      </c>
      <c r="V5"/>
    </row>
    <row r="6" spans="1:22" s="12" customFormat="1" ht="15.6" x14ac:dyDescent="0.3">
      <c r="A6" s="89"/>
      <c r="B6" s="17" t="s">
        <v>27</v>
      </c>
      <c r="C6" s="90"/>
      <c r="D6" s="91"/>
      <c r="E6" s="92"/>
      <c r="F6" s="93">
        <v>524102</v>
      </c>
      <c r="G6" s="93">
        <v>525722</v>
      </c>
      <c r="H6" s="93">
        <v>524101</v>
      </c>
      <c r="I6" s="93">
        <v>524201</v>
      </c>
      <c r="J6" s="93">
        <v>525713</v>
      </c>
      <c r="K6" s="93">
        <v>525724</v>
      </c>
      <c r="L6" s="93">
        <v>522983</v>
      </c>
      <c r="M6" s="93">
        <v>524200</v>
      </c>
      <c r="N6" s="93">
        <v>521101</v>
      </c>
      <c r="O6" s="93">
        <v>525714</v>
      </c>
      <c r="P6" s="93">
        <v>524304</v>
      </c>
      <c r="Q6" s="93">
        <v>524301</v>
      </c>
      <c r="R6" s="93">
        <v>525717</v>
      </c>
      <c r="S6" s="93">
        <v>525798</v>
      </c>
      <c r="T6" s="93">
        <v>524204</v>
      </c>
      <c r="U6" s="93">
        <v>511103</v>
      </c>
      <c r="V6"/>
    </row>
    <row r="7" spans="1:22" s="29" customFormat="1" ht="15.6" x14ac:dyDescent="0.3">
      <c r="A7" s="94"/>
      <c r="B7" s="95" t="s">
        <v>118</v>
      </c>
      <c r="C7" s="96"/>
      <c r="D7" s="97">
        <v>50000</v>
      </c>
      <c r="E7" s="98"/>
      <c r="F7" s="98"/>
      <c r="G7" s="98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100"/>
      <c r="T7" s="100"/>
      <c r="U7" s="100"/>
      <c r="V7"/>
    </row>
    <row r="8" spans="1:22" s="134" customFormat="1" ht="15.6" x14ac:dyDescent="0.3">
      <c r="A8" s="94">
        <v>45341</v>
      </c>
      <c r="B8" s="101" t="s">
        <v>119</v>
      </c>
      <c r="C8" s="102">
        <v>17742</v>
      </c>
      <c r="D8" s="103"/>
      <c r="E8" s="104">
        <v>800</v>
      </c>
      <c r="F8" s="104">
        <f t="shared" ref="F8:F15" si="0">E8</f>
        <v>800</v>
      </c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5"/>
    </row>
    <row r="9" spans="1:22" s="134" customFormat="1" ht="15.6" x14ac:dyDescent="0.3">
      <c r="A9" s="94">
        <v>45332</v>
      </c>
      <c r="B9" s="101" t="s">
        <v>120</v>
      </c>
      <c r="C9" s="102">
        <f>C8+1</f>
        <v>17743</v>
      </c>
      <c r="D9" s="103"/>
      <c r="E9" s="104">
        <v>800</v>
      </c>
      <c r="F9" s="104">
        <f t="shared" si="0"/>
        <v>800</v>
      </c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5"/>
    </row>
    <row r="10" spans="1:22" s="134" customFormat="1" ht="15.6" x14ac:dyDescent="0.3">
      <c r="A10" s="94">
        <v>45332</v>
      </c>
      <c r="B10" s="101" t="s">
        <v>121</v>
      </c>
      <c r="C10" s="102">
        <f t="shared" ref="C10:C16" si="1">C9+1</f>
        <v>17744</v>
      </c>
      <c r="D10" s="103"/>
      <c r="E10" s="104">
        <v>900</v>
      </c>
      <c r="F10" s="104">
        <f t="shared" si="0"/>
        <v>900</v>
      </c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5"/>
    </row>
    <row r="11" spans="1:22" s="134" customFormat="1" ht="15.6" x14ac:dyDescent="0.3">
      <c r="A11" s="94">
        <v>45333</v>
      </c>
      <c r="B11" s="101" t="s">
        <v>119</v>
      </c>
      <c r="C11" s="102">
        <f t="shared" si="1"/>
        <v>17745</v>
      </c>
      <c r="D11" s="103"/>
      <c r="E11" s="104">
        <v>550</v>
      </c>
      <c r="F11" s="104">
        <f t="shared" si="0"/>
        <v>550</v>
      </c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5"/>
    </row>
    <row r="12" spans="1:22" s="134" customFormat="1" ht="15.6" x14ac:dyDescent="0.3">
      <c r="A12" s="94">
        <v>45333</v>
      </c>
      <c r="B12" s="101" t="s">
        <v>120</v>
      </c>
      <c r="C12" s="102">
        <f t="shared" si="1"/>
        <v>17746</v>
      </c>
      <c r="D12" s="103"/>
      <c r="E12" s="104">
        <v>780</v>
      </c>
      <c r="F12" s="104">
        <f t="shared" si="0"/>
        <v>780</v>
      </c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2" s="134" customFormat="1" ht="15.6" x14ac:dyDescent="0.3">
      <c r="A13" s="94">
        <v>45333</v>
      </c>
      <c r="B13" s="101" t="s">
        <v>129</v>
      </c>
      <c r="C13" s="102">
        <f t="shared" si="1"/>
        <v>17747</v>
      </c>
      <c r="D13" s="103"/>
      <c r="E13" s="104">
        <v>950</v>
      </c>
      <c r="F13" s="104">
        <f t="shared" si="0"/>
        <v>950</v>
      </c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5"/>
    </row>
    <row r="14" spans="1:22" s="137" customFormat="1" ht="15.6" x14ac:dyDescent="0.3">
      <c r="A14" s="22">
        <f>A13+11</f>
        <v>45344</v>
      </c>
      <c r="B14" s="74" t="s">
        <v>53</v>
      </c>
      <c r="C14" s="102">
        <f t="shared" si="1"/>
        <v>17748</v>
      </c>
      <c r="D14" s="25"/>
      <c r="E14" s="25">
        <v>1049.99</v>
      </c>
      <c r="F14" s="25"/>
      <c r="G14" s="2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6"/>
      <c r="T14" s="136">
        <f>E14</f>
        <v>1049.99</v>
      </c>
      <c r="U14" s="136"/>
    </row>
    <row r="15" spans="1:22" s="134" customFormat="1" ht="15.6" x14ac:dyDescent="0.3">
      <c r="A15" s="94">
        <f>A14+4</f>
        <v>45348</v>
      </c>
      <c r="B15" s="101" t="s">
        <v>129</v>
      </c>
      <c r="C15" s="102">
        <f t="shared" si="1"/>
        <v>17749</v>
      </c>
      <c r="D15" s="103"/>
      <c r="E15" s="104">
        <v>1020</v>
      </c>
      <c r="F15" s="104">
        <f t="shared" si="0"/>
        <v>1020</v>
      </c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5"/>
    </row>
    <row r="16" spans="1:22" s="134" customFormat="1" ht="15.6" x14ac:dyDescent="0.3">
      <c r="A16" s="94">
        <f>A15</f>
        <v>45348</v>
      </c>
      <c r="B16" s="101" t="s">
        <v>130</v>
      </c>
      <c r="C16" s="102">
        <f t="shared" si="1"/>
        <v>17750</v>
      </c>
      <c r="D16" s="103"/>
      <c r="E16" s="104">
        <v>550</v>
      </c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>
        <f>E16</f>
        <v>550</v>
      </c>
      <c r="T16" s="104"/>
      <c r="U16" s="105"/>
    </row>
    <row r="17" spans="1:22" s="134" customFormat="1" ht="15.6" x14ac:dyDescent="0.3">
      <c r="A17" s="94"/>
      <c r="B17" s="101"/>
      <c r="C17" s="102"/>
      <c r="D17" s="103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5"/>
    </row>
    <row r="18" spans="1:22" s="142" customFormat="1" ht="16.2" thickBot="1" x14ac:dyDescent="0.35">
      <c r="A18" s="138"/>
      <c r="B18" s="139"/>
      <c r="C18" s="139"/>
      <c r="D18" s="140">
        <v>50000</v>
      </c>
      <c r="E18" s="141">
        <f t="shared" ref="E18:U18" si="2">SUM(E7:E17)</f>
        <v>7399.99</v>
      </c>
      <c r="F18" s="141">
        <f t="shared" si="2"/>
        <v>5800</v>
      </c>
      <c r="G18" s="141">
        <f t="shared" si="2"/>
        <v>0</v>
      </c>
      <c r="H18" s="141">
        <f t="shared" si="2"/>
        <v>0</v>
      </c>
      <c r="I18" s="141">
        <f t="shared" si="2"/>
        <v>0</v>
      </c>
      <c r="J18" s="141">
        <f t="shared" si="2"/>
        <v>0</v>
      </c>
      <c r="K18" s="141">
        <f t="shared" si="2"/>
        <v>0</v>
      </c>
      <c r="L18" s="141">
        <f t="shared" si="2"/>
        <v>0</v>
      </c>
      <c r="M18" s="141">
        <f t="shared" si="2"/>
        <v>0</v>
      </c>
      <c r="N18" s="141">
        <f t="shared" si="2"/>
        <v>0</v>
      </c>
      <c r="O18" s="141">
        <f t="shared" si="2"/>
        <v>0</v>
      </c>
      <c r="P18" s="141">
        <f t="shared" si="2"/>
        <v>0</v>
      </c>
      <c r="Q18" s="141">
        <f t="shared" si="2"/>
        <v>0</v>
      </c>
      <c r="R18" s="141">
        <f t="shared" si="2"/>
        <v>0</v>
      </c>
      <c r="S18" s="141">
        <f t="shared" si="2"/>
        <v>550</v>
      </c>
      <c r="T18" s="141">
        <f t="shared" si="2"/>
        <v>1049.99</v>
      </c>
      <c r="U18" s="141">
        <f t="shared" si="2"/>
        <v>0</v>
      </c>
    </row>
    <row r="19" spans="1:22" s="137" customFormat="1" ht="16.2" thickTop="1" x14ac:dyDescent="0.3">
      <c r="A19" s="139" t="s">
        <v>61</v>
      </c>
      <c r="B19" s="139"/>
      <c r="C19" s="143"/>
      <c r="D19" s="144">
        <f>SUM(D18)-E18</f>
        <v>42600.01</v>
      </c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47"/>
    </row>
    <row r="20" spans="1:22" ht="15" thickBot="1" x14ac:dyDescent="0.35">
      <c r="A20" s="115"/>
      <c r="B20" s="116"/>
      <c r="C20" s="116"/>
      <c r="D20" s="116"/>
      <c r="E20" s="116"/>
      <c r="F20" s="116"/>
      <c r="G20" s="117"/>
      <c r="H20" s="117"/>
      <c r="I20" s="117"/>
      <c r="J20" s="117"/>
      <c r="K20" s="117"/>
      <c r="L20" s="117"/>
      <c r="M20" s="117"/>
      <c r="N20" s="117"/>
      <c r="O20" s="117"/>
      <c r="Q20" s="117"/>
      <c r="R20" s="117"/>
      <c r="S20" s="117"/>
      <c r="T20" s="117"/>
      <c r="U20" s="117"/>
      <c r="V20" s="117"/>
    </row>
    <row r="21" spans="1:22" s="57" customFormat="1" ht="29.4" thickBot="1" x14ac:dyDescent="0.6">
      <c r="A21" s="118" t="s">
        <v>62</v>
      </c>
      <c r="B21" s="119"/>
      <c r="C21" s="120"/>
      <c r="D21" s="243">
        <f>E18</f>
        <v>7399.99</v>
      </c>
      <c r="E21" s="244"/>
      <c r="F21" s="121"/>
      <c r="G21" s="122"/>
      <c r="H21" s="123"/>
      <c r="I21" s="124"/>
      <c r="J21" s="122"/>
      <c r="K21" s="122"/>
      <c r="L21" s="122"/>
      <c r="M21" s="122"/>
      <c r="N21" s="122"/>
      <c r="O21" s="122"/>
      <c r="P21"/>
      <c r="Q21" s="122"/>
      <c r="R21" s="122"/>
      <c r="S21" s="122"/>
      <c r="T21" s="122"/>
      <c r="U21" s="122"/>
      <c r="V21" s="122"/>
    </row>
    <row r="22" spans="1:22" ht="21" x14ac:dyDescent="0.4">
      <c r="A22" s="115"/>
      <c r="B22" s="116"/>
      <c r="C22" s="116"/>
      <c r="D22" s="125"/>
      <c r="E22" s="116"/>
      <c r="F22" s="116"/>
      <c r="G22" s="122"/>
      <c r="H22" s="126"/>
      <c r="I22" s="127"/>
      <c r="J22" s="127"/>
      <c r="K22" s="127"/>
      <c r="L22" s="127"/>
      <c r="M22" s="127"/>
      <c r="N22" s="127"/>
      <c r="O22" s="117"/>
      <c r="Q22" s="117"/>
      <c r="R22" s="117"/>
      <c r="S22" s="117"/>
      <c r="T22" s="117"/>
      <c r="U22" s="117"/>
      <c r="V22" s="117"/>
    </row>
    <row r="23" spans="1:22" ht="21" x14ac:dyDescent="0.4">
      <c r="D23" s="129"/>
      <c r="E23" s="129"/>
      <c r="F23" s="129"/>
      <c r="G23" s="122"/>
      <c r="I23" s="129"/>
      <c r="J23" s="129"/>
      <c r="K23" s="129"/>
      <c r="L23" s="129"/>
      <c r="M23" s="112"/>
    </row>
    <row r="24" spans="1:22" x14ac:dyDescent="0.3">
      <c r="A24" s="63"/>
      <c r="B24" s="64" t="s">
        <v>63</v>
      </c>
      <c r="C24" s="64" t="s">
        <v>64</v>
      </c>
      <c r="E24" s="66" t="s">
        <v>65</v>
      </c>
      <c r="G24" s="66" t="s">
        <v>65</v>
      </c>
      <c r="H24" s="66"/>
      <c r="J24" s="68"/>
      <c r="L24" s="67"/>
      <c r="M24" s="66"/>
      <c r="N24" s="67"/>
      <c r="O24" s="68"/>
      <c r="P24" s="66" t="s">
        <v>66</v>
      </c>
      <c r="Q24" s="68"/>
      <c r="R24" s="66" t="s">
        <v>66</v>
      </c>
      <c r="S24" s="66" t="s">
        <v>66</v>
      </c>
      <c r="T24" s="68"/>
      <c r="U24" s="68"/>
    </row>
    <row r="25" spans="1:22" x14ac:dyDescent="0.3">
      <c r="A25" s="63"/>
      <c r="B25" s="69" t="s">
        <v>67</v>
      </c>
      <c r="C25" s="69" t="s">
        <v>68</v>
      </c>
      <c r="E25" s="69" t="s">
        <v>69</v>
      </c>
      <c r="G25" s="69" t="s">
        <v>69</v>
      </c>
      <c r="H25" s="69"/>
      <c r="J25" s="69"/>
      <c r="L25" s="69"/>
      <c r="M25" s="69"/>
      <c r="N25" s="69"/>
      <c r="O25" s="69"/>
      <c r="P25" s="69" t="s">
        <v>70</v>
      </c>
      <c r="Q25" s="69"/>
      <c r="R25" s="69" t="s">
        <v>70</v>
      </c>
      <c r="S25" s="69" t="s">
        <v>70</v>
      </c>
      <c r="T25" s="68"/>
      <c r="U25" s="68"/>
    </row>
    <row r="26" spans="1:22" x14ac:dyDescent="0.3">
      <c r="A26" s="63"/>
      <c r="B26" s="69" t="s">
        <v>126</v>
      </c>
      <c r="C26" s="69" t="s">
        <v>72</v>
      </c>
      <c r="E26" s="69" t="s">
        <v>73</v>
      </c>
      <c r="G26" s="69" t="s">
        <v>73</v>
      </c>
      <c r="H26" s="69"/>
      <c r="J26" s="68"/>
      <c r="L26" s="60"/>
      <c r="M26" s="69"/>
      <c r="N26" s="60"/>
      <c r="O26" s="68"/>
      <c r="P26" s="69" t="s">
        <v>74</v>
      </c>
      <c r="Q26" s="68"/>
      <c r="R26" s="69" t="s">
        <v>74</v>
      </c>
      <c r="S26" s="69" t="s">
        <v>74</v>
      </c>
      <c r="T26" s="68"/>
      <c r="U26" s="68"/>
    </row>
    <row r="27" spans="1:22" x14ac:dyDescent="0.3">
      <c r="A27" s="63"/>
      <c r="B27" s="69" t="s">
        <v>127</v>
      </c>
      <c r="C27" s="69" t="s">
        <v>76</v>
      </c>
      <c r="E27" s="69" t="s">
        <v>77</v>
      </c>
      <c r="G27" s="69" t="s">
        <v>77</v>
      </c>
      <c r="H27" s="69"/>
      <c r="J27" s="68"/>
      <c r="L27" s="60"/>
      <c r="M27" s="69"/>
      <c r="N27" s="60"/>
      <c r="O27" s="68"/>
      <c r="P27" s="69" t="s">
        <v>78</v>
      </c>
      <c r="Q27" s="68"/>
      <c r="R27" s="69" t="s">
        <v>78</v>
      </c>
      <c r="S27" s="69" t="s">
        <v>78</v>
      </c>
      <c r="T27" s="68"/>
      <c r="U27" s="68"/>
    </row>
    <row r="28" spans="1:22" s="128" customFormat="1" ht="27" customHeight="1" x14ac:dyDescent="0.3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 s="128" customFormat="1" ht="27" customHeight="1" x14ac:dyDescent="0.3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1:22" s="128" customFormat="1" ht="27" customHeight="1" x14ac:dyDescent="0.3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 s="128" customFormat="1" ht="27" customHeight="1" x14ac:dyDescent="0.3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 s="128" customFormat="1" ht="27" customHeight="1" x14ac:dyDescent="0.3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2:22" s="128" customFormat="1" ht="27" customHeight="1" x14ac:dyDescent="0.3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2:22" s="128" customFormat="1" ht="27" customHeight="1" x14ac:dyDescent="0.3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2:22" s="128" customFormat="1" ht="27" customHeight="1" x14ac:dyDescent="0.3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2:22" s="128" customFormat="1" ht="27" customHeight="1" x14ac:dyDescent="0.3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2:22" s="128" customFormat="1" ht="27" customHeight="1" x14ac:dyDescent="0.3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2:22" s="128" customFormat="1" ht="27" customHeight="1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</sheetData>
  <mergeCells count="6">
    <mergeCell ref="D21:E21"/>
    <mergeCell ref="A4:A5"/>
    <mergeCell ref="B4:B5"/>
    <mergeCell ref="C4:C5"/>
    <mergeCell ref="D4:D5"/>
    <mergeCell ref="E4:U4"/>
  </mergeCells>
  <conditionalFormatting sqref="R6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59D4-E3B5-46F8-AB63-38470C9E9090}">
  <dimension ref="A1:V46"/>
  <sheetViews>
    <sheetView workbookViewId="0">
      <selection activeCell="B4" sqref="B4:B5"/>
    </sheetView>
  </sheetViews>
  <sheetFormatPr defaultColWidth="9.109375" defaultRowHeight="14.4" x14ac:dyDescent="0.3"/>
  <cols>
    <col min="1" max="1" width="14.5546875" style="128" customWidth="1"/>
    <col min="2" max="2" width="67.5546875" bestFit="1" customWidth="1"/>
    <col min="3" max="3" width="13.109375" customWidth="1"/>
    <col min="4" max="4" width="14.109375" customWidth="1"/>
    <col min="5" max="5" width="13.5546875" customWidth="1"/>
    <col min="6" max="6" width="13.44140625" customWidth="1"/>
    <col min="7" max="7" width="13.6640625" customWidth="1"/>
    <col min="8" max="8" width="11.5546875" hidden="1" customWidth="1"/>
    <col min="9" max="9" width="10.44140625" hidden="1" customWidth="1"/>
    <col min="10" max="10" width="12" hidden="1" customWidth="1"/>
    <col min="11" max="11" width="12.5546875" hidden="1" customWidth="1"/>
    <col min="12" max="12" width="11.33203125" hidden="1" customWidth="1"/>
    <col min="13" max="13" width="11.33203125" bestFit="1" customWidth="1"/>
    <col min="14" max="14" width="9.33203125" hidden="1" customWidth="1"/>
    <col min="15" max="15" width="10.44140625" hidden="1" customWidth="1"/>
    <col min="16" max="16" width="9.33203125" hidden="1" customWidth="1"/>
    <col min="17" max="17" width="10.6640625" hidden="1" customWidth="1"/>
    <col min="18" max="18" width="13" customWidth="1"/>
    <col min="19" max="19" width="13.6640625" bestFit="1" customWidth="1"/>
    <col min="20" max="20" width="12.44140625" hidden="1" customWidth="1"/>
    <col min="21" max="21" width="13.6640625" hidden="1" customWidth="1"/>
  </cols>
  <sheetData>
    <row r="1" spans="1:22" s="5" customFormat="1" ht="31.2" x14ac:dyDescent="0.6">
      <c r="A1" s="75" t="s">
        <v>0</v>
      </c>
      <c r="B1" s="76"/>
      <c r="C1" s="76"/>
      <c r="D1" s="77"/>
      <c r="E1" s="77"/>
      <c r="F1" s="77"/>
      <c r="G1" s="78" t="s">
        <v>1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/>
    </row>
    <row r="2" spans="1:22" s="5" customFormat="1" ht="31.2" x14ac:dyDescent="0.6">
      <c r="A2" s="79" t="s">
        <v>2</v>
      </c>
      <c r="B2" s="80"/>
      <c r="C2" s="76"/>
      <c r="D2" s="77"/>
      <c r="E2" s="81" t="s">
        <v>116</v>
      </c>
      <c r="F2" s="81"/>
      <c r="G2" s="81"/>
      <c r="H2" s="82"/>
      <c r="I2" s="82"/>
      <c r="J2" s="82"/>
      <c r="K2" s="82"/>
      <c r="L2" s="82"/>
      <c r="M2" s="82"/>
      <c r="N2" s="82"/>
      <c r="O2" s="77"/>
      <c r="P2" s="77"/>
      <c r="Q2" s="77"/>
      <c r="R2" s="83">
        <v>45372</v>
      </c>
      <c r="S2" s="77"/>
      <c r="T2" s="77"/>
      <c r="U2" s="77"/>
      <c r="V2"/>
    </row>
    <row r="3" spans="1:22" s="5" customFormat="1" ht="23.25" customHeight="1" thickBot="1" x14ac:dyDescent="0.35">
      <c r="A3" s="84"/>
      <c r="B3" s="76"/>
      <c r="C3" s="76"/>
      <c r="D3" s="77" t="s">
        <v>4</v>
      </c>
      <c r="E3" s="82"/>
      <c r="F3" s="82"/>
      <c r="G3" s="85"/>
      <c r="H3" s="85"/>
      <c r="I3" s="85"/>
      <c r="J3" s="85"/>
      <c r="K3" s="81"/>
      <c r="L3" s="82"/>
      <c r="M3" s="85"/>
      <c r="N3" s="82"/>
      <c r="O3" s="86"/>
      <c r="P3" s="86"/>
      <c r="Q3" s="87"/>
      <c r="R3" s="87"/>
      <c r="S3" s="87"/>
      <c r="T3" s="87"/>
      <c r="U3" s="87"/>
      <c r="V3"/>
    </row>
    <row r="4" spans="1:22" s="12" customFormat="1" ht="15.75" customHeight="1" x14ac:dyDescent="0.3">
      <c r="A4" s="254" t="s">
        <v>5</v>
      </c>
      <c r="B4" s="258" t="s">
        <v>6</v>
      </c>
      <c r="C4" s="258" t="s">
        <v>7</v>
      </c>
      <c r="D4" s="258" t="s">
        <v>8</v>
      </c>
      <c r="E4" s="260" t="s">
        <v>9</v>
      </c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2"/>
      <c r="V4"/>
    </row>
    <row r="5" spans="1:22" s="12" customFormat="1" ht="57.75" customHeight="1" thickBot="1" x14ac:dyDescent="0.35">
      <c r="A5" s="255"/>
      <c r="B5" s="259"/>
      <c r="C5" s="259"/>
      <c r="D5" s="259"/>
      <c r="E5" s="88" t="s">
        <v>10</v>
      </c>
      <c r="F5" s="88" t="s">
        <v>11</v>
      </c>
      <c r="G5" s="88" t="s">
        <v>12</v>
      </c>
      <c r="H5" s="88" t="s">
        <v>13</v>
      </c>
      <c r="I5" s="88" t="s">
        <v>14</v>
      </c>
      <c r="J5" s="88" t="s">
        <v>15</v>
      </c>
      <c r="K5" s="88" t="s">
        <v>117</v>
      </c>
      <c r="L5" s="88" t="s">
        <v>17</v>
      </c>
      <c r="M5" s="88" t="s">
        <v>18</v>
      </c>
      <c r="N5" s="88" t="s">
        <v>19</v>
      </c>
      <c r="O5" s="88" t="s">
        <v>20</v>
      </c>
      <c r="P5" s="88" t="s">
        <v>21</v>
      </c>
      <c r="Q5" s="88" t="s">
        <v>22</v>
      </c>
      <c r="R5" s="88" t="s">
        <v>23</v>
      </c>
      <c r="S5" s="88" t="s">
        <v>24</v>
      </c>
      <c r="T5" s="88" t="s">
        <v>25</v>
      </c>
      <c r="U5" s="88" t="s">
        <v>26</v>
      </c>
      <c r="V5"/>
    </row>
    <row r="6" spans="1:22" s="12" customFormat="1" ht="16.5" customHeight="1" x14ac:dyDescent="0.3">
      <c r="A6" s="89"/>
      <c r="B6" s="17" t="s">
        <v>27</v>
      </c>
      <c r="C6" s="90"/>
      <c r="D6" s="91"/>
      <c r="E6" s="92"/>
      <c r="F6" s="93">
        <v>524102</v>
      </c>
      <c r="G6" s="93">
        <v>525722</v>
      </c>
      <c r="H6" s="93">
        <v>524101</v>
      </c>
      <c r="I6" s="93">
        <v>524201</v>
      </c>
      <c r="J6" s="93">
        <v>525713</v>
      </c>
      <c r="K6" s="93">
        <v>525724</v>
      </c>
      <c r="L6" s="93">
        <v>522983</v>
      </c>
      <c r="M6" s="93">
        <v>524200</v>
      </c>
      <c r="N6" s="93">
        <v>521101</v>
      </c>
      <c r="O6" s="93">
        <v>525714</v>
      </c>
      <c r="P6" s="93">
        <v>524304</v>
      </c>
      <c r="Q6" s="93">
        <v>524301</v>
      </c>
      <c r="R6" s="93">
        <v>525717</v>
      </c>
      <c r="S6" s="93">
        <v>525798</v>
      </c>
      <c r="T6" s="93">
        <v>524204</v>
      </c>
      <c r="U6" s="93">
        <v>511103</v>
      </c>
      <c r="V6"/>
    </row>
    <row r="7" spans="1:22" s="29" customFormat="1" ht="15.6" x14ac:dyDescent="0.3">
      <c r="A7" s="94"/>
      <c r="B7" s="95" t="s">
        <v>118</v>
      </c>
      <c r="C7" s="96"/>
      <c r="D7" s="97">
        <v>50000</v>
      </c>
      <c r="E7" s="98"/>
      <c r="F7" s="98"/>
      <c r="G7" s="98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100"/>
      <c r="T7" s="100"/>
      <c r="U7" s="100"/>
      <c r="V7"/>
    </row>
    <row r="8" spans="1:22" s="36" customFormat="1" ht="15.6" x14ac:dyDescent="0.3">
      <c r="A8" s="94">
        <v>45332</v>
      </c>
      <c r="B8" s="101" t="s">
        <v>119</v>
      </c>
      <c r="C8" s="102">
        <v>17729</v>
      </c>
      <c r="D8" s="103"/>
      <c r="E8" s="104">
        <v>800</v>
      </c>
      <c r="F8" s="104">
        <f t="shared" ref="F8:F16" si="0">E8</f>
        <v>800</v>
      </c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5"/>
    </row>
    <row r="9" spans="1:22" s="36" customFormat="1" ht="15.6" x14ac:dyDescent="0.3">
      <c r="A9" s="94">
        <v>45332</v>
      </c>
      <c r="B9" s="101" t="s">
        <v>120</v>
      </c>
      <c r="C9" s="102">
        <v>11730</v>
      </c>
      <c r="D9" s="103"/>
      <c r="E9" s="104">
        <v>800</v>
      </c>
      <c r="F9" s="104">
        <f t="shared" si="0"/>
        <v>800</v>
      </c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5"/>
    </row>
    <row r="10" spans="1:22" s="36" customFormat="1" ht="15.6" x14ac:dyDescent="0.3">
      <c r="A10" s="94">
        <v>45332</v>
      </c>
      <c r="B10" s="101" t="s">
        <v>121</v>
      </c>
      <c r="C10" s="102">
        <v>11731</v>
      </c>
      <c r="D10" s="103"/>
      <c r="E10" s="104">
        <v>900</v>
      </c>
      <c r="F10" s="104">
        <f t="shared" si="0"/>
        <v>900</v>
      </c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5"/>
    </row>
    <row r="11" spans="1:22" s="36" customFormat="1" ht="15.6" x14ac:dyDescent="0.3">
      <c r="A11" s="94">
        <v>45333</v>
      </c>
      <c r="B11" s="101" t="s">
        <v>119</v>
      </c>
      <c r="C11" s="102">
        <v>11732</v>
      </c>
      <c r="D11" s="103"/>
      <c r="E11" s="104">
        <v>800</v>
      </c>
      <c r="F11" s="104">
        <f t="shared" si="0"/>
        <v>800</v>
      </c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5"/>
    </row>
    <row r="12" spans="1:22" s="36" customFormat="1" ht="15.6" x14ac:dyDescent="0.3">
      <c r="A12" s="94">
        <v>45333</v>
      </c>
      <c r="B12" s="101" t="s">
        <v>120</v>
      </c>
      <c r="C12" s="102">
        <v>11733</v>
      </c>
      <c r="D12" s="103"/>
      <c r="E12" s="104">
        <v>800</v>
      </c>
      <c r="F12" s="104">
        <f t="shared" si="0"/>
        <v>800</v>
      </c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2" s="36" customFormat="1" ht="15.6" x14ac:dyDescent="0.3">
      <c r="A13" s="94">
        <v>45333</v>
      </c>
      <c r="B13" s="101" t="s">
        <v>121</v>
      </c>
      <c r="C13" s="102">
        <v>17734</v>
      </c>
      <c r="D13" s="103"/>
      <c r="E13" s="104">
        <v>900</v>
      </c>
      <c r="F13" s="104">
        <f t="shared" si="0"/>
        <v>900</v>
      </c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5"/>
    </row>
    <row r="14" spans="1:22" s="36" customFormat="1" ht="15.6" x14ac:dyDescent="0.3">
      <c r="A14" s="94">
        <v>45334</v>
      </c>
      <c r="B14" s="101" t="s">
        <v>119</v>
      </c>
      <c r="C14" s="102">
        <v>17735</v>
      </c>
      <c r="D14" s="103"/>
      <c r="E14" s="104">
        <v>800</v>
      </c>
      <c r="F14" s="104">
        <f t="shared" si="0"/>
        <v>800</v>
      </c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5"/>
    </row>
    <row r="15" spans="1:22" s="36" customFormat="1" ht="15.6" x14ac:dyDescent="0.3">
      <c r="A15" s="94">
        <v>45334</v>
      </c>
      <c r="B15" s="101" t="s">
        <v>120</v>
      </c>
      <c r="C15" s="102">
        <v>17736</v>
      </c>
      <c r="D15" s="103"/>
      <c r="E15" s="104">
        <v>800</v>
      </c>
      <c r="F15" s="104">
        <f t="shared" si="0"/>
        <v>800</v>
      </c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5"/>
    </row>
    <row r="16" spans="1:22" s="36" customFormat="1" ht="15.6" x14ac:dyDescent="0.3">
      <c r="A16" s="94">
        <v>45334</v>
      </c>
      <c r="B16" s="101" t="s">
        <v>121</v>
      </c>
      <c r="C16" s="102">
        <v>17737</v>
      </c>
      <c r="D16" s="103"/>
      <c r="E16" s="104">
        <v>900</v>
      </c>
      <c r="F16" s="104">
        <f t="shared" si="0"/>
        <v>900</v>
      </c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5"/>
    </row>
    <row r="17" spans="1:22" s="36" customFormat="1" ht="15.6" x14ac:dyDescent="0.3">
      <c r="A17" s="94">
        <v>45335</v>
      </c>
      <c r="B17" s="101" t="s">
        <v>122</v>
      </c>
      <c r="C17" s="102">
        <v>17738</v>
      </c>
      <c r="D17" s="103"/>
      <c r="E17" s="104">
        <v>4000</v>
      </c>
      <c r="F17" s="104"/>
      <c r="G17" s="104">
        <f>E17</f>
        <v>4000</v>
      </c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5"/>
    </row>
    <row r="18" spans="1:22" s="36" customFormat="1" ht="15.6" x14ac:dyDescent="0.3">
      <c r="A18" s="94">
        <v>45336</v>
      </c>
      <c r="B18" s="101" t="s">
        <v>123</v>
      </c>
      <c r="C18" s="102">
        <v>17739</v>
      </c>
      <c r="D18" s="103"/>
      <c r="E18" s="104">
        <v>400</v>
      </c>
      <c r="F18" s="104"/>
      <c r="G18" s="104"/>
      <c r="H18" s="104"/>
      <c r="I18" s="104"/>
      <c r="J18" s="104"/>
      <c r="K18" s="104"/>
      <c r="L18" s="104"/>
      <c r="M18" s="104">
        <f>E18</f>
        <v>400</v>
      </c>
      <c r="N18" s="104"/>
      <c r="O18" s="104"/>
      <c r="P18" s="104"/>
      <c r="Q18" s="104"/>
      <c r="R18" s="104"/>
      <c r="S18" s="104"/>
      <c r="T18" s="104"/>
      <c r="U18" s="105"/>
    </row>
    <row r="19" spans="1:22" s="36" customFormat="1" ht="15.6" x14ac:dyDescent="0.3">
      <c r="A19" s="94">
        <v>45337</v>
      </c>
      <c r="B19" s="101" t="s">
        <v>124</v>
      </c>
      <c r="C19" s="102">
        <v>17740</v>
      </c>
      <c r="D19" s="103"/>
      <c r="E19" s="104">
        <v>199.5</v>
      </c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>
        <f>E19</f>
        <v>199.5</v>
      </c>
      <c r="S19" s="104"/>
      <c r="T19" s="104"/>
      <c r="U19" s="105"/>
    </row>
    <row r="20" spans="1:22" s="36" customFormat="1" ht="15.6" x14ac:dyDescent="0.3">
      <c r="A20" s="94">
        <v>45338</v>
      </c>
      <c r="B20" s="101" t="s">
        <v>125</v>
      </c>
      <c r="C20" s="102">
        <v>17741</v>
      </c>
      <c r="D20" s="103"/>
      <c r="E20" s="104">
        <v>1000</v>
      </c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>
        <f>E20</f>
        <v>1000</v>
      </c>
      <c r="T20" s="104"/>
      <c r="U20" s="105"/>
    </row>
    <row r="21" spans="1:22" s="36" customFormat="1" ht="15.6" x14ac:dyDescent="0.3">
      <c r="A21" s="94"/>
      <c r="B21" s="101"/>
      <c r="C21" s="102"/>
      <c r="D21" s="103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5"/>
    </row>
    <row r="22" spans="1:22" ht="15" thickBot="1" x14ac:dyDescent="0.35">
      <c r="A22" s="106"/>
      <c r="B22" s="107"/>
      <c r="C22" s="107"/>
      <c r="D22" s="108">
        <v>50000</v>
      </c>
      <c r="E22" s="109">
        <f t="shared" ref="E22:U22" si="1">SUM(E7:E21)</f>
        <v>13099.5</v>
      </c>
      <c r="F22" s="109">
        <f t="shared" si="1"/>
        <v>7500</v>
      </c>
      <c r="G22" s="109">
        <f t="shared" si="1"/>
        <v>4000</v>
      </c>
      <c r="H22" s="109">
        <f t="shared" si="1"/>
        <v>0</v>
      </c>
      <c r="I22" s="109">
        <f t="shared" si="1"/>
        <v>0</v>
      </c>
      <c r="J22" s="109">
        <f t="shared" si="1"/>
        <v>0</v>
      </c>
      <c r="K22" s="109">
        <f t="shared" si="1"/>
        <v>0</v>
      </c>
      <c r="L22" s="109">
        <f t="shared" si="1"/>
        <v>0</v>
      </c>
      <c r="M22" s="109">
        <f t="shared" si="1"/>
        <v>400</v>
      </c>
      <c r="N22" s="109">
        <f t="shared" si="1"/>
        <v>0</v>
      </c>
      <c r="O22" s="109">
        <f t="shared" si="1"/>
        <v>0</v>
      </c>
      <c r="P22" s="109">
        <f t="shared" si="1"/>
        <v>0</v>
      </c>
      <c r="Q22" s="109">
        <f t="shared" si="1"/>
        <v>0</v>
      </c>
      <c r="R22" s="109">
        <f t="shared" si="1"/>
        <v>199.5</v>
      </c>
      <c r="S22" s="109">
        <f t="shared" si="1"/>
        <v>1000</v>
      </c>
      <c r="T22" s="109">
        <f t="shared" si="1"/>
        <v>0</v>
      </c>
      <c r="U22" s="109">
        <f t="shared" si="1"/>
        <v>0</v>
      </c>
    </row>
    <row r="23" spans="1:22" ht="15" thickTop="1" x14ac:dyDescent="0.3">
      <c r="A23" s="107" t="s">
        <v>61</v>
      </c>
      <c r="B23" s="107"/>
      <c r="C23" s="110"/>
      <c r="D23" s="111">
        <f>SUM(D22)-E22</f>
        <v>36900.5</v>
      </c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3"/>
      <c r="U23" s="114"/>
    </row>
    <row r="24" spans="1:22" ht="15" thickBot="1" x14ac:dyDescent="0.35">
      <c r="A24" s="115"/>
      <c r="B24" s="116"/>
      <c r="C24" s="116"/>
      <c r="D24" s="116"/>
      <c r="E24" s="116"/>
      <c r="F24" s="116"/>
      <c r="G24" s="117"/>
      <c r="H24" s="117"/>
      <c r="I24" s="117"/>
      <c r="J24" s="117"/>
      <c r="K24" s="117"/>
      <c r="L24" s="117"/>
      <c r="M24" s="117"/>
      <c r="N24" s="117"/>
      <c r="O24" s="117"/>
      <c r="Q24" s="117"/>
      <c r="R24" s="117"/>
      <c r="S24" s="117"/>
      <c r="T24" s="117"/>
      <c r="U24" s="117"/>
      <c r="V24" s="117"/>
    </row>
    <row r="25" spans="1:22" s="57" customFormat="1" ht="29.4" thickBot="1" x14ac:dyDescent="0.6">
      <c r="A25" s="118" t="s">
        <v>62</v>
      </c>
      <c r="B25" s="119"/>
      <c r="C25" s="120"/>
      <c r="D25" s="243">
        <f>E22</f>
        <v>13099.5</v>
      </c>
      <c r="E25" s="244"/>
      <c r="F25" s="121"/>
      <c r="G25" s="122"/>
      <c r="H25" s="123"/>
      <c r="I25" s="124"/>
      <c r="J25" s="122"/>
      <c r="K25" s="122"/>
      <c r="L25" s="122"/>
      <c r="M25" s="122"/>
      <c r="N25" s="122"/>
      <c r="O25" s="122"/>
      <c r="P25"/>
      <c r="Q25" s="122"/>
      <c r="R25" s="122"/>
      <c r="S25" s="122"/>
      <c r="T25" s="122"/>
      <c r="U25" s="122"/>
      <c r="V25" s="122"/>
    </row>
    <row r="26" spans="1:22" ht="21" x14ac:dyDescent="0.4">
      <c r="A26" s="115"/>
      <c r="B26" s="116"/>
      <c r="C26" s="116"/>
      <c r="D26" s="125"/>
      <c r="E26" s="116"/>
      <c r="F26" s="116"/>
      <c r="G26" s="122"/>
      <c r="H26" s="126"/>
      <c r="I26" s="127"/>
      <c r="J26" s="127"/>
      <c r="K26" s="127"/>
      <c r="L26" s="127"/>
      <c r="M26" s="127"/>
      <c r="N26" s="127"/>
      <c r="O26" s="117"/>
      <c r="Q26" s="117"/>
      <c r="R26" s="117"/>
      <c r="S26" s="117"/>
      <c r="T26" s="117"/>
      <c r="U26" s="117"/>
      <c r="V26" s="117"/>
    </row>
    <row r="27" spans="1:22" ht="21" x14ac:dyDescent="0.4">
      <c r="D27" s="129"/>
      <c r="E27" s="129"/>
      <c r="F27" s="129"/>
      <c r="G27" s="122"/>
      <c r="I27" s="129"/>
      <c r="J27" s="129"/>
      <c r="K27" s="129"/>
      <c r="L27" s="129"/>
      <c r="M27" s="112"/>
    </row>
    <row r="28" spans="1:22" x14ac:dyDescent="0.3">
      <c r="A28" s="63"/>
      <c r="B28" s="64" t="s">
        <v>63</v>
      </c>
      <c r="D28" s="64" t="s">
        <v>64</v>
      </c>
      <c r="G28" s="66" t="s">
        <v>65</v>
      </c>
      <c r="I28" s="66" t="s">
        <v>65</v>
      </c>
      <c r="J28" s="66"/>
      <c r="L28" s="68"/>
      <c r="N28" s="67"/>
      <c r="O28" s="66"/>
      <c r="P28" s="67"/>
      <c r="Q28" s="68"/>
      <c r="R28" s="66" t="s">
        <v>66</v>
      </c>
      <c r="S28" s="66"/>
      <c r="T28" s="68"/>
      <c r="U28" s="68"/>
    </row>
    <row r="29" spans="1:22" x14ac:dyDescent="0.3">
      <c r="A29" s="63"/>
      <c r="B29" s="69" t="s">
        <v>67</v>
      </c>
      <c r="D29" s="69" t="s">
        <v>68</v>
      </c>
      <c r="G29" s="69" t="s">
        <v>69</v>
      </c>
      <c r="I29" s="69" t="s">
        <v>69</v>
      </c>
      <c r="J29" s="69"/>
      <c r="L29" s="69"/>
      <c r="N29" s="69"/>
      <c r="O29" s="69"/>
      <c r="P29" s="69"/>
      <c r="Q29" s="69"/>
      <c r="R29" s="69" t="s">
        <v>70</v>
      </c>
      <c r="S29" s="69"/>
      <c r="T29" s="68"/>
      <c r="U29" s="68"/>
    </row>
    <row r="30" spans="1:22" x14ac:dyDescent="0.3">
      <c r="A30" s="63"/>
      <c r="B30" s="69" t="s">
        <v>126</v>
      </c>
      <c r="D30" s="69" t="s">
        <v>72</v>
      </c>
      <c r="G30" s="69" t="s">
        <v>73</v>
      </c>
      <c r="I30" s="69" t="s">
        <v>73</v>
      </c>
      <c r="J30" s="69"/>
      <c r="L30" s="68"/>
      <c r="N30" s="60"/>
      <c r="O30" s="69"/>
      <c r="P30" s="60"/>
      <c r="Q30" s="68"/>
      <c r="R30" s="69" t="s">
        <v>74</v>
      </c>
      <c r="S30" s="69"/>
      <c r="T30" s="68"/>
      <c r="U30" s="68"/>
    </row>
    <row r="31" spans="1:22" x14ac:dyDescent="0.3">
      <c r="A31" s="63"/>
      <c r="B31" s="69" t="s">
        <v>127</v>
      </c>
      <c r="D31" s="69" t="s">
        <v>76</v>
      </c>
      <c r="G31" s="69" t="s">
        <v>77</v>
      </c>
      <c r="I31" s="69" t="s">
        <v>77</v>
      </c>
      <c r="J31" s="69"/>
      <c r="L31" s="68"/>
      <c r="N31" s="60"/>
      <c r="O31" s="69"/>
      <c r="P31" s="60"/>
      <c r="Q31" s="68"/>
      <c r="R31" s="69" t="s">
        <v>78</v>
      </c>
      <c r="S31" s="69"/>
      <c r="T31" s="68"/>
      <c r="U31" s="68"/>
    </row>
    <row r="32" spans="1:22" s="68" customFormat="1" ht="27" customHeight="1" x14ac:dyDescent="0.3">
      <c r="A32" s="130"/>
      <c r="B32" s="131"/>
      <c r="C32" s="132"/>
      <c r="D32" s="133"/>
      <c r="E32" s="132"/>
      <c r="F32" s="132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V32"/>
    </row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</sheetData>
  <mergeCells count="6">
    <mergeCell ref="D25:E25"/>
    <mergeCell ref="A4:A5"/>
    <mergeCell ref="B4:B5"/>
    <mergeCell ref="C4:C5"/>
    <mergeCell ref="D4:D5"/>
    <mergeCell ref="E4:U4"/>
  </mergeCells>
  <conditionalFormatting sqref="R6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084B-A025-40C6-A469-E410C309DDC3}">
  <dimension ref="A1:V45"/>
  <sheetViews>
    <sheetView workbookViewId="0">
      <selection activeCell="B4" sqref="B4:B5"/>
    </sheetView>
  </sheetViews>
  <sheetFormatPr defaultRowHeight="14.4" x14ac:dyDescent="0.3"/>
  <cols>
    <col min="1" max="1" width="13.6640625" customWidth="1"/>
    <col min="2" max="2" width="38.5546875" customWidth="1"/>
    <col min="3" max="3" width="10.88671875" customWidth="1"/>
    <col min="4" max="4" width="12.6640625" customWidth="1"/>
    <col min="5" max="5" width="11.6640625" customWidth="1"/>
    <col min="6" max="6" width="13.5546875" customWidth="1"/>
    <col min="7" max="7" width="10.44140625" hidden="1" customWidth="1"/>
    <col min="8" max="8" width="11.5546875" hidden="1" customWidth="1"/>
    <col min="9" max="9" width="10.109375" hidden="1" customWidth="1"/>
    <col min="10" max="10" width="11" hidden="1" customWidth="1"/>
    <col min="11" max="11" width="11.109375" hidden="1" customWidth="1"/>
    <col min="12" max="12" width="10.109375" hidden="1" customWidth="1"/>
    <col min="13" max="13" width="11.33203125" customWidth="1"/>
    <col min="14" max="14" width="9.33203125" hidden="1" customWidth="1"/>
    <col min="15" max="15" width="10.33203125" hidden="1" customWidth="1"/>
    <col min="16" max="16" width="9.33203125" hidden="1" customWidth="1"/>
    <col min="17" max="17" width="10.6640625" hidden="1" customWidth="1"/>
    <col min="18" max="18" width="11.109375" customWidth="1"/>
    <col min="19" max="19" width="10.6640625" customWidth="1"/>
    <col min="20" max="20" width="11.5546875" customWidth="1"/>
    <col min="21" max="21" width="0.109375" customWidth="1"/>
    <col min="22" max="22" width="4.44140625" customWidth="1"/>
  </cols>
  <sheetData>
    <row r="1" spans="1:22" s="5" customFormat="1" ht="31.2" x14ac:dyDescent="0.6">
      <c r="A1" s="1" t="s">
        <v>0</v>
      </c>
      <c r="B1" s="2"/>
      <c r="C1" s="2"/>
      <c r="D1" s="3"/>
      <c r="E1" s="3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/>
    </row>
    <row r="2" spans="1:22" s="5" customFormat="1" ht="31.2" x14ac:dyDescent="0.6">
      <c r="A2" s="6" t="s">
        <v>2</v>
      </c>
      <c r="B2" s="6"/>
      <c r="C2" s="2"/>
      <c r="D2" s="3"/>
      <c r="F2" s="7" t="s">
        <v>102</v>
      </c>
      <c r="G2" s="7"/>
      <c r="H2" s="8"/>
      <c r="I2" s="8"/>
      <c r="J2" s="8"/>
      <c r="K2" s="8"/>
      <c r="L2" s="8"/>
      <c r="M2" s="8"/>
      <c r="N2" s="8"/>
      <c r="O2" s="3"/>
      <c r="P2" s="3"/>
      <c r="Q2" s="3"/>
      <c r="R2" s="3"/>
      <c r="S2" s="3"/>
      <c r="T2" s="3"/>
      <c r="U2" s="3"/>
      <c r="V2"/>
    </row>
    <row r="3" spans="1:22" s="5" customFormat="1" ht="15.75" customHeight="1" thickBot="1" x14ac:dyDescent="0.35">
      <c r="A3" s="2"/>
      <c r="B3" s="2"/>
      <c r="C3" s="2"/>
      <c r="D3" s="3" t="s">
        <v>4</v>
      </c>
      <c r="E3" s="8"/>
      <c r="F3" s="8"/>
      <c r="G3" s="9"/>
      <c r="H3" s="9"/>
      <c r="I3" s="9"/>
      <c r="J3" s="9"/>
      <c r="K3" s="7"/>
      <c r="L3" s="8"/>
      <c r="M3" s="9"/>
      <c r="N3" s="8"/>
      <c r="O3" s="10"/>
      <c r="P3" s="10"/>
      <c r="Q3" s="11"/>
      <c r="R3" s="11"/>
      <c r="S3" s="11"/>
      <c r="T3" s="11"/>
      <c r="U3" s="11"/>
      <c r="V3"/>
    </row>
    <row r="4" spans="1:22" s="12" customFormat="1" ht="15.75" customHeight="1" thickBot="1" x14ac:dyDescent="0.35">
      <c r="A4" s="269" t="s">
        <v>5</v>
      </c>
      <c r="B4" s="269" t="s">
        <v>6</v>
      </c>
      <c r="C4" s="271" t="s">
        <v>7</v>
      </c>
      <c r="D4" s="273" t="s">
        <v>8</v>
      </c>
      <c r="E4" s="275" t="s">
        <v>9</v>
      </c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7"/>
      <c r="V4"/>
    </row>
    <row r="5" spans="1:22" s="12" customFormat="1" ht="50.25" customHeight="1" thickBot="1" x14ac:dyDescent="0.35">
      <c r="A5" s="270"/>
      <c r="B5" s="270"/>
      <c r="C5" s="272"/>
      <c r="D5" s="274"/>
      <c r="E5" s="13" t="s">
        <v>10</v>
      </c>
      <c r="F5" s="14" t="s">
        <v>11</v>
      </c>
      <c r="G5" s="14" t="s">
        <v>12</v>
      </c>
      <c r="H5" s="14" t="s">
        <v>13</v>
      </c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19</v>
      </c>
      <c r="O5" s="14" t="s">
        <v>20</v>
      </c>
      <c r="P5" s="14" t="s">
        <v>21</v>
      </c>
      <c r="Q5" s="14" t="s">
        <v>22</v>
      </c>
      <c r="R5" s="14" t="s">
        <v>23</v>
      </c>
      <c r="S5" s="14" t="s">
        <v>24</v>
      </c>
      <c r="T5" s="14" t="s">
        <v>25</v>
      </c>
      <c r="U5" s="15" t="s">
        <v>26</v>
      </c>
      <c r="V5"/>
    </row>
    <row r="6" spans="1:22" s="12" customFormat="1" ht="16.5" hidden="1" customHeight="1" x14ac:dyDescent="0.3">
      <c r="A6" s="16"/>
      <c r="B6" s="17" t="s">
        <v>27</v>
      </c>
      <c r="C6" s="18"/>
      <c r="D6" s="19"/>
      <c r="E6" s="20"/>
      <c r="F6" s="21">
        <v>524102</v>
      </c>
      <c r="G6" s="21">
        <v>525722</v>
      </c>
      <c r="H6" s="21">
        <v>524101</v>
      </c>
      <c r="I6" s="21">
        <v>524201</v>
      </c>
      <c r="J6" s="21">
        <v>525713</v>
      </c>
      <c r="K6" s="21">
        <v>525724</v>
      </c>
      <c r="L6" s="21">
        <v>522983</v>
      </c>
      <c r="M6" s="21">
        <v>524200</v>
      </c>
      <c r="N6" s="21">
        <v>521101</v>
      </c>
      <c r="O6" s="21">
        <v>525714</v>
      </c>
      <c r="P6" s="21">
        <v>524304</v>
      </c>
      <c r="Q6" s="21">
        <v>524301</v>
      </c>
      <c r="R6" s="21">
        <v>525717</v>
      </c>
      <c r="S6" s="21">
        <v>525798</v>
      </c>
      <c r="T6" s="21">
        <v>524204</v>
      </c>
      <c r="U6" s="21">
        <v>511103</v>
      </c>
      <c r="V6"/>
    </row>
    <row r="7" spans="1:22" s="29" customFormat="1" ht="15.6" x14ac:dyDescent="0.3">
      <c r="A7" s="22"/>
      <c r="B7" s="23"/>
      <c r="C7" s="24"/>
      <c r="D7" s="25"/>
      <c r="E7" s="26"/>
      <c r="F7" s="26"/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8"/>
      <c r="T7" s="28"/>
      <c r="U7" s="28"/>
      <c r="V7"/>
    </row>
    <row r="8" spans="1:22" s="29" customFormat="1" ht="15.6" x14ac:dyDescent="0.3">
      <c r="A8" s="22">
        <v>45321</v>
      </c>
      <c r="B8" s="74" t="s">
        <v>90</v>
      </c>
      <c r="C8" s="24" t="s">
        <v>103</v>
      </c>
      <c r="D8" s="25"/>
      <c r="E8" s="26">
        <v>800</v>
      </c>
      <c r="F8" s="26">
        <f>E8</f>
        <v>800</v>
      </c>
      <c r="G8" s="26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8"/>
      <c r="T8" s="28"/>
      <c r="U8" s="28"/>
      <c r="V8"/>
    </row>
    <row r="9" spans="1:22" s="29" customFormat="1" ht="15.6" x14ac:dyDescent="0.3">
      <c r="A9" s="22">
        <v>45321</v>
      </c>
      <c r="B9" s="74" t="s">
        <v>90</v>
      </c>
      <c r="C9" s="24" t="s">
        <v>104</v>
      </c>
      <c r="D9" s="25"/>
      <c r="E9" s="26">
        <v>900</v>
      </c>
      <c r="F9" s="26">
        <f>E9</f>
        <v>900</v>
      </c>
      <c r="G9" s="26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8"/>
      <c r="T9" s="28"/>
      <c r="U9" s="28"/>
      <c r="V9"/>
    </row>
    <row r="10" spans="1:22" s="29" customFormat="1" ht="15.6" x14ac:dyDescent="0.3">
      <c r="A10" s="22">
        <v>45321</v>
      </c>
      <c r="B10" s="74" t="s">
        <v>105</v>
      </c>
      <c r="C10" s="24" t="s">
        <v>106</v>
      </c>
      <c r="D10" s="25"/>
      <c r="E10" s="26">
        <v>300</v>
      </c>
      <c r="F10" s="26"/>
      <c r="G10" s="26"/>
      <c r="H10" s="27"/>
      <c r="I10" s="27"/>
      <c r="J10" s="27"/>
      <c r="K10" s="27"/>
      <c r="L10" s="27"/>
      <c r="M10" s="27">
        <f>E10</f>
        <v>300</v>
      </c>
      <c r="N10" s="27"/>
      <c r="O10" s="27"/>
      <c r="P10" s="27"/>
      <c r="Q10" s="27"/>
      <c r="R10" s="27"/>
      <c r="S10" s="28"/>
      <c r="T10" s="28"/>
      <c r="U10" s="28"/>
      <c r="V10"/>
    </row>
    <row r="11" spans="1:22" s="29" customFormat="1" ht="15.6" x14ac:dyDescent="0.3">
      <c r="A11" s="22">
        <v>45321</v>
      </c>
      <c r="B11" s="74" t="s">
        <v>107</v>
      </c>
      <c r="C11" s="24" t="s">
        <v>108</v>
      </c>
      <c r="D11" s="25"/>
      <c r="E11" s="26">
        <v>450</v>
      </c>
      <c r="F11" s="26"/>
      <c r="G11" s="26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8">
        <f>E11</f>
        <v>450</v>
      </c>
      <c r="T11" s="28"/>
      <c r="U11" s="28"/>
      <c r="V11"/>
    </row>
    <row r="12" spans="1:22" s="29" customFormat="1" ht="15.6" x14ac:dyDescent="0.3">
      <c r="A12" s="22">
        <v>45322</v>
      </c>
      <c r="B12" s="74" t="s">
        <v>34</v>
      </c>
      <c r="C12" s="24" t="s">
        <v>109</v>
      </c>
      <c r="D12" s="25"/>
      <c r="E12" s="26">
        <v>200</v>
      </c>
      <c r="F12" s="26"/>
      <c r="G12" s="26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>
        <f>E12</f>
        <v>200</v>
      </c>
      <c r="S12" s="28"/>
      <c r="T12" s="28"/>
      <c r="U12" s="28"/>
      <c r="V12"/>
    </row>
    <row r="13" spans="1:22" s="29" customFormat="1" ht="15.6" x14ac:dyDescent="0.3">
      <c r="A13" s="22">
        <v>45323</v>
      </c>
      <c r="B13" s="74" t="s">
        <v>105</v>
      </c>
      <c r="C13" s="24" t="s">
        <v>110</v>
      </c>
      <c r="D13" s="25"/>
      <c r="E13" s="26">
        <v>400</v>
      </c>
      <c r="F13" s="26"/>
      <c r="G13" s="26"/>
      <c r="H13" s="27"/>
      <c r="I13" s="27"/>
      <c r="J13" s="27"/>
      <c r="K13" s="27"/>
      <c r="L13" s="27"/>
      <c r="M13" s="27">
        <f>E13</f>
        <v>400</v>
      </c>
      <c r="N13" s="27"/>
      <c r="O13" s="27"/>
      <c r="P13" s="27"/>
      <c r="Q13" s="27"/>
      <c r="R13" s="27"/>
      <c r="S13" s="28"/>
      <c r="T13" s="28"/>
      <c r="U13" s="28"/>
      <c r="V13"/>
    </row>
    <row r="14" spans="1:22" s="29" customFormat="1" ht="15.6" x14ac:dyDescent="0.3">
      <c r="A14" s="22">
        <v>45324</v>
      </c>
      <c r="B14" s="74" t="s">
        <v>53</v>
      </c>
      <c r="C14" s="24" t="s">
        <v>111</v>
      </c>
      <c r="D14" s="25"/>
      <c r="E14" s="26">
        <v>400</v>
      </c>
      <c r="F14" s="26"/>
      <c r="G14" s="26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8"/>
      <c r="T14" s="28">
        <f>E14</f>
        <v>400</v>
      </c>
      <c r="U14" s="28"/>
      <c r="V14"/>
    </row>
    <row r="15" spans="1:22" s="29" customFormat="1" ht="15.6" x14ac:dyDescent="0.3">
      <c r="A15" s="22">
        <v>45328</v>
      </c>
      <c r="B15" s="74" t="s">
        <v>105</v>
      </c>
      <c r="C15" s="24" t="s">
        <v>112</v>
      </c>
      <c r="D15" s="25"/>
      <c r="E15" s="26">
        <v>500</v>
      </c>
      <c r="F15" s="26"/>
      <c r="G15" s="26"/>
      <c r="H15" s="27"/>
      <c r="I15" s="27"/>
      <c r="J15" s="27"/>
      <c r="K15" s="27"/>
      <c r="L15" s="27"/>
      <c r="M15" s="27">
        <f>E15</f>
        <v>500</v>
      </c>
      <c r="N15" s="27"/>
      <c r="O15" s="27"/>
      <c r="P15" s="27"/>
      <c r="Q15" s="27"/>
      <c r="R15" s="27"/>
      <c r="S15" s="28"/>
      <c r="T15" s="28"/>
      <c r="U15" s="28"/>
      <c r="V15"/>
    </row>
    <row r="16" spans="1:22" s="29" customFormat="1" ht="15.6" x14ac:dyDescent="0.3">
      <c r="A16" s="22">
        <v>45328</v>
      </c>
      <c r="B16" s="74" t="s">
        <v>113</v>
      </c>
      <c r="C16" s="24" t="s">
        <v>114</v>
      </c>
      <c r="D16" s="25"/>
      <c r="E16" s="26">
        <v>75</v>
      </c>
      <c r="F16" s="26"/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>
        <f>E16</f>
        <v>75</v>
      </c>
      <c r="S16" s="28"/>
      <c r="T16" s="28"/>
      <c r="U16" s="28"/>
      <c r="V16"/>
    </row>
    <row r="17" spans="1:22" s="29" customFormat="1" ht="15.6" x14ac:dyDescent="0.3">
      <c r="A17" s="22">
        <v>45332</v>
      </c>
      <c r="B17" s="74" t="s">
        <v>105</v>
      </c>
      <c r="C17" s="24" t="s">
        <v>115</v>
      </c>
      <c r="D17" s="25"/>
      <c r="E17" s="26">
        <v>400</v>
      </c>
      <c r="F17" s="26"/>
      <c r="G17" s="26"/>
      <c r="H17" s="27"/>
      <c r="I17" s="27"/>
      <c r="J17" s="27"/>
      <c r="K17" s="27"/>
      <c r="L17" s="27"/>
      <c r="M17" s="27">
        <f>E17</f>
        <v>400</v>
      </c>
      <c r="N17" s="27"/>
      <c r="O17" s="27"/>
      <c r="P17" s="27"/>
      <c r="Q17" s="27"/>
      <c r="R17" s="27"/>
      <c r="S17" s="28"/>
      <c r="T17" s="28"/>
      <c r="U17" s="28"/>
      <c r="V17"/>
    </row>
    <row r="18" spans="1:22" s="29" customFormat="1" ht="15.6" x14ac:dyDescent="0.3">
      <c r="A18" s="22"/>
      <c r="B18" s="74"/>
      <c r="C18" s="24"/>
      <c r="D18" s="25"/>
      <c r="E18" s="26"/>
      <c r="F18" s="26"/>
      <c r="G18" s="26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8"/>
      <c r="T18" s="28"/>
      <c r="U18" s="28"/>
      <c r="V18"/>
    </row>
    <row r="19" spans="1:22" ht="15" thickBot="1" x14ac:dyDescent="0.35">
      <c r="A19" s="37"/>
      <c r="B19" s="37"/>
      <c r="C19" s="37"/>
      <c r="D19" s="38">
        <v>50000</v>
      </c>
      <c r="E19" s="39">
        <f t="shared" ref="E19:U19" si="0">SUM(E7:E18)</f>
        <v>4425</v>
      </c>
      <c r="F19" s="39">
        <f t="shared" si="0"/>
        <v>1700</v>
      </c>
      <c r="G19" s="39">
        <f t="shared" si="0"/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1600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275</v>
      </c>
      <c r="S19" s="39">
        <f t="shared" si="0"/>
        <v>450</v>
      </c>
      <c r="T19" s="39">
        <f t="shared" si="0"/>
        <v>400</v>
      </c>
      <c r="U19" s="39">
        <f t="shared" si="0"/>
        <v>0</v>
      </c>
    </row>
    <row r="20" spans="1:22" ht="15" thickTop="1" x14ac:dyDescent="0.3">
      <c r="A20" s="278" t="s">
        <v>61</v>
      </c>
      <c r="B20" s="278"/>
      <c r="C20" s="40"/>
      <c r="D20" s="41">
        <f>SUM(D19)-E19</f>
        <v>45575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3"/>
      <c r="U20" s="44"/>
    </row>
    <row r="21" spans="1:22" ht="17.25" customHeight="1" thickBot="1" x14ac:dyDescent="0.35">
      <c r="A21" s="45"/>
      <c r="B21" s="45"/>
      <c r="C21" s="45"/>
      <c r="D21" s="45"/>
      <c r="E21" s="45"/>
      <c r="F21" s="45"/>
      <c r="G21" s="46"/>
      <c r="H21" s="46"/>
      <c r="I21" s="46"/>
      <c r="J21" s="46"/>
      <c r="K21" s="46"/>
      <c r="L21" s="46"/>
      <c r="M21" s="46"/>
      <c r="N21" s="46"/>
      <c r="O21" s="46"/>
      <c r="P21" s="47"/>
      <c r="Q21" s="46"/>
      <c r="R21" s="46"/>
      <c r="S21" s="46"/>
      <c r="T21" s="46"/>
      <c r="U21" s="46"/>
      <c r="V21" s="48"/>
    </row>
    <row r="22" spans="1:22" s="57" customFormat="1" ht="27" customHeight="1" thickBot="1" x14ac:dyDescent="0.5">
      <c r="A22" s="49" t="s">
        <v>62</v>
      </c>
      <c r="B22" s="49"/>
      <c r="C22" s="50"/>
      <c r="D22" s="267">
        <f>E19</f>
        <v>4425</v>
      </c>
      <c r="E22" s="268"/>
      <c r="F22" s="51"/>
      <c r="G22" s="52"/>
      <c r="H22" s="53"/>
      <c r="I22" s="54"/>
      <c r="J22" s="52"/>
      <c r="K22" s="52"/>
      <c r="L22" s="52"/>
      <c r="M22" s="55"/>
      <c r="N22" s="55"/>
      <c r="O22" s="52"/>
      <c r="P22" s="47"/>
      <c r="Q22" s="52"/>
      <c r="R22" s="52"/>
      <c r="S22" s="52"/>
      <c r="T22" s="52"/>
      <c r="U22" s="52"/>
      <c r="V22" s="56"/>
    </row>
    <row r="23" spans="1:22" ht="20.399999999999999" x14ac:dyDescent="0.35">
      <c r="A23" s="45"/>
      <c r="B23" s="45"/>
      <c r="C23" s="45"/>
      <c r="D23" s="58"/>
      <c r="E23" s="45"/>
      <c r="F23" s="45"/>
      <c r="G23" s="52"/>
      <c r="H23" s="59"/>
      <c r="I23" s="60"/>
      <c r="J23" s="60"/>
      <c r="K23" s="60"/>
      <c r="L23" s="60"/>
      <c r="M23" s="60"/>
      <c r="N23" s="60"/>
      <c r="O23" s="46"/>
      <c r="P23" s="47"/>
      <c r="Q23" s="46"/>
      <c r="R23" s="46"/>
      <c r="S23" s="46"/>
      <c r="T23" s="46"/>
      <c r="U23" s="46"/>
      <c r="V23" s="48"/>
    </row>
    <row r="24" spans="1:22" ht="20.399999999999999" x14ac:dyDescent="0.35">
      <c r="A24" s="45"/>
      <c r="B24" s="45"/>
      <c r="C24" s="45"/>
      <c r="D24" s="58"/>
      <c r="E24" s="45"/>
      <c r="F24" s="45"/>
      <c r="G24" s="52"/>
      <c r="H24" s="59"/>
      <c r="I24" s="60"/>
      <c r="J24" s="60"/>
      <c r="K24" s="60"/>
      <c r="L24" s="60"/>
      <c r="M24" s="60"/>
      <c r="N24" s="60"/>
      <c r="O24" s="46"/>
      <c r="P24" s="47"/>
      <c r="Q24" s="46"/>
      <c r="R24" s="46"/>
      <c r="S24" s="46"/>
      <c r="T24" s="46"/>
      <c r="U24" s="46"/>
      <c r="V24" s="48"/>
    </row>
    <row r="25" spans="1:22" ht="20.399999999999999" x14ac:dyDescent="0.35">
      <c r="A25" s="45"/>
      <c r="B25" s="45"/>
      <c r="C25" s="45"/>
      <c r="D25" s="58"/>
      <c r="E25" s="45"/>
      <c r="F25" s="45"/>
      <c r="G25" s="52"/>
      <c r="H25" s="59"/>
      <c r="I25" s="60"/>
      <c r="J25" s="60"/>
      <c r="K25" s="60"/>
      <c r="L25" s="60"/>
      <c r="M25" s="60"/>
      <c r="N25" s="60"/>
      <c r="O25" s="46"/>
      <c r="P25" s="47"/>
      <c r="Q25" s="46"/>
      <c r="R25" s="46"/>
      <c r="S25" s="46"/>
      <c r="T25" s="46"/>
      <c r="U25" s="46"/>
      <c r="V25" s="48"/>
    </row>
    <row r="26" spans="1:22" ht="20.399999999999999" x14ac:dyDescent="0.35">
      <c r="A26" s="47"/>
      <c r="B26" s="47"/>
      <c r="C26" s="47"/>
      <c r="D26" s="61"/>
      <c r="E26" s="61"/>
      <c r="F26" s="61"/>
      <c r="G26" s="52"/>
      <c r="H26" s="47"/>
      <c r="I26" s="61"/>
      <c r="J26" s="61"/>
      <c r="K26" s="61"/>
      <c r="L26" s="61"/>
      <c r="M26" s="62"/>
      <c r="N26" s="47"/>
      <c r="O26" s="47"/>
      <c r="P26" s="47"/>
      <c r="Q26" s="47"/>
      <c r="R26" s="47"/>
      <c r="S26" s="47"/>
      <c r="T26" s="47"/>
      <c r="U26" s="47"/>
    </row>
    <row r="27" spans="1:22" x14ac:dyDescent="0.3">
      <c r="A27" s="63"/>
      <c r="B27" s="64" t="s">
        <v>63</v>
      </c>
      <c r="D27" s="64" t="s">
        <v>64</v>
      </c>
      <c r="E27" s="64"/>
      <c r="F27" s="66" t="s">
        <v>65</v>
      </c>
      <c r="G27" s="65"/>
      <c r="J27" s="66"/>
      <c r="K27" s="66" t="s">
        <v>65</v>
      </c>
      <c r="N27" s="67"/>
      <c r="O27" s="66"/>
      <c r="P27" s="67"/>
      <c r="Q27" s="68"/>
      <c r="S27" s="66" t="s">
        <v>66</v>
      </c>
      <c r="U27" s="68"/>
    </row>
    <row r="28" spans="1:22" x14ac:dyDescent="0.3">
      <c r="A28" s="63"/>
      <c r="B28" s="69" t="s">
        <v>67</v>
      </c>
      <c r="D28" s="69" t="s">
        <v>68</v>
      </c>
      <c r="E28" s="69"/>
      <c r="F28" s="69" t="s">
        <v>69</v>
      </c>
      <c r="G28" s="70"/>
      <c r="J28" s="69"/>
      <c r="K28" s="69" t="s">
        <v>69</v>
      </c>
      <c r="N28" s="69"/>
      <c r="O28" s="69"/>
      <c r="P28" s="69"/>
      <c r="Q28" s="69"/>
      <c r="S28" s="69" t="s">
        <v>70</v>
      </c>
      <c r="U28" s="68"/>
    </row>
    <row r="29" spans="1:22" x14ac:dyDescent="0.3">
      <c r="A29" s="63"/>
      <c r="B29" s="69" t="s">
        <v>71</v>
      </c>
      <c r="D29" s="69" t="s">
        <v>72</v>
      </c>
      <c r="E29" s="69"/>
      <c r="F29" s="69" t="s">
        <v>73</v>
      </c>
      <c r="G29" s="70"/>
      <c r="J29" s="69"/>
      <c r="K29" s="69" t="s">
        <v>73</v>
      </c>
      <c r="N29" s="60"/>
      <c r="O29" s="69"/>
      <c r="P29" s="60"/>
      <c r="Q29" s="68"/>
      <c r="S29" s="69" t="s">
        <v>74</v>
      </c>
      <c r="U29" s="68"/>
    </row>
    <row r="30" spans="1:22" x14ac:dyDescent="0.3">
      <c r="A30" s="63"/>
      <c r="B30" s="69" t="s">
        <v>75</v>
      </c>
      <c r="D30" s="69" t="s">
        <v>76</v>
      </c>
      <c r="E30" s="69"/>
      <c r="F30" s="69" t="s">
        <v>77</v>
      </c>
      <c r="G30" s="70"/>
      <c r="J30" s="69"/>
      <c r="K30" s="69" t="s">
        <v>77</v>
      </c>
      <c r="N30" s="60"/>
      <c r="O30" s="69"/>
      <c r="P30" s="60"/>
      <c r="Q30" s="68"/>
      <c r="S30" s="69" t="s">
        <v>78</v>
      </c>
      <c r="U30" s="68"/>
    </row>
    <row r="31" spans="1:22" s="68" customFormat="1" ht="27" customHeight="1" x14ac:dyDescent="0.3">
      <c r="A31" s="71"/>
      <c r="B31" s="69"/>
      <c r="C31" s="72"/>
      <c r="D31" s="73"/>
      <c r="E31" s="72"/>
      <c r="F31" s="72"/>
      <c r="G31" s="7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70"/>
      <c r="U31" s="70"/>
      <c r="V31"/>
    </row>
    <row r="32" spans="1:22" ht="27" customHeight="1" x14ac:dyDescent="0.3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</row>
    <row r="33" spans="1:21" ht="27" customHeight="1" x14ac:dyDescent="0.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</row>
    <row r="34" spans="1:21" ht="27" customHeight="1" x14ac:dyDescent="0.3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</row>
    <row r="35" spans="1:21" ht="27" customHeight="1" x14ac:dyDescent="0.3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</row>
    <row r="36" spans="1:21" ht="27" customHeight="1" x14ac:dyDescent="0.3"/>
    <row r="37" spans="1:21" ht="27" customHeight="1" x14ac:dyDescent="0.3"/>
    <row r="38" spans="1:21" ht="27" customHeight="1" x14ac:dyDescent="0.3"/>
    <row r="39" spans="1:21" ht="27" customHeight="1" x14ac:dyDescent="0.3"/>
    <row r="40" spans="1:21" ht="27" customHeight="1" x14ac:dyDescent="0.3"/>
    <row r="41" spans="1:21" ht="27" customHeight="1" x14ac:dyDescent="0.3"/>
    <row r="42" spans="1:21" ht="27" customHeight="1" x14ac:dyDescent="0.3"/>
    <row r="43" spans="1:21" ht="27" customHeight="1" x14ac:dyDescent="0.3"/>
    <row r="44" spans="1:21" ht="27" customHeight="1" x14ac:dyDescent="0.3"/>
    <row r="45" spans="1:21" ht="27" customHeight="1" x14ac:dyDescent="0.3"/>
  </sheetData>
  <mergeCells count="7">
    <mergeCell ref="D22:E22"/>
    <mergeCell ref="A4:A5"/>
    <mergeCell ref="B4:B5"/>
    <mergeCell ref="C4:C5"/>
    <mergeCell ref="D4:D5"/>
    <mergeCell ref="E4:U4"/>
    <mergeCell ref="A20:B20"/>
  </mergeCells>
  <conditionalFormatting sqref="R6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532F-6FB2-4EAE-BE76-9B1F9D844273}">
  <dimension ref="A1:V52"/>
  <sheetViews>
    <sheetView workbookViewId="0">
      <selection activeCell="E16" sqref="E16"/>
    </sheetView>
  </sheetViews>
  <sheetFormatPr defaultRowHeight="14.4" x14ac:dyDescent="0.3"/>
  <cols>
    <col min="1" max="1" width="13.6640625" customWidth="1"/>
    <col min="2" max="2" width="38.5546875" customWidth="1"/>
    <col min="3" max="3" width="10.88671875" customWidth="1"/>
    <col min="4" max="4" width="12.6640625" customWidth="1"/>
    <col min="5" max="5" width="11.6640625" customWidth="1"/>
    <col min="6" max="6" width="13.5546875" customWidth="1"/>
    <col min="7" max="7" width="10.44140625" hidden="1" customWidth="1"/>
    <col min="8" max="8" width="11.5546875" hidden="1" customWidth="1"/>
    <col min="9" max="9" width="10.109375" hidden="1" customWidth="1"/>
    <col min="10" max="10" width="11" hidden="1" customWidth="1"/>
    <col min="11" max="11" width="11.109375" hidden="1" customWidth="1"/>
    <col min="12" max="12" width="10.109375" hidden="1" customWidth="1"/>
    <col min="13" max="13" width="11.33203125" customWidth="1"/>
    <col min="14" max="14" width="9.33203125" hidden="1" customWidth="1"/>
    <col min="15" max="15" width="10.33203125" hidden="1" customWidth="1"/>
    <col min="16" max="16" width="9.33203125" hidden="1" customWidth="1"/>
    <col min="17" max="17" width="10.6640625" hidden="1" customWidth="1"/>
    <col min="18" max="18" width="11.109375" customWidth="1"/>
    <col min="19" max="19" width="10.6640625" customWidth="1"/>
    <col min="20" max="20" width="11.5546875" customWidth="1"/>
    <col min="21" max="21" width="0.109375" customWidth="1"/>
    <col min="22" max="22" width="4.44140625" customWidth="1"/>
  </cols>
  <sheetData>
    <row r="1" spans="1:22" s="5" customFormat="1" ht="31.2" x14ac:dyDescent="0.6">
      <c r="A1" s="1" t="s">
        <v>0</v>
      </c>
      <c r="B1" s="2"/>
      <c r="C1" s="2"/>
      <c r="D1" s="3"/>
      <c r="E1" s="3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/>
    </row>
    <row r="2" spans="1:22" s="5" customFormat="1" ht="31.2" x14ac:dyDescent="0.6">
      <c r="A2" s="6" t="s">
        <v>2</v>
      </c>
      <c r="B2" s="6"/>
      <c r="C2" s="2"/>
      <c r="D2" s="3"/>
      <c r="F2" s="7" t="s">
        <v>79</v>
      </c>
      <c r="G2" s="7"/>
      <c r="H2" s="8"/>
      <c r="I2" s="8"/>
      <c r="J2" s="8"/>
      <c r="K2" s="8"/>
      <c r="L2" s="8"/>
      <c r="M2" s="8"/>
      <c r="N2" s="8"/>
      <c r="O2" s="3"/>
      <c r="P2" s="3"/>
      <c r="Q2" s="3"/>
      <c r="R2" s="3"/>
      <c r="S2" s="3"/>
      <c r="T2" s="3"/>
      <c r="U2" s="3"/>
      <c r="V2"/>
    </row>
    <row r="3" spans="1:22" s="5" customFormat="1" ht="15.75" customHeight="1" thickBot="1" x14ac:dyDescent="0.35">
      <c r="A3" s="2"/>
      <c r="B3" s="2"/>
      <c r="C3" s="2"/>
      <c r="D3" s="3" t="s">
        <v>4</v>
      </c>
      <c r="E3" s="8"/>
      <c r="F3" s="8"/>
      <c r="G3" s="9"/>
      <c r="H3" s="9"/>
      <c r="I3" s="9"/>
      <c r="J3" s="9"/>
      <c r="K3" s="7"/>
      <c r="L3" s="8"/>
      <c r="M3" s="9"/>
      <c r="N3" s="8"/>
      <c r="O3" s="10"/>
      <c r="P3" s="10"/>
      <c r="Q3" s="11"/>
      <c r="R3" s="11"/>
      <c r="S3" s="11"/>
      <c r="T3" s="11"/>
      <c r="U3" s="11"/>
      <c r="V3"/>
    </row>
    <row r="4" spans="1:22" s="12" customFormat="1" ht="15.75" customHeight="1" thickBot="1" x14ac:dyDescent="0.35">
      <c r="A4" s="269" t="s">
        <v>5</v>
      </c>
      <c r="B4" s="269" t="s">
        <v>6</v>
      </c>
      <c r="C4" s="271" t="s">
        <v>7</v>
      </c>
      <c r="D4" s="273" t="s">
        <v>8</v>
      </c>
      <c r="E4" s="275" t="s">
        <v>9</v>
      </c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7"/>
      <c r="V4"/>
    </row>
    <row r="5" spans="1:22" s="12" customFormat="1" ht="50.25" customHeight="1" thickBot="1" x14ac:dyDescent="0.35">
      <c r="A5" s="270"/>
      <c r="B5" s="270"/>
      <c r="C5" s="272"/>
      <c r="D5" s="274"/>
      <c r="E5" s="13" t="s">
        <v>10</v>
      </c>
      <c r="F5" s="14" t="s">
        <v>11</v>
      </c>
      <c r="G5" s="14" t="s">
        <v>12</v>
      </c>
      <c r="H5" s="14" t="s">
        <v>13</v>
      </c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19</v>
      </c>
      <c r="O5" s="14" t="s">
        <v>20</v>
      </c>
      <c r="P5" s="14" t="s">
        <v>21</v>
      </c>
      <c r="Q5" s="14" t="s">
        <v>22</v>
      </c>
      <c r="R5" s="14" t="s">
        <v>23</v>
      </c>
      <c r="S5" s="14" t="s">
        <v>24</v>
      </c>
      <c r="T5" s="14" t="s">
        <v>25</v>
      </c>
      <c r="U5" s="15" t="s">
        <v>26</v>
      </c>
      <c r="V5"/>
    </row>
    <row r="6" spans="1:22" s="12" customFormat="1" ht="16.5" hidden="1" customHeight="1" x14ac:dyDescent="0.3">
      <c r="A6" s="16"/>
      <c r="B6" s="17" t="s">
        <v>27</v>
      </c>
      <c r="C6" s="18"/>
      <c r="D6" s="19"/>
      <c r="E6" s="20"/>
      <c r="F6" s="21">
        <v>524102</v>
      </c>
      <c r="G6" s="21">
        <v>525722</v>
      </c>
      <c r="H6" s="21">
        <v>524101</v>
      </c>
      <c r="I6" s="21">
        <v>524201</v>
      </c>
      <c r="J6" s="21">
        <v>525713</v>
      </c>
      <c r="K6" s="21">
        <v>525724</v>
      </c>
      <c r="L6" s="21">
        <v>522983</v>
      </c>
      <c r="M6" s="21">
        <v>524200</v>
      </c>
      <c r="N6" s="21">
        <v>521101</v>
      </c>
      <c r="O6" s="21">
        <v>525714</v>
      </c>
      <c r="P6" s="21">
        <v>524304</v>
      </c>
      <c r="Q6" s="21">
        <v>524301</v>
      </c>
      <c r="R6" s="21">
        <v>525717</v>
      </c>
      <c r="S6" s="21">
        <v>525798</v>
      </c>
      <c r="T6" s="21">
        <v>524204</v>
      </c>
      <c r="U6" s="21">
        <v>511103</v>
      </c>
      <c r="V6"/>
    </row>
    <row r="7" spans="1:22" s="29" customFormat="1" ht="15.6" x14ac:dyDescent="0.3">
      <c r="A7" s="22"/>
      <c r="B7" s="23"/>
      <c r="C7" s="24"/>
      <c r="D7" s="25"/>
      <c r="E7" s="26"/>
      <c r="F7" s="26"/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8"/>
      <c r="T7" s="28"/>
      <c r="U7" s="28"/>
      <c r="V7"/>
    </row>
    <row r="8" spans="1:22" s="29" customFormat="1" ht="15.6" x14ac:dyDescent="0.3">
      <c r="A8" s="22">
        <v>45302</v>
      </c>
      <c r="B8" s="74" t="s">
        <v>34</v>
      </c>
      <c r="C8" s="24" t="s">
        <v>80</v>
      </c>
      <c r="D8" s="25"/>
      <c r="E8" s="26">
        <v>300</v>
      </c>
      <c r="F8" s="26"/>
      <c r="G8" s="26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E8</f>
        <v>300</v>
      </c>
      <c r="S8" s="28"/>
      <c r="T8" s="28"/>
      <c r="U8" s="28"/>
      <c r="V8"/>
    </row>
    <row r="9" spans="1:22" s="29" customFormat="1" ht="15.6" x14ac:dyDescent="0.3">
      <c r="A9" s="22">
        <v>45303</v>
      </c>
      <c r="B9" s="74" t="s">
        <v>81</v>
      </c>
      <c r="C9" s="24" t="s">
        <v>82</v>
      </c>
      <c r="D9" s="25"/>
      <c r="E9" s="26">
        <v>920</v>
      </c>
      <c r="F9" s="26"/>
      <c r="G9" s="26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8">
        <f>E9</f>
        <v>920</v>
      </c>
      <c r="T9" s="28"/>
      <c r="U9" s="28"/>
      <c r="V9"/>
    </row>
    <row r="10" spans="1:22" s="29" customFormat="1" ht="15.6" x14ac:dyDescent="0.3">
      <c r="A10" s="22">
        <v>45303</v>
      </c>
      <c r="B10" s="74" t="s">
        <v>83</v>
      </c>
      <c r="C10" s="24" t="s">
        <v>84</v>
      </c>
      <c r="D10" s="25"/>
      <c r="E10" s="26">
        <v>400</v>
      </c>
      <c r="F10" s="26"/>
      <c r="G10" s="26"/>
      <c r="H10" s="27"/>
      <c r="I10" s="27"/>
      <c r="J10" s="27"/>
      <c r="K10" s="27"/>
      <c r="L10" s="27"/>
      <c r="M10" s="27">
        <f>E10</f>
        <v>400</v>
      </c>
      <c r="N10" s="27"/>
      <c r="O10" s="27"/>
      <c r="P10" s="27"/>
      <c r="Q10" s="27"/>
      <c r="R10" s="27"/>
      <c r="S10" s="28"/>
      <c r="T10" s="28"/>
      <c r="U10" s="28"/>
      <c r="V10"/>
    </row>
    <row r="11" spans="1:22" s="29" customFormat="1" ht="15.6" x14ac:dyDescent="0.3">
      <c r="A11" s="22">
        <v>45303</v>
      </c>
      <c r="B11" s="74" t="s">
        <v>85</v>
      </c>
      <c r="C11" s="24" t="s">
        <v>86</v>
      </c>
      <c r="D11" s="25"/>
      <c r="E11" s="26">
        <v>270</v>
      </c>
      <c r="F11" s="26"/>
      <c r="G11" s="26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8">
        <f>E11</f>
        <v>270</v>
      </c>
      <c r="T11" s="28"/>
      <c r="U11" s="28"/>
      <c r="V11"/>
    </row>
    <row r="12" spans="1:22" s="29" customFormat="1" ht="15.6" x14ac:dyDescent="0.3">
      <c r="A12" s="22">
        <v>45307</v>
      </c>
      <c r="B12" s="74" t="s">
        <v>34</v>
      </c>
      <c r="C12" s="24" t="s">
        <v>87</v>
      </c>
      <c r="D12" s="25"/>
      <c r="E12" s="26">
        <v>100</v>
      </c>
      <c r="F12" s="26"/>
      <c r="G12" s="26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>
        <f>E12</f>
        <v>100</v>
      </c>
      <c r="S12" s="28"/>
      <c r="T12" s="28"/>
      <c r="U12" s="28"/>
      <c r="V12"/>
    </row>
    <row r="13" spans="1:22" s="29" customFormat="1" ht="15.6" x14ac:dyDescent="0.3">
      <c r="A13" s="22">
        <v>45307</v>
      </c>
      <c r="B13" s="74" t="s">
        <v>83</v>
      </c>
      <c r="C13" s="24" t="s">
        <v>88</v>
      </c>
      <c r="D13" s="25"/>
      <c r="E13" s="26">
        <v>300</v>
      </c>
      <c r="F13" s="26"/>
      <c r="G13" s="26"/>
      <c r="H13" s="27"/>
      <c r="I13" s="27"/>
      <c r="J13" s="27"/>
      <c r="K13" s="27"/>
      <c r="L13" s="27"/>
      <c r="M13" s="27">
        <f>E13</f>
        <v>300</v>
      </c>
      <c r="N13" s="27"/>
      <c r="O13" s="27"/>
      <c r="P13" s="27"/>
      <c r="Q13" s="27"/>
      <c r="R13" s="27"/>
      <c r="S13" s="28"/>
      <c r="T13" s="28"/>
      <c r="U13" s="28"/>
      <c r="V13"/>
    </row>
    <row r="14" spans="1:22" s="29" customFormat="1" ht="15.6" x14ac:dyDescent="0.3">
      <c r="A14" s="22">
        <v>45309</v>
      </c>
      <c r="B14" s="74" t="s">
        <v>53</v>
      </c>
      <c r="C14" s="24" t="s">
        <v>89</v>
      </c>
      <c r="D14" s="25"/>
      <c r="E14" s="26">
        <v>450</v>
      </c>
      <c r="F14" s="26"/>
      <c r="G14" s="26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8"/>
      <c r="T14" s="28">
        <f>E14</f>
        <v>450</v>
      </c>
      <c r="U14" s="28"/>
      <c r="V14"/>
    </row>
    <row r="15" spans="1:22" s="29" customFormat="1" ht="15.6" x14ac:dyDescent="0.3">
      <c r="A15" s="22">
        <v>45312</v>
      </c>
      <c r="B15" s="74" t="s">
        <v>90</v>
      </c>
      <c r="C15" s="24" t="s">
        <v>91</v>
      </c>
      <c r="D15" s="25"/>
      <c r="E15" s="26">
        <v>700</v>
      </c>
      <c r="F15" s="26">
        <f>E15</f>
        <v>700</v>
      </c>
      <c r="G15" s="26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8"/>
      <c r="T15" s="28"/>
      <c r="U15" s="28"/>
      <c r="V15"/>
    </row>
    <row r="16" spans="1:22" s="29" customFormat="1" ht="15.6" x14ac:dyDescent="0.3">
      <c r="A16" s="22">
        <v>45314</v>
      </c>
      <c r="B16" s="74" t="s">
        <v>83</v>
      </c>
      <c r="C16" s="24" t="s">
        <v>92</v>
      </c>
      <c r="D16" s="25"/>
      <c r="E16" s="26">
        <v>500</v>
      </c>
      <c r="F16" s="26"/>
      <c r="G16" s="26"/>
      <c r="H16" s="27"/>
      <c r="I16" s="27"/>
      <c r="J16" s="27"/>
      <c r="K16" s="27"/>
      <c r="L16" s="27"/>
      <c r="M16" s="27">
        <f>E16</f>
        <v>500</v>
      </c>
      <c r="N16" s="27"/>
      <c r="O16" s="27"/>
      <c r="P16" s="27"/>
      <c r="Q16" s="27"/>
      <c r="R16" s="27"/>
      <c r="S16" s="28"/>
      <c r="T16" s="28"/>
      <c r="U16" s="28"/>
      <c r="V16"/>
    </row>
    <row r="17" spans="1:22" s="29" customFormat="1" ht="15.6" x14ac:dyDescent="0.3">
      <c r="A17" s="22">
        <v>45315</v>
      </c>
      <c r="B17" s="74" t="s">
        <v>34</v>
      </c>
      <c r="C17" s="24" t="s">
        <v>93</v>
      </c>
      <c r="D17" s="25"/>
      <c r="E17" s="26">
        <v>100</v>
      </c>
      <c r="F17" s="26"/>
      <c r="G17" s="26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>
        <f>E17</f>
        <v>100</v>
      </c>
      <c r="S17" s="28"/>
      <c r="T17" s="28"/>
      <c r="U17" s="28"/>
      <c r="V17"/>
    </row>
    <row r="18" spans="1:22" s="29" customFormat="1" ht="15.6" x14ac:dyDescent="0.3">
      <c r="A18" s="22">
        <v>45317</v>
      </c>
      <c r="B18" s="74" t="s">
        <v>90</v>
      </c>
      <c r="C18" s="24" t="s">
        <v>94</v>
      </c>
      <c r="D18" s="25"/>
      <c r="E18" s="26">
        <v>800</v>
      </c>
      <c r="F18" s="26">
        <f t="shared" ref="F18:F23" si="0">E18</f>
        <v>800</v>
      </c>
      <c r="G18" s="26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8"/>
      <c r="T18" s="28"/>
      <c r="U18" s="28"/>
      <c r="V18"/>
    </row>
    <row r="19" spans="1:22" s="29" customFormat="1" ht="15.6" x14ac:dyDescent="0.3">
      <c r="A19" s="22">
        <v>45317</v>
      </c>
      <c r="B19" s="74" t="s">
        <v>90</v>
      </c>
      <c r="C19" s="24" t="s">
        <v>95</v>
      </c>
      <c r="D19" s="25"/>
      <c r="E19" s="26">
        <v>800</v>
      </c>
      <c r="F19" s="26">
        <f t="shared" si="0"/>
        <v>800</v>
      </c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8"/>
      <c r="T19" s="28"/>
      <c r="U19" s="28"/>
      <c r="V19"/>
    </row>
    <row r="20" spans="1:22" s="29" customFormat="1" ht="15.6" x14ac:dyDescent="0.3">
      <c r="A20" s="22">
        <v>45317</v>
      </c>
      <c r="B20" s="74" t="s">
        <v>90</v>
      </c>
      <c r="C20" s="24" t="s">
        <v>96</v>
      </c>
      <c r="D20" s="25"/>
      <c r="E20" s="26">
        <v>900</v>
      </c>
      <c r="F20" s="26">
        <f t="shared" si="0"/>
        <v>900</v>
      </c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8"/>
      <c r="T20" s="28"/>
      <c r="U20" s="28"/>
      <c r="V20"/>
    </row>
    <row r="21" spans="1:22" s="29" customFormat="1" ht="15.6" x14ac:dyDescent="0.3">
      <c r="A21" s="22">
        <v>45318</v>
      </c>
      <c r="B21" s="74" t="s">
        <v>90</v>
      </c>
      <c r="C21" s="24" t="s">
        <v>97</v>
      </c>
      <c r="D21" s="25"/>
      <c r="E21" s="26">
        <v>800</v>
      </c>
      <c r="F21" s="26">
        <f t="shared" si="0"/>
        <v>800</v>
      </c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8"/>
      <c r="T21" s="28"/>
      <c r="U21" s="28"/>
      <c r="V21"/>
    </row>
    <row r="22" spans="1:22" s="29" customFormat="1" ht="15.6" x14ac:dyDescent="0.3">
      <c r="A22" s="22">
        <v>45318</v>
      </c>
      <c r="B22" s="74" t="s">
        <v>90</v>
      </c>
      <c r="C22" s="24" t="s">
        <v>98</v>
      </c>
      <c r="D22" s="25"/>
      <c r="E22" s="26">
        <v>800</v>
      </c>
      <c r="F22" s="26">
        <f t="shared" si="0"/>
        <v>800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8"/>
      <c r="T22" s="28"/>
      <c r="U22" s="28"/>
      <c r="V22"/>
    </row>
    <row r="23" spans="1:22" s="29" customFormat="1" ht="15.6" x14ac:dyDescent="0.3">
      <c r="A23" s="22">
        <v>45318</v>
      </c>
      <c r="B23" s="74" t="s">
        <v>90</v>
      </c>
      <c r="C23" s="24" t="s">
        <v>99</v>
      </c>
      <c r="D23" s="25"/>
      <c r="E23" s="26">
        <v>900</v>
      </c>
      <c r="F23" s="26">
        <f t="shared" si="0"/>
        <v>900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8"/>
      <c r="T23" s="28"/>
      <c r="U23" s="28"/>
      <c r="V23"/>
    </row>
    <row r="24" spans="1:22" s="29" customFormat="1" ht="15.6" x14ac:dyDescent="0.3">
      <c r="A24" s="22">
        <v>45318</v>
      </c>
      <c r="B24" s="74" t="s">
        <v>53</v>
      </c>
      <c r="C24" s="24" t="s">
        <v>100</v>
      </c>
      <c r="D24" s="25"/>
      <c r="E24" s="26">
        <v>450</v>
      </c>
      <c r="F24" s="26"/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8"/>
      <c r="T24" s="28">
        <f>E24</f>
        <v>450</v>
      </c>
      <c r="U24" s="28"/>
      <c r="V24"/>
    </row>
    <row r="25" spans="1:22" s="29" customFormat="1" ht="15.6" x14ac:dyDescent="0.3">
      <c r="A25" s="22">
        <v>45321</v>
      </c>
      <c r="B25" s="74" t="s">
        <v>90</v>
      </c>
      <c r="C25" s="24" t="s">
        <v>101</v>
      </c>
      <c r="D25" s="25"/>
      <c r="E25" s="26">
        <v>800</v>
      </c>
      <c r="F25" s="26">
        <f>E25</f>
        <v>800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8"/>
      <c r="T25" s="28"/>
      <c r="U25" s="28"/>
      <c r="V25"/>
    </row>
    <row r="26" spans="1:22" ht="15" thickBot="1" x14ac:dyDescent="0.35">
      <c r="A26" s="37"/>
      <c r="B26" s="37"/>
      <c r="C26" s="37"/>
      <c r="D26" s="38">
        <v>50000</v>
      </c>
      <c r="E26" s="39">
        <f>SUM(E7:E25)</f>
        <v>10290</v>
      </c>
      <c r="F26" s="39">
        <f t="shared" ref="F26:T26" si="1">SUM(F7:F25)</f>
        <v>6500</v>
      </c>
      <c r="G26" s="39">
        <f t="shared" si="1"/>
        <v>0</v>
      </c>
      <c r="H26" s="39">
        <f t="shared" si="1"/>
        <v>0</v>
      </c>
      <c r="I26" s="39">
        <f t="shared" si="1"/>
        <v>0</v>
      </c>
      <c r="J26" s="39">
        <f t="shared" si="1"/>
        <v>0</v>
      </c>
      <c r="K26" s="39">
        <f t="shared" si="1"/>
        <v>0</v>
      </c>
      <c r="L26" s="39">
        <f t="shared" si="1"/>
        <v>0</v>
      </c>
      <c r="M26" s="39">
        <f t="shared" si="1"/>
        <v>1200</v>
      </c>
      <c r="N26" s="39">
        <f t="shared" si="1"/>
        <v>0</v>
      </c>
      <c r="O26" s="39">
        <f t="shared" si="1"/>
        <v>0</v>
      </c>
      <c r="P26" s="39">
        <f t="shared" si="1"/>
        <v>0</v>
      </c>
      <c r="Q26" s="39">
        <f t="shared" si="1"/>
        <v>0</v>
      </c>
      <c r="R26" s="39">
        <f t="shared" si="1"/>
        <v>500</v>
      </c>
      <c r="S26" s="39">
        <f t="shared" si="1"/>
        <v>1190</v>
      </c>
      <c r="T26" s="39">
        <f t="shared" si="1"/>
        <v>900</v>
      </c>
      <c r="U26" s="39">
        <f>SUM(U7:U25)</f>
        <v>0</v>
      </c>
    </row>
    <row r="27" spans="1:22" ht="15" thickTop="1" x14ac:dyDescent="0.3">
      <c r="A27" s="278" t="s">
        <v>61</v>
      </c>
      <c r="B27" s="278"/>
      <c r="C27" s="40"/>
      <c r="D27" s="41">
        <f>SUM(D26)-E26</f>
        <v>39710</v>
      </c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3"/>
      <c r="U27" s="44"/>
    </row>
    <row r="28" spans="1:22" ht="17.25" customHeight="1" thickBot="1" x14ac:dyDescent="0.35">
      <c r="A28" s="45"/>
      <c r="B28" s="45"/>
      <c r="C28" s="45"/>
      <c r="D28" s="45"/>
      <c r="E28" s="45"/>
      <c r="F28" s="45"/>
      <c r="G28" s="46"/>
      <c r="H28" s="46"/>
      <c r="I28" s="46"/>
      <c r="J28" s="46"/>
      <c r="K28" s="46"/>
      <c r="L28" s="46"/>
      <c r="M28" s="46"/>
      <c r="N28" s="46"/>
      <c r="O28" s="46"/>
      <c r="P28" s="47"/>
      <c r="Q28" s="46"/>
      <c r="R28" s="46"/>
      <c r="S28" s="46"/>
      <c r="T28" s="46"/>
      <c r="U28" s="46"/>
      <c r="V28" s="48"/>
    </row>
    <row r="29" spans="1:22" s="57" customFormat="1" ht="27" customHeight="1" thickBot="1" x14ac:dyDescent="0.5">
      <c r="A29" s="49" t="s">
        <v>62</v>
      </c>
      <c r="B29" s="49"/>
      <c r="C29" s="50"/>
      <c r="D29" s="267">
        <f>E26</f>
        <v>10290</v>
      </c>
      <c r="E29" s="268"/>
      <c r="F29" s="51"/>
      <c r="G29" s="52"/>
      <c r="H29" s="53"/>
      <c r="I29" s="54"/>
      <c r="J29" s="52"/>
      <c r="K29" s="52"/>
      <c r="L29" s="52"/>
      <c r="M29" s="55"/>
      <c r="N29" s="55"/>
      <c r="O29" s="52"/>
      <c r="P29" s="47"/>
      <c r="Q29" s="52"/>
      <c r="R29" s="52"/>
      <c r="S29" s="52"/>
      <c r="T29" s="52"/>
      <c r="U29" s="52"/>
      <c r="V29" s="56"/>
    </row>
    <row r="30" spans="1:22" ht="20.399999999999999" x14ac:dyDescent="0.35">
      <c r="A30" s="45"/>
      <c r="B30" s="45"/>
      <c r="C30" s="45"/>
      <c r="D30" s="58"/>
      <c r="E30" s="45"/>
      <c r="F30" s="45"/>
      <c r="G30" s="52"/>
      <c r="H30" s="59"/>
      <c r="I30" s="60"/>
      <c r="J30" s="60"/>
      <c r="K30" s="60"/>
      <c r="L30" s="60"/>
      <c r="M30" s="60"/>
      <c r="N30" s="60"/>
      <c r="O30" s="46"/>
      <c r="P30" s="47"/>
      <c r="Q30" s="46"/>
      <c r="R30" s="46"/>
      <c r="S30" s="46"/>
      <c r="T30" s="46"/>
      <c r="U30" s="46"/>
      <c r="V30" s="48"/>
    </row>
    <row r="31" spans="1:22" ht="20.399999999999999" x14ac:dyDescent="0.35">
      <c r="A31" s="45"/>
      <c r="B31" s="45"/>
      <c r="C31" s="45"/>
      <c r="D31" s="58"/>
      <c r="E31" s="45"/>
      <c r="F31" s="45"/>
      <c r="G31" s="52"/>
      <c r="H31" s="59"/>
      <c r="I31" s="60"/>
      <c r="J31" s="60"/>
      <c r="K31" s="60"/>
      <c r="L31" s="60"/>
      <c r="M31" s="60"/>
      <c r="N31" s="60"/>
      <c r="O31" s="46"/>
      <c r="P31" s="47"/>
      <c r="Q31" s="46"/>
      <c r="R31" s="46"/>
      <c r="S31" s="46"/>
      <c r="T31" s="46"/>
      <c r="U31" s="46"/>
      <c r="V31" s="48"/>
    </row>
    <row r="32" spans="1:22" ht="20.399999999999999" x14ac:dyDescent="0.35">
      <c r="A32" s="45"/>
      <c r="B32" s="45"/>
      <c r="C32" s="45"/>
      <c r="D32" s="58"/>
      <c r="E32" s="45"/>
      <c r="F32" s="45"/>
      <c r="G32" s="52"/>
      <c r="H32" s="59"/>
      <c r="I32" s="60"/>
      <c r="J32" s="60"/>
      <c r="K32" s="60"/>
      <c r="L32" s="60"/>
      <c r="M32" s="60"/>
      <c r="N32" s="60"/>
      <c r="O32" s="46"/>
      <c r="P32" s="47"/>
      <c r="Q32" s="46"/>
      <c r="R32" s="46"/>
      <c r="S32" s="46"/>
      <c r="T32" s="46"/>
      <c r="U32" s="46"/>
      <c r="V32" s="48"/>
    </row>
    <row r="33" spans="1:22" ht="20.399999999999999" x14ac:dyDescent="0.35">
      <c r="A33" s="47"/>
      <c r="B33" s="47"/>
      <c r="C33" s="47"/>
      <c r="D33" s="61"/>
      <c r="E33" s="61"/>
      <c r="F33" s="61"/>
      <c r="G33" s="52"/>
      <c r="H33" s="47"/>
      <c r="I33" s="61"/>
      <c r="J33" s="61"/>
      <c r="K33" s="61"/>
      <c r="L33" s="61"/>
      <c r="M33" s="62"/>
      <c r="N33" s="47"/>
      <c r="O33" s="47"/>
      <c r="P33" s="47"/>
      <c r="Q33" s="47"/>
      <c r="R33" s="47"/>
      <c r="S33" s="47"/>
      <c r="T33" s="47"/>
      <c r="U33" s="47"/>
    </row>
    <row r="34" spans="1:22" x14ac:dyDescent="0.3">
      <c r="A34" s="63"/>
      <c r="B34" s="64" t="s">
        <v>63</v>
      </c>
      <c r="D34" s="64" t="s">
        <v>64</v>
      </c>
      <c r="E34" s="64"/>
      <c r="F34" s="66" t="s">
        <v>65</v>
      </c>
      <c r="G34" s="65"/>
      <c r="J34" s="66"/>
      <c r="K34" s="66" t="s">
        <v>65</v>
      </c>
      <c r="N34" s="67"/>
      <c r="O34" s="66"/>
      <c r="P34" s="67"/>
      <c r="Q34" s="68"/>
      <c r="S34" s="66" t="s">
        <v>66</v>
      </c>
      <c r="U34" s="68"/>
    </row>
    <row r="35" spans="1:22" x14ac:dyDescent="0.3">
      <c r="A35" s="63"/>
      <c r="B35" s="69" t="s">
        <v>67</v>
      </c>
      <c r="D35" s="69" t="s">
        <v>68</v>
      </c>
      <c r="E35" s="69"/>
      <c r="F35" s="69" t="s">
        <v>69</v>
      </c>
      <c r="G35" s="70"/>
      <c r="J35" s="69"/>
      <c r="K35" s="69" t="s">
        <v>69</v>
      </c>
      <c r="N35" s="69"/>
      <c r="O35" s="69"/>
      <c r="P35" s="69"/>
      <c r="Q35" s="69"/>
      <c r="S35" s="69" t="s">
        <v>70</v>
      </c>
      <c r="U35" s="68"/>
    </row>
    <row r="36" spans="1:22" x14ac:dyDescent="0.3">
      <c r="A36" s="63"/>
      <c r="B36" s="69" t="s">
        <v>71</v>
      </c>
      <c r="D36" s="69" t="s">
        <v>72</v>
      </c>
      <c r="E36" s="69"/>
      <c r="F36" s="69" t="s">
        <v>73</v>
      </c>
      <c r="G36" s="70"/>
      <c r="J36" s="69"/>
      <c r="K36" s="69" t="s">
        <v>73</v>
      </c>
      <c r="N36" s="60"/>
      <c r="O36" s="69"/>
      <c r="P36" s="60"/>
      <c r="Q36" s="68"/>
      <c r="S36" s="69" t="s">
        <v>74</v>
      </c>
      <c r="U36" s="68"/>
    </row>
    <row r="37" spans="1:22" x14ac:dyDescent="0.3">
      <c r="A37" s="63"/>
      <c r="B37" s="69" t="s">
        <v>75</v>
      </c>
      <c r="D37" s="69" t="s">
        <v>76</v>
      </c>
      <c r="E37" s="69"/>
      <c r="F37" s="69" t="s">
        <v>77</v>
      </c>
      <c r="G37" s="70"/>
      <c r="J37" s="69"/>
      <c r="K37" s="69" t="s">
        <v>77</v>
      </c>
      <c r="N37" s="60"/>
      <c r="O37" s="69"/>
      <c r="P37" s="60"/>
      <c r="Q37" s="68"/>
      <c r="S37" s="69" t="s">
        <v>78</v>
      </c>
      <c r="U37" s="68"/>
    </row>
    <row r="38" spans="1:22" s="68" customFormat="1" ht="27" customHeight="1" x14ac:dyDescent="0.3">
      <c r="A38" s="71"/>
      <c r="B38" s="69"/>
      <c r="C38" s="72"/>
      <c r="D38" s="73"/>
      <c r="E38" s="72"/>
      <c r="F38" s="72"/>
      <c r="G38" s="7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70"/>
      <c r="U38" s="70"/>
      <c r="V38"/>
    </row>
    <row r="39" spans="1:22" ht="27" customHeight="1" x14ac:dyDescent="0.3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</row>
    <row r="40" spans="1:22" ht="27" customHeight="1" x14ac:dyDescent="0.3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</row>
    <row r="41" spans="1:22" ht="27" customHeight="1" x14ac:dyDescent="0.3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</row>
    <row r="42" spans="1:22" ht="27" customHeight="1" x14ac:dyDescent="0.3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</row>
    <row r="43" spans="1:22" ht="27" customHeight="1" x14ac:dyDescent="0.3"/>
    <row r="44" spans="1:22" ht="27" customHeight="1" x14ac:dyDescent="0.3"/>
    <row r="45" spans="1:22" ht="27" customHeight="1" x14ac:dyDescent="0.3"/>
    <row r="46" spans="1:22" ht="27" customHeight="1" x14ac:dyDescent="0.3"/>
    <row r="47" spans="1:22" ht="27" customHeight="1" x14ac:dyDescent="0.3"/>
    <row r="48" spans="1:22" ht="27" customHeight="1" x14ac:dyDescent="0.3"/>
    <row r="49" customFormat="1" ht="27" customHeight="1" x14ac:dyDescent="0.3"/>
    <row r="50" customFormat="1" ht="27" customHeight="1" x14ac:dyDescent="0.3"/>
    <row r="51" customFormat="1" ht="27" customHeight="1" x14ac:dyDescent="0.3"/>
    <row r="52" customFormat="1" ht="27" customHeight="1" x14ac:dyDescent="0.3"/>
  </sheetData>
  <mergeCells count="7">
    <mergeCell ref="D29:E29"/>
    <mergeCell ref="A4:A5"/>
    <mergeCell ref="B4:B5"/>
    <mergeCell ref="C4:C5"/>
    <mergeCell ref="D4:D5"/>
    <mergeCell ref="E4:U4"/>
    <mergeCell ref="A27:B27"/>
  </mergeCells>
  <conditionalFormatting sqref="R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5A81-C563-4B2C-BA45-AC440DA074F5}">
  <dimension ref="A1:V55"/>
  <sheetViews>
    <sheetView workbookViewId="0">
      <selection activeCell="F7" sqref="F7"/>
    </sheetView>
  </sheetViews>
  <sheetFormatPr defaultRowHeight="14.4" x14ac:dyDescent="0.3"/>
  <cols>
    <col min="1" max="1" width="13.6640625" customWidth="1"/>
    <col min="2" max="2" width="38.5546875" customWidth="1"/>
    <col min="3" max="3" width="10.88671875" customWidth="1"/>
    <col min="4" max="4" width="12.6640625" customWidth="1"/>
    <col min="5" max="5" width="11.6640625" customWidth="1"/>
    <col min="6" max="6" width="13.5546875" customWidth="1"/>
    <col min="7" max="7" width="10.44140625" hidden="1" customWidth="1"/>
    <col min="8" max="8" width="11.5546875" bestFit="1" customWidth="1"/>
    <col min="9" max="9" width="10.109375" hidden="1" customWidth="1"/>
    <col min="10" max="10" width="11" hidden="1" customWidth="1"/>
    <col min="11" max="11" width="11.109375" bestFit="1" customWidth="1"/>
    <col min="12" max="12" width="10.109375" bestFit="1" customWidth="1"/>
    <col min="13" max="13" width="9" customWidth="1"/>
    <col min="14" max="14" width="9.33203125" hidden="1" customWidth="1"/>
    <col min="15" max="15" width="10.33203125" hidden="1" customWidth="1"/>
    <col min="16" max="16" width="9.33203125" hidden="1" customWidth="1"/>
    <col min="17" max="17" width="10.6640625" hidden="1" customWidth="1"/>
    <col min="18" max="18" width="11.109375" customWidth="1"/>
    <col min="20" max="20" width="11.5546875" customWidth="1"/>
    <col min="21" max="21" width="0.109375" customWidth="1"/>
    <col min="22" max="22" width="4.44140625" customWidth="1"/>
  </cols>
  <sheetData>
    <row r="1" spans="1:22" s="5" customFormat="1" ht="31.2" x14ac:dyDescent="0.6">
      <c r="A1" s="1" t="s">
        <v>0</v>
      </c>
      <c r="B1" s="2"/>
      <c r="C1" s="2"/>
      <c r="D1" s="3"/>
      <c r="E1" s="3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/>
    </row>
    <row r="2" spans="1:22" s="5" customFormat="1" ht="31.2" x14ac:dyDescent="0.6">
      <c r="A2" s="6" t="s">
        <v>2</v>
      </c>
      <c r="B2" s="6"/>
      <c r="C2" s="2"/>
      <c r="D2" s="3"/>
      <c r="F2" s="7" t="s">
        <v>3</v>
      </c>
      <c r="G2" s="7"/>
      <c r="H2" s="8"/>
      <c r="I2" s="8"/>
      <c r="J2" s="8"/>
      <c r="K2" s="8"/>
      <c r="L2" s="8"/>
      <c r="M2" s="8"/>
      <c r="N2" s="8"/>
      <c r="O2" s="3"/>
      <c r="P2" s="3"/>
      <c r="Q2" s="3"/>
      <c r="R2" s="3"/>
      <c r="S2" s="3"/>
      <c r="T2" s="3"/>
      <c r="U2" s="3"/>
      <c r="V2"/>
    </row>
    <row r="3" spans="1:22" s="5" customFormat="1" ht="15.75" customHeight="1" thickBot="1" x14ac:dyDescent="0.35">
      <c r="A3" s="2"/>
      <c r="B3" s="2"/>
      <c r="C3" s="2"/>
      <c r="D3" s="3" t="s">
        <v>4</v>
      </c>
      <c r="E3" s="8"/>
      <c r="F3" s="8"/>
      <c r="G3" s="9"/>
      <c r="H3" s="9"/>
      <c r="I3" s="9"/>
      <c r="J3" s="9"/>
      <c r="K3" s="7"/>
      <c r="L3" s="8"/>
      <c r="M3" s="9"/>
      <c r="N3" s="8"/>
      <c r="O3" s="10"/>
      <c r="P3" s="10"/>
      <c r="Q3" s="11"/>
      <c r="R3" s="11"/>
      <c r="S3" s="11"/>
      <c r="T3" s="11"/>
      <c r="U3" s="11"/>
      <c r="V3"/>
    </row>
    <row r="4" spans="1:22" s="12" customFormat="1" ht="15.75" customHeight="1" thickBot="1" x14ac:dyDescent="0.35">
      <c r="A4" s="269" t="s">
        <v>5</v>
      </c>
      <c r="B4" s="269" t="s">
        <v>6</v>
      </c>
      <c r="C4" s="271" t="s">
        <v>7</v>
      </c>
      <c r="D4" s="273" t="s">
        <v>8</v>
      </c>
      <c r="E4" s="275" t="s">
        <v>9</v>
      </c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7"/>
      <c r="V4"/>
    </row>
    <row r="5" spans="1:22" s="12" customFormat="1" ht="50.25" customHeight="1" thickBot="1" x14ac:dyDescent="0.35">
      <c r="A5" s="270"/>
      <c r="B5" s="270"/>
      <c r="C5" s="272"/>
      <c r="D5" s="274"/>
      <c r="E5" s="13" t="s">
        <v>10</v>
      </c>
      <c r="F5" s="14" t="s">
        <v>11</v>
      </c>
      <c r="G5" s="14" t="s">
        <v>12</v>
      </c>
      <c r="H5" s="14" t="s">
        <v>13</v>
      </c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19</v>
      </c>
      <c r="O5" s="14" t="s">
        <v>20</v>
      </c>
      <c r="P5" s="14" t="s">
        <v>21</v>
      </c>
      <c r="Q5" s="14" t="s">
        <v>22</v>
      </c>
      <c r="R5" s="14" t="s">
        <v>23</v>
      </c>
      <c r="S5" s="14" t="s">
        <v>24</v>
      </c>
      <c r="T5" s="14" t="s">
        <v>25</v>
      </c>
      <c r="U5" s="15" t="s">
        <v>26</v>
      </c>
      <c r="V5"/>
    </row>
    <row r="6" spans="1:22" s="12" customFormat="1" ht="16.5" hidden="1" customHeight="1" x14ac:dyDescent="0.3">
      <c r="A6" s="16"/>
      <c r="B6" s="17" t="s">
        <v>27</v>
      </c>
      <c r="C6" s="18"/>
      <c r="D6" s="19"/>
      <c r="E6" s="20"/>
      <c r="F6" s="21">
        <v>524102</v>
      </c>
      <c r="G6" s="21">
        <v>525722</v>
      </c>
      <c r="H6" s="21">
        <v>524101</v>
      </c>
      <c r="I6" s="21">
        <v>524201</v>
      </c>
      <c r="J6" s="21">
        <v>525713</v>
      </c>
      <c r="K6" s="21">
        <v>525724</v>
      </c>
      <c r="L6" s="21">
        <v>522983</v>
      </c>
      <c r="M6" s="21">
        <v>524200</v>
      </c>
      <c r="N6" s="21">
        <v>521101</v>
      </c>
      <c r="O6" s="21">
        <v>525714</v>
      </c>
      <c r="P6" s="21">
        <v>524304</v>
      </c>
      <c r="Q6" s="21">
        <v>524301</v>
      </c>
      <c r="R6" s="21">
        <v>525717</v>
      </c>
      <c r="S6" s="21">
        <v>525798</v>
      </c>
      <c r="T6" s="21">
        <v>524204</v>
      </c>
      <c r="U6" s="21">
        <v>511103</v>
      </c>
      <c r="V6"/>
    </row>
    <row r="7" spans="1:22" s="29" customFormat="1" ht="15.6" x14ac:dyDescent="0.3">
      <c r="A7" s="22"/>
      <c r="B7" s="23"/>
      <c r="C7" s="24"/>
      <c r="D7" s="25"/>
      <c r="E7" s="26"/>
      <c r="F7" s="26"/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8"/>
      <c r="T7" s="28"/>
      <c r="U7" s="28"/>
      <c r="V7"/>
    </row>
    <row r="8" spans="1:22" s="29" customFormat="1" ht="15.6" x14ac:dyDescent="0.3">
      <c r="A8" s="30">
        <v>45280</v>
      </c>
      <c r="B8" s="31" t="s">
        <v>28</v>
      </c>
      <c r="C8" s="32" t="s">
        <v>29</v>
      </c>
      <c r="D8" s="33"/>
      <c r="E8" s="34">
        <v>120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>
        <f>E8</f>
        <v>120</v>
      </c>
      <c r="S8" s="34"/>
      <c r="T8" s="34"/>
      <c r="U8" s="28"/>
      <c r="V8"/>
    </row>
    <row r="9" spans="1:22" s="29" customFormat="1" ht="15.6" x14ac:dyDescent="0.3">
      <c r="A9" s="30">
        <v>45287</v>
      </c>
      <c r="B9" s="31" t="s">
        <v>30</v>
      </c>
      <c r="C9" s="32" t="s">
        <v>31</v>
      </c>
      <c r="D9" s="33"/>
      <c r="E9" s="34">
        <v>400</v>
      </c>
      <c r="F9" s="34"/>
      <c r="G9" s="34"/>
      <c r="H9" s="34"/>
      <c r="I9" s="34"/>
      <c r="J9" s="34"/>
      <c r="K9" s="34"/>
      <c r="L9" s="34"/>
      <c r="M9" s="34">
        <f>E9</f>
        <v>400</v>
      </c>
      <c r="N9" s="34"/>
      <c r="O9" s="34"/>
      <c r="P9" s="34"/>
      <c r="Q9" s="34"/>
      <c r="R9" s="34"/>
      <c r="S9" s="34"/>
      <c r="T9" s="34"/>
      <c r="U9" s="28"/>
      <c r="V9"/>
    </row>
    <row r="10" spans="1:22" s="29" customFormat="1" ht="15.6" x14ac:dyDescent="0.3">
      <c r="A10" s="30">
        <v>45290</v>
      </c>
      <c r="B10" s="31" t="s">
        <v>32</v>
      </c>
      <c r="C10" s="32" t="s">
        <v>33</v>
      </c>
      <c r="D10" s="33"/>
      <c r="E10" s="34">
        <v>1500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>
        <f>E10</f>
        <v>1500</v>
      </c>
      <c r="U10" s="28"/>
      <c r="V10"/>
    </row>
    <row r="11" spans="1:22" s="29" customFormat="1" ht="15.6" x14ac:dyDescent="0.3">
      <c r="A11" s="30">
        <v>45291</v>
      </c>
      <c r="B11" s="31" t="s">
        <v>34</v>
      </c>
      <c r="C11" s="32" t="s">
        <v>35</v>
      </c>
      <c r="D11" s="33"/>
      <c r="E11" s="34">
        <v>200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>
        <f>E11</f>
        <v>200</v>
      </c>
      <c r="S11" s="34"/>
      <c r="T11" s="34"/>
      <c r="U11" s="28"/>
      <c r="V11"/>
    </row>
    <row r="12" spans="1:22" s="29" customFormat="1" ht="15.6" x14ac:dyDescent="0.3">
      <c r="A12" s="30">
        <v>45293</v>
      </c>
      <c r="B12" s="31" t="s">
        <v>36</v>
      </c>
      <c r="C12" s="32" t="s">
        <v>37</v>
      </c>
      <c r="D12" s="33"/>
      <c r="E12" s="34">
        <v>660</v>
      </c>
      <c r="F12" s="34">
        <f>E12</f>
        <v>660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28"/>
      <c r="V12"/>
    </row>
    <row r="13" spans="1:22" s="29" customFormat="1" ht="15.6" x14ac:dyDescent="0.3">
      <c r="A13" s="30">
        <v>45293</v>
      </c>
      <c r="B13" s="31" t="s">
        <v>38</v>
      </c>
      <c r="C13" s="32" t="s">
        <v>39</v>
      </c>
      <c r="D13" s="33"/>
      <c r="E13" s="34">
        <v>150</v>
      </c>
      <c r="F13" s="34"/>
      <c r="G13" s="34"/>
      <c r="H13" s="34">
        <f>E13</f>
        <v>150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28"/>
      <c r="V13"/>
    </row>
    <row r="14" spans="1:22" s="29" customFormat="1" ht="15.6" x14ac:dyDescent="0.3">
      <c r="A14" s="30">
        <v>45293</v>
      </c>
      <c r="B14" s="31" t="s">
        <v>36</v>
      </c>
      <c r="C14" s="32" t="s">
        <v>40</v>
      </c>
      <c r="D14" s="33"/>
      <c r="E14" s="34">
        <v>400</v>
      </c>
      <c r="F14" s="34">
        <f>E14</f>
        <v>400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8"/>
      <c r="V14"/>
    </row>
    <row r="15" spans="1:22" s="29" customFormat="1" ht="15.6" x14ac:dyDescent="0.3">
      <c r="A15" s="30">
        <v>45293</v>
      </c>
      <c r="B15" s="31" t="s">
        <v>36</v>
      </c>
      <c r="C15" s="32" t="s">
        <v>41</v>
      </c>
      <c r="D15" s="33"/>
      <c r="E15" s="34">
        <v>400</v>
      </c>
      <c r="F15" s="34">
        <f>E15</f>
        <v>400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28"/>
      <c r="V15"/>
    </row>
    <row r="16" spans="1:22" s="29" customFormat="1" ht="15.6" x14ac:dyDescent="0.3">
      <c r="A16" s="30">
        <v>45295</v>
      </c>
      <c r="B16" s="31" t="s">
        <v>30</v>
      </c>
      <c r="C16" s="32" t="s">
        <v>42</v>
      </c>
      <c r="D16" s="33"/>
      <c r="E16" s="34">
        <v>400</v>
      </c>
      <c r="F16" s="34"/>
      <c r="G16" s="34"/>
      <c r="H16" s="34"/>
      <c r="I16" s="34"/>
      <c r="J16" s="34"/>
      <c r="K16" s="34"/>
      <c r="L16" s="34"/>
      <c r="M16" s="34">
        <f>E16</f>
        <v>400</v>
      </c>
      <c r="N16" s="34"/>
      <c r="O16" s="34"/>
      <c r="P16" s="34"/>
      <c r="Q16" s="34"/>
      <c r="R16" s="34"/>
      <c r="S16" s="34"/>
      <c r="T16" s="34"/>
      <c r="U16" s="28"/>
      <c r="V16"/>
    </row>
    <row r="17" spans="1:22" s="29" customFormat="1" ht="15.6" x14ac:dyDescent="0.3">
      <c r="A17" s="30">
        <v>45296</v>
      </c>
      <c r="B17" s="31" t="s">
        <v>43</v>
      </c>
      <c r="C17" s="32" t="s">
        <v>44</v>
      </c>
      <c r="D17" s="33"/>
      <c r="E17" s="34">
        <v>600</v>
      </c>
      <c r="F17" s="34">
        <f>E17</f>
        <v>600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28"/>
      <c r="V17"/>
    </row>
    <row r="18" spans="1:22" s="29" customFormat="1" ht="15.6" x14ac:dyDescent="0.3">
      <c r="A18" s="30">
        <v>45296</v>
      </c>
      <c r="B18" s="31" t="s">
        <v>43</v>
      </c>
      <c r="C18" s="32" t="s">
        <v>45</v>
      </c>
      <c r="D18" s="33"/>
      <c r="E18" s="34">
        <v>480</v>
      </c>
      <c r="F18" s="34">
        <f t="shared" ref="F18:F19" si="0">E18</f>
        <v>480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28"/>
      <c r="V18"/>
    </row>
    <row r="19" spans="1:22" s="29" customFormat="1" ht="15.6" x14ac:dyDescent="0.3">
      <c r="A19" s="30">
        <v>45296</v>
      </c>
      <c r="B19" s="31" t="s">
        <v>43</v>
      </c>
      <c r="C19" s="32" t="s">
        <v>46</v>
      </c>
      <c r="D19" s="33"/>
      <c r="E19" s="34">
        <v>1100</v>
      </c>
      <c r="F19" s="34">
        <f t="shared" si="0"/>
        <v>1100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28"/>
      <c r="V19"/>
    </row>
    <row r="20" spans="1:22" s="29" customFormat="1" ht="15.6" x14ac:dyDescent="0.3">
      <c r="A20" s="30">
        <v>45296</v>
      </c>
      <c r="B20" s="31" t="s">
        <v>47</v>
      </c>
      <c r="C20" s="32" t="s">
        <v>48</v>
      </c>
      <c r="D20" s="33"/>
      <c r="E20" s="34">
        <v>750</v>
      </c>
      <c r="F20" s="34"/>
      <c r="G20" s="34"/>
      <c r="H20" s="34"/>
      <c r="I20" s="34"/>
      <c r="J20" s="34"/>
      <c r="K20" s="34"/>
      <c r="L20" s="34">
        <f>E20</f>
        <v>750</v>
      </c>
      <c r="M20" s="34"/>
      <c r="N20" s="34"/>
      <c r="O20" s="34"/>
      <c r="P20" s="34"/>
      <c r="Q20" s="34"/>
      <c r="R20" s="34"/>
      <c r="S20" s="34"/>
      <c r="T20" s="34"/>
      <c r="U20" s="28"/>
      <c r="V20"/>
    </row>
    <row r="21" spans="1:22" s="36" customFormat="1" ht="15.6" x14ac:dyDescent="0.3">
      <c r="A21" s="30">
        <v>45296</v>
      </c>
      <c r="B21" s="31" t="s">
        <v>49</v>
      </c>
      <c r="C21" s="32" t="s">
        <v>50</v>
      </c>
      <c r="D21" s="33"/>
      <c r="E21" s="34">
        <v>75</v>
      </c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>
        <f>E21</f>
        <v>75</v>
      </c>
      <c r="S21" s="34"/>
      <c r="T21" s="34"/>
      <c r="U21" s="35"/>
    </row>
    <row r="22" spans="1:22" s="36" customFormat="1" ht="15.6" x14ac:dyDescent="0.3">
      <c r="A22" s="30">
        <v>45296</v>
      </c>
      <c r="B22" s="31" t="s">
        <v>51</v>
      </c>
      <c r="C22" s="32" t="s">
        <v>52</v>
      </c>
      <c r="D22" s="33"/>
      <c r="E22" s="34">
        <v>400</v>
      </c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>
        <f>E22</f>
        <v>400</v>
      </c>
      <c r="U22" s="35"/>
    </row>
    <row r="23" spans="1:22" s="36" customFormat="1" ht="15.6" x14ac:dyDescent="0.3">
      <c r="A23" s="30">
        <v>45299</v>
      </c>
      <c r="B23" s="31" t="s">
        <v>53</v>
      </c>
      <c r="C23" s="32" t="s">
        <v>54</v>
      </c>
      <c r="D23" s="33"/>
      <c r="E23" s="34">
        <v>400</v>
      </c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>
        <f>E23</f>
        <v>400</v>
      </c>
      <c r="U23" s="35"/>
    </row>
    <row r="24" spans="1:22" s="36" customFormat="1" ht="27.6" x14ac:dyDescent="0.3">
      <c r="A24" s="30">
        <v>45300</v>
      </c>
      <c r="B24" s="31" t="s">
        <v>55</v>
      </c>
      <c r="C24" s="32" t="s">
        <v>56</v>
      </c>
      <c r="D24" s="33"/>
      <c r="E24" s="34">
        <v>660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>
        <f>E24</f>
        <v>660</v>
      </c>
      <c r="S24" s="34"/>
      <c r="T24" s="34"/>
      <c r="U24" s="35"/>
    </row>
    <row r="25" spans="1:22" s="36" customFormat="1" ht="15.6" x14ac:dyDescent="0.3">
      <c r="A25" s="30">
        <v>45301</v>
      </c>
      <c r="B25" s="31" t="s">
        <v>57</v>
      </c>
      <c r="C25" s="32" t="s">
        <v>58</v>
      </c>
      <c r="D25" s="33"/>
      <c r="E25" s="34">
        <v>810</v>
      </c>
      <c r="F25" s="34"/>
      <c r="G25" s="34"/>
      <c r="H25" s="34"/>
      <c r="I25" s="34"/>
      <c r="J25" s="34"/>
      <c r="K25" s="34">
        <f>E25</f>
        <v>810</v>
      </c>
      <c r="L25" s="34"/>
      <c r="M25" s="34"/>
      <c r="N25" s="34"/>
      <c r="O25" s="34"/>
      <c r="P25" s="34"/>
      <c r="Q25" s="34"/>
      <c r="R25" s="34"/>
      <c r="S25" s="34"/>
      <c r="T25" s="34"/>
      <c r="U25" s="35"/>
    </row>
    <row r="26" spans="1:22" s="36" customFormat="1" ht="15.6" x14ac:dyDescent="0.3">
      <c r="A26" s="30">
        <v>45301</v>
      </c>
      <c r="B26" s="31" t="s">
        <v>59</v>
      </c>
      <c r="C26" s="32" t="s">
        <v>60</v>
      </c>
      <c r="D26" s="33"/>
      <c r="E26" s="34">
        <v>300</v>
      </c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>
        <f>E26</f>
        <v>300</v>
      </c>
      <c r="T26" s="34"/>
      <c r="U26" s="35"/>
    </row>
    <row r="27" spans="1:22" s="36" customFormat="1" ht="15.6" x14ac:dyDescent="0.3">
      <c r="A27" s="30"/>
      <c r="B27" s="31"/>
      <c r="C27" s="32"/>
      <c r="D27" s="33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5"/>
    </row>
    <row r="28" spans="1:22" s="36" customFormat="1" ht="15.6" x14ac:dyDescent="0.3">
      <c r="A28" s="30"/>
      <c r="B28" s="31"/>
      <c r="C28" s="32"/>
      <c r="D28" s="33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5"/>
    </row>
    <row r="29" spans="1:22" ht="15" thickBot="1" x14ac:dyDescent="0.35">
      <c r="A29" s="37"/>
      <c r="B29" s="37"/>
      <c r="C29" s="37"/>
      <c r="D29" s="38">
        <v>50000</v>
      </c>
      <c r="E29" s="39">
        <f>SUM(E7:E28)</f>
        <v>9805</v>
      </c>
      <c r="F29" s="39">
        <f t="shared" ref="F29:T29" si="1">SUM(F7:F28)</f>
        <v>3640</v>
      </c>
      <c r="G29" s="39">
        <f t="shared" si="1"/>
        <v>0</v>
      </c>
      <c r="H29" s="39">
        <f t="shared" si="1"/>
        <v>150</v>
      </c>
      <c r="I29" s="39">
        <f t="shared" si="1"/>
        <v>0</v>
      </c>
      <c r="J29" s="39">
        <f t="shared" si="1"/>
        <v>0</v>
      </c>
      <c r="K29" s="39">
        <f t="shared" si="1"/>
        <v>810</v>
      </c>
      <c r="L29" s="39">
        <f t="shared" si="1"/>
        <v>750</v>
      </c>
      <c r="M29" s="39">
        <f t="shared" si="1"/>
        <v>800</v>
      </c>
      <c r="N29" s="39">
        <f t="shared" si="1"/>
        <v>0</v>
      </c>
      <c r="O29" s="39">
        <f t="shared" si="1"/>
        <v>0</v>
      </c>
      <c r="P29" s="39">
        <f t="shared" si="1"/>
        <v>0</v>
      </c>
      <c r="Q29" s="39">
        <f t="shared" si="1"/>
        <v>0</v>
      </c>
      <c r="R29" s="39">
        <f t="shared" si="1"/>
        <v>1055</v>
      </c>
      <c r="S29" s="39">
        <f t="shared" si="1"/>
        <v>300</v>
      </c>
      <c r="T29" s="39">
        <f t="shared" si="1"/>
        <v>2300</v>
      </c>
      <c r="U29" s="39">
        <f>SUM(U7:U28)</f>
        <v>0</v>
      </c>
    </row>
    <row r="30" spans="1:22" ht="15" thickTop="1" x14ac:dyDescent="0.3">
      <c r="A30" s="278" t="s">
        <v>61</v>
      </c>
      <c r="B30" s="278"/>
      <c r="C30" s="40"/>
      <c r="D30" s="41">
        <f>SUM(D29)-E29</f>
        <v>40195</v>
      </c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3"/>
      <c r="U30" s="44"/>
    </row>
    <row r="31" spans="1:22" ht="17.25" customHeight="1" thickBot="1" x14ac:dyDescent="0.35">
      <c r="A31" s="45"/>
      <c r="B31" s="45"/>
      <c r="C31" s="45"/>
      <c r="D31" s="45"/>
      <c r="E31" s="45"/>
      <c r="F31" s="45"/>
      <c r="G31" s="46"/>
      <c r="H31" s="46"/>
      <c r="I31" s="46"/>
      <c r="J31" s="46"/>
      <c r="K31" s="46"/>
      <c r="L31" s="46"/>
      <c r="M31" s="46"/>
      <c r="N31" s="46"/>
      <c r="O31" s="46"/>
      <c r="P31" s="47"/>
      <c r="Q31" s="46"/>
      <c r="R31" s="46"/>
      <c r="S31" s="46"/>
      <c r="T31" s="46"/>
      <c r="U31" s="46"/>
      <c r="V31" s="48"/>
    </row>
    <row r="32" spans="1:22" s="57" customFormat="1" ht="27" customHeight="1" thickBot="1" x14ac:dyDescent="0.5">
      <c r="A32" s="49" t="s">
        <v>62</v>
      </c>
      <c r="B32" s="49"/>
      <c r="C32" s="50"/>
      <c r="D32" s="267">
        <f>E29</f>
        <v>9805</v>
      </c>
      <c r="E32" s="268"/>
      <c r="F32" s="51"/>
      <c r="G32" s="52"/>
      <c r="H32" s="53"/>
      <c r="I32" s="54"/>
      <c r="J32" s="52"/>
      <c r="K32" s="52"/>
      <c r="L32" s="52"/>
      <c r="M32" s="55"/>
      <c r="N32" s="55"/>
      <c r="O32" s="52"/>
      <c r="P32" s="47"/>
      <c r="Q32" s="52"/>
      <c r="R32" s="52"/>
      <c r="S32" s="52"/>
      <c r="T32" s="52"/>
      <c r="U32" s="52"/>
      <c r="V32" s="56"/>
    </row>
    <row r="33" spans="1:22" ht="20.399999999999999" x14ac:dyDescent="0.35">
      <c r="A33" s="45"/>
      <c r="B33" s="45"/>
      <c r="C33" s="45"/>
      <c r="D33" s="58"/>
      <c r="E33" s="45"/>
      <c r="F33" s="45"/>
      <c r="G33" s="52"/>
      <c r="H33" s="59"/>
      <c r="I33" s="60"/>
      <c r="J33" s="60"/>
      <c r="K33" s="60"/>
      <c r="L33" s="60"/>
      <c r="M33" s="60"/>
      <c r="N33" s="60"/>
      <c r="O33" s="46"/>
      <c r="P33" s="47"/>
      <c r="Q33" s="46"/>
      <c r="R33" s="46"/>
      <c r="S33" s="46"/>
      <c r="T33" s="46"/>
      <c r="U33" s="46"/>
      <c r="V33" s="48"/>
    </row>
    <row r="34" spans="1:22" ht="20.399999999999999" x14ac:dyDescent="0.35">
      <c r="A34" s="45"/>
      <c r="B34" s="45"/>
      <c r="C34" s="45"/>
      <c r="D34" s="58"/>
      <c r="E34" s="45"/>
      <c r="F34" s="45"/>
      <c r="G34" s="52"/>
      <c r="H34" s="59"/>
      <c r="I34" s="60"/>
      <c r="J34" s="60"/>
      <c r="K34" s="60"/>
      <c r="L34" s="60"/>
      <c r="M34" s="60"/>
      <c r="N34" s="60"/>
      <c r="O34" s="46"/>
      <c r="P34" s="47"/>
      <c r="Q34" s="46"/>
      <c r="R34" s="46"/>
      <c r="S34" s="46"/>
      <c r="T34" s="46"/>
      <c r="U34" s="46"/>
      <c r="V34" s="48"/>
    </row>
    <row r="35" spans="1:22" ht="20.399999999999999" x14ac:dyDescent="0.35">
      <c r="A35" s="45"/>
      <c r="B35" s="45"/>
      <c r="C35" s="45"/>
      <c r="D35" s="58"/>
      <c r="E35" s="45"/>
      <c r="F35" s="45"/>
      <c r="G35" s="52"/>
      <c r="H35" s="59"/>
      <c r="I35" s="60"/>
      <c r="J35" s="60"/>
      <c r="K35" s="60"/>
      <c r="L35" s="60"/>
      <c r="M35" s="60"/>
      <c r="N35" s="60"/>
      <c r="O35" s="46"/>
      <c r="P35" s="47"/>
      <c r="Q35" s="46"/>
      <c r="R35" s="46"/>
      <c r="S35" s="46"/>
      <c r="T35" s="46"/>
      <c r="U35" s="46"/>
      <c r="V35" s="48"/>
    </row>
    <row r="36" spans="1:22" ht="20.399999999999999" x14ac:dyDescent="0.35">
      <c r="A36" s="47"/>
      <c r="B36" s="47"/>
      <c r="C36" s="47"/>
      <c r="D36" s="61"/>
      <c r="E36" s="61"/>
      <c r="F36" s="61"/>
      <c r="G36" s="52"/>
      <c r="H36" s="47"/>
      <c r="I36" s="61"/>
      <c r="J36" s="61"/>
      <c r="K36" s="61"/>
      <c r="L36" s="61"/>
      <c r="M36" s="62"/>
      <c r="N36" s="47"/>
      <c r="O36" s="47"/>
      <c r="P36" s="47"/>
      <c r="Q36" s="47"/>
      <c r="R36" s="47"/>
      <c r="S36" s="47"/>
      <c r="T36" s="47"/>
      <c r="U36" s="47"/>
    </row>
    <row r="37" spans="1:22" x14ac:dyDescent="0.3">
      <c r="A37" s="63"/>
      <c r="B37" s="64" t="s">
        <v>63</v>
      </c>
      <c r="E37" s="64" t="s">
        <v>64</v>
      </c>
      <c r="G37" s="65"/>
      <c r="J37" s="66"/>
      <c r="K37" s="66" t="s">
        <v>65</v>
      </c>
      <c r="N37" s="67"/>
      <c r="O37" s="66"/>
      <c r="P37" s="67"/>
      <c r="Q37" s="68"/>
      <c r="S37" s="66" t="s">
        <v>66</v>
      </c>
      <c r="U37" s="68"/>
    </row>
    <row r="38" spans="1:22" x14ac:dyDescent="0.3">
      <c r="A38" s="63"/>
      <c r="B38" s="69" t="s">
        <v>67</v>
      </c>
      <c r="E38" s="69" t="s">
        <v>68</v>
      </c>
      <c r="G38" s="70"/>
      <c r="J38" s="69"/>
      <c r="K38" s="69" t="s">
        <v>69</v>
      </c>
      <c r="N38" s="69"/>
      <c r="O38" s="69"/>
      <c r="P38" s="69"/>
      <c r="Q38" s="69"/>
      <c r="S38" s="69" t="s">
        <v>70</v>
      </c>
      <c r="U38" s="68"/>
    </row>
    <row r="39" spans="1:22" x14ac:dyDescent="0.3">
      <c r="A39" s="63"/>
      <c r="B39" s="69" t="s">
        <v>71</v>
      </c>
      <c r="E39" s="69" t="s">
        <v>72</v>
      </c>
      <c r="G39" s="70"/>
      <c r="J39" s="69"/>
      <c r="K39" s="69" t="s">
        <v>73</v>
      </c>
      <c r="N39" s="60"/>
      <c r="O39" s="69"/>
      <c r="P39" s="60"/>
      <c r="Q39" s="68"/>
      <c r="S39" s="69" t="s">
        <v>74</v>
      </c>
      <c r="U39" s="68"/>
    </row>
    <row r="40" spans="1:22" x14ac:dyDescent="0.3">
      <c r="A40" s="63"/>
      <c r="B40" s="69" t="s">
        <v>75</v>
      </c>
      <c r="E40" s="69" t="s">
        <v>76</v>
      </c>
      <c r="G40" s="70"/>
      <c r="J40" s="69"/>
      <c r="K40" s="69" t="s">
        <v>77</v>
      </c>
      <c r="N40" s="60"/>
      <c r="O40" s="69"/>
      <c r="P40" s="60"/>
      <c r="Q40" s="68"/>
      <c r="S40" s="69" t="s">
        <v>78</v>
      </c>
      <c r="U40" s="68"/>
    </row>
    <row r="41" spans="1:22" s="68" customFormat="1" ht="27" customHeight="1" x14ac:dyDescent="0.3">
      <c r="A41" s="71"/>
      <c r="B41" s="69"/>
      <c r="C41" s="72"/>
      <c r="D41" s="73"/>
      <c r="E41" s="72"/>
      <c r="F41" s="72"/>
      <c r="G41" s="7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70"/>
      <c r="U41" s="70"/>
      <c r="V41"/>
    </row>
    <row r="42" spans="1:22" ht="27" customHeight="1" x14ac:dyDescent="0.3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</row>
    <row r="43" spans="1:22" ht="27" customHeight="1" x14ac:dyDescent="0.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</row>
    <row r="44" spans="1:22" ht="27" customHeight="1" x14ac:dyDescent="0.3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</row>
    <row r="45" spans="1:22" ht="27" customHeight="1" x14ac:dyDescent="0.3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2" ht="27" customHeight="1" x14ac:dyDescent="0.3"/>
    <row r="47" spans="1:22" ht="27" customHeight="1" x14ac:dyDescent="0.3"/>
    <row r="48" spans="1:22" ht="27" customHeight="1" x14ac:dyDescent="0.3"/>
    <row r="49" customFormat="1" ht="27" customHeight="1" x14ac:dyDescent="0.3"/>
    <row r="50" customFormat="1" ht="27" customHeight="1" x14ac:dyDescent="0.3"/>
    <row r="51" customFormat="1" ht="27" customHeight="1" x14ac:dyDescent="0.3"/>
    <row r="52" customFormat="1" ht="27" customHeight="1" x14ac:dyDescent="0.3"/>
    <row r="53" customFormat="1" ht="27" customHeight="1" x14ac:dyDescent="0.3"/>
    <row r="54" customFormat="1" ht="27" customHeight="1" x14ac:dyDescent="0.3"/>
    <row r="55" customFormat="1" ht="27" customHeight="1" x14ac:dyDescent="0.3"/>
  </sheetData>
  <mergeCells count="7">
    <mergeCell ref="D32:E32"/>
    <mergeCell ref="A4:A5"/>
    <mergeCell ref="B4:B5"/>
    <mergeCell ref="C4:C5"/>
    <mergeCell ref="D4:D5"/>
    <mergeCell ref="E4:U4"/>
    <mergeCell ref="A30:B30"/>
  </mergeCells>
  <conditionalFormatting sqref="R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2024.10.25</vt:lpstr>
      <vt:lpstr>2024.10.15-II</vt:lpstr>
      <vt:lpstr>2024.10.15</vt:lpstr>
      <vt:lpstr>2024.09.04</vt:lpstr>
      <vt:lpstr>2024.08.28</vt:lpstr>
      <vt:lpstr>2024.08.01-II</vt:lpstr>
      <vt:lpstr>2024.08.01</vt:lpstr>
      <vt:lpstr>2024.06.06</vt:lpstr>
      <vt:lpstr>2024.04.29</vt:lpstr>
      <vt:lpstr>2024.03.21</vt:lpstr>
      <vt:lpstr>2024.02.22-II</vt:lpstr>
      <vt:lpstr>2024.02.22</vt:lpstr>
      <vt:lpstr>2024.01.17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LIHINI</dc:creator>
  <cp:lastModifiedBy>Iresha Ravihari</cp:lastModifiedBy>
  <dcterms:created xsi:type="dcterms:W3CDTF">2015-06-05T18:17:20Z</dcterms:created>
  <dcterms:modified xsi:type="dcterms:W3CDTF">2024-11-06T04:39:41Z</dcterms:modified>
</cp:coreProperties>
</file>