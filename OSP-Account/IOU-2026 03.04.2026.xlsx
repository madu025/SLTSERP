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ltelecomservices-my.sharepoint.com/personal/iresha_slts_lk/Documents/Documents/All OSP Payments/SLTS WORKING/IOU Update - 22.07.2025/"/>
    </mc:Choice>
  </mc:AlternateContent>
  <xr:revisionPtr revIDLastSave="0" documentId="8_{4E7AA874-096A-4B1E-A89D-8291D1854CF0}" xr6:coauthVersionLast="47" xr6:coauthVersionMax="47" xr10:uidLastSave="{00000000-0000-0000-0000-000000000000}"/>
  <bookViews>
    <workbookView xWindow="-108" yWindow="-108" windowWidth="23256" windowHeight="12456" tabRatio="457" firstSheet="1" activeTab="4" xr2:uid="{68C20799-C2CE-4C3A-B540-0D7BB5D74AD8}"/>
  </bookViews>
  <sheets>
    <sheet name="SUMMERY (2)" sheetId="4" state="hidden" r:id="rId1"/>
    <sheet name="IOU-Petty Cash" sheetId="21" r:id="rId2"/>
    <sheet name="IOU-Project Adv" sheetId="23" r:id="rId3"/>
    <sheet name="Summary " sheetId="14" r:id="rId4"/>
    <sheet name="03.04.2026" sheetId="24" r:id="rId5"/>
    <sheet name="Summary 01" sheetId="16" state="hidden" r:id="rId6"/>
    <sheet name="Sheet6" sheetId="10" state="hidden" r:id="rId7"/>
    <sheet name="Sheet5" sheetId="9" state="hidden" r:id="rId8"/>
    <sheet name="Sheet4" sheetId="8" state="hidden" r:id="rId9"/>
    <sheet name="Sheet3" sheetId="7" state="hidden" r:id="rId10"/>
    <sheet name="Sheet2" sheetId="5" state="hidden" r:id="rId11"/>
    <sheet name="Sheet1" sheetId="3" state="hidden" r:id="rId12"/>
  </sheets>
  <definedNames>
    <definedName name="_xlnm._FilterDatabase" localSheetId="1" hidden="1">'IOU-Petty Cash'!$A$5:$I$15</definedName>
    <definedName name="_xlnm._FilterDatabase" localSheetId="2" hidden="1">'IOU-Project Adv'!$A$5:$I$72</definedName>
    <definedName name="_xlnm._FilterDatabase" localSheetId="11" hidden="1">Sheet1!$A$1:$B$34</definedName>
    <definedName name="_xlnm._FilterDatabase" localSheetId="0" hidden="1">'SUMMERY (2)'!$C$26:$F$43</definedName>
    <definedName name="_xlnm.Print_Area" localSheetId="1">'IOU-Petty Cash'!$A$1:$G$5</definedName>
    <definedName name="_xlnm.Print_Area" localSheetId="2">'IOU-Project Adv'!$A$1:$G$5</definedName>
    <definedName name="_xlnm.Print_Area" localSheetId="0">'SUMMERY (2)'!$A$1:$I$60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4" l="1"/>
  <c r="C24" i="24"/>
  <c r="D27" i="24" s="1"/>
  <c r="D21" i="24"/>
  <c r="C25" i="24" s="1"/>
  <c r="G24" i="14"/>
  <c r="D9" i="14"/>
  <c r="J5" i="14"/>
  <c r="L29" i="14"/>
  <c r="D28" i="24" l="1"/>
  <c r="D8" i="14"/>
  <c r="G18" i="14"/>
  <c r="G19" i="14"/>
  <c r="G20" i="14"/>
  <c r="G21" i="14"/>
  <c r="G17" i="14"/>
  <c r="G14" i="14"/>
  <c r="G15" i="14"/>
  <c r="G13" i="14"/>
  <c r="G16" i="14" l="1"/>
  <c r="G22" i="14"/>
  <c r="G23" i="14"/>
  <c r="B4" i="14" l="1"/>
  <c r="D4" i="23" l="1"/>
  <c r="C15" i="14" l="1"/>
  <c r="C23" i="14" l="1"/>
  <c r="A11" i="14" l="1"/>
  <c r="C9" i="14" l="1"/>
  <c r="C21" i="14" l="1"/>
  <c r="C22" i="14"/>
  <c r="D4" i="21"/>
  <c r="C4" i="23"/>
  <c r="C19" i="14"/>
  <c r="C24" i="14" s="1"/>
  <c r="C20" i="14"/>
  <c r="C13" i="14"/>
  <c r="C14" i="14"/>
  <c r="C16" i="14"/>
  <c r="C17" i="14"/>
  <c r="C18" i="14"/>
  <c r="G71" i="23" l="1"/>
  <c r="G72" i="23"/>
  <c r="G68" i="23"/>
  <c r="G69" i="23"/>
  <c r="G70" i="23"/>
  <c r="G66" i="23"/>
  <c r="G67" i="23"/>
  <c r="G64" i="23"/>
  <c r="G65" i="23"/>
  <c r="G63" i="23"/>
  <c r="G59" i="23"/>
  <c r="G60" i="23"/>
  <c r="G61" i="23"/>
  <c r="G62" i="23"/>
  <c r="G55" i="23"/>
  <c r="G57" i="23"/>
  <c r="G58" i="23"/>
  <c r="G56" i="23"/>
  <c r="G54" i="23"/>
  <c r="G52" i="23"/>
  <c r="G53" i="23"/>
  <c r="G51" i="23"/>
  <c r="G50" i="23"/>
  <c r="G48" i="23"/>
  <c r="G49" i="23"/>
  <c r="G47" i="23"/>
  <c r="G45" i="23"/>
  <c r="G46" i="23"/>
  <c r="G44" i="23"/>
  <c r="G42" i="23"/>
  <c r="G43" i="23"/>
  <c r="G39" i="23"/>
  <c r="G41" i="23"/>
  <c r="G40" i="23"/>
  <c r="G36" i="23"/>
  <c r="G37" i="23"/>
  <c r="G38" i="23"/>
  <c r="G34" i="23"/>
  <c r="G35" i="23"/>
  <c r="G32" i="23"/>
  <c r="G33" i="23"/>
  <c r="G30" i="23"/>
  <c r="G31" i="23"/>
  <c r="G28" i="23"/>
  <c r="G29" i="23"/>
  <c r="G26" i="23"/>
  <c r="G27" i="23"/>
  <c r="G25" i="23"/>
  <c r="G24" i="23"/>
  <c r="G22" i="23"/>
  <c r="G23" i="23"/>
  <c r="G16" i="23"/>
  <c r="G15" i="23"/>
  <c r="G18" i="23"/>
  <c r="G20" i="23"/>
  <c r="G21" i="23"/>
  <c r="G19" i="23"/>
  <c r="G14" i="23"/>
  <c r="G17" i="23"/>
  <c r="C8" i="14"/>
  <c r="G13" i="23"/>
  <c r="G7" i="23"/>
  <c r="G11" i="23"/>
  <c r="G8" i="23"/>
  <c r="G6" i="23"/>
  <c r="G9" i="23"/>
  <c r="G12" i="23"/>
  <c r="G10" i="23"/>
  <c r="G1045422" i="23"/>
  <c r="C4" i="21"/>
  <c r="G15" i="21" s="1"/>
  <c r="G13" i="21" l="1"/>
  <c r="G14" i="21"/>
  <c r="G12" i="21"/>
  <c r="G9" i="21"/>
  <c r="G10" i="21"/>
  <c r="G11" i="21"/>
  <c r="G8" i="21"/>
  <c r="G7" i="21"/>
  <c r="G1046021" i="21"/>
  <c r="G6" i="21"/>
  <c r="B34" i="3" l="1"/>
  <c r="D8" i="5"/>
  <c r="D7" i="5"/>
  <c r="C13" i="8"/>
  <c r="C12" i="8"/>
  <c r="C11" i="8"/>
  <c r="C10" i="8"/>
  <c r="E5" i="8"/>
  <c r="D16" i="9"/>
  <c r="C4" i="10"/>
  <c r="C3" i="10"/>
  <c r="C2" i="10"/>
  <c r="C1" i="10"/>
  <c r="F74" i="16"/>
  <c r="E51" i="16"/>
  <c r="F20" i="16"/>
  <c r="F13" i="16"/>
  <c r="F9" i="16"/>
  <c r="F3" i="16"/>
  <c r="F54" i="4"/>
  <c r="J25" i="4" s="1"/>
  <c r="F73" i="4"/>
  <c r="F70" i="4"/>
  <c r="F68" i="4"/>
  <c r="F67" i="4"/>
  <c r="F66" i="4"/>
  <c r="F65" i="4"/>
  <c r="F64" i="4"/>
  <c r="F63" i="4"/>
  <c r="F58" i="4"/>
  <c r="F52" i="4"/>
  <c r="F49" i="4"/>
  <c r="F46" i="4"/>
  <c r="F19" i="4"/>
  <c r="F12" i="4"/>
  <c r="F3" i="4"/>
  <c r="C14" i="8" l="1"/>
  <c r="F56" i="4"/>
  <c r="C15" i="8" l="1"/>
  <c r="C16" i="8" s="1"/>
  <c r="G70" i="4"/>
  <c r="G73" i="4" s="1"/>
  <c r="E8" i="14" l="1"/>
  <c r="F8" i="14" s="1"/>
  <c r="C25" i="14" s="1"/>
  <c r="E4" i="21"/>
  <c r="E9" i="14" l="1"/>
  <c r="F9" i="14" s="1"/>
  <c r="G25" i="14" s="1"/>
  <c r="E4" i="23" l="1"/>
</calcChain>
</file>

<file path=xl/sharedStrings.xml><?xml version="1.0" encoding="utf-8"?>
<sst xmlns="http://schemas.openxmlformats.org/spreadsheetml/2006/main" count="564" uniqueCount="282">
  <si>
    <t>Petty Cash - Kaduwela</t>
  </si>
  <si>
    <t>IOUs</t>
  </si>
  <si>
    <t>Cash In Hand</t>
  </si>
  <si>
    <t>Total</t>
  </si>
  <si>
    <t>Cash in hand</t>
  </si>
  <si>
    <t>Coins</t>
  </si>
  <si>
    <t>IOU #</t>
  </si>
  <si>
    <t>Name</t>
  </si>
  <si>
    <t>Amounts</t>
  </si>
  <si>
    <t>IOU Obtain Date</t>
  </si>
  <si>
    <t>No of Days</t>
  </si>
  <si>
    <t>Chamara</t>
  </si>
  <si>
    <t>Venura</t>
  </si>
  <si>
    <t>Rs.</t>
  </si>
  <si>
    <t>Nos</t>
  </si>
  <si>
    <t>Rs</t>
  </si>
  <si>
    <t>Reson</t>
  </si>
  <si>
    <t>A</t>
  </si>
  <si>
    <t>B</t>
  </si>
  <si>
    <t>C</t>
  </si>
  <si>
    <t>D</t>
  </si>
  <si>
    <t>Dimensions</t>
  </si>
  <si>
    <t>Deisel purchasing - Company double cab</t>
  </si>
  <si>
    <t>Hansaka + Mishara</t>
  </si>
  <si>
    <t>Deisel purchasing - OSP vehicle Kaduwela</t>
  </si>
  <si>
    <t>Deisel purchasing - OSP vehicle Kandy</t>
  </si>
  <si>
    <t>Madawa + Chamara</t>
  </si>
  <si>
    <t>Project advance</t>
  </si>
  <si>
    <t>Amount-Rs.</t>
  </si>
  <si>
    <t>Petty cash for the reibursment purpose at welikada Office</t>
  </si>
  <si>
    <t>Project advance for the reibursment purpose at welikada Office</t>
  </si>
  <si>
    <t>No of Days as at 16.08.2022</t>
  </si>
  <si>
    <t>SLIP - 5336</t>
  </si>
  <si>
    <t>Petty Cash / KD / Aug-22</t>
  </si>
  <si>
    <t>Included in Payment Plan - 22.08.2022</t>
  </si>
  <si>
    <t>F</t>
  </si>
  <si>
    <t>Fuel Advance</t>
  </si>
  <si>
    <t>Petty cash</t>
  </si>
  <si>
    <t>Type</t>
  </si>
  <si>
    <t>CCTV advance</t>
  </si>
  <si>
    <t>Project advance  - Exp</t>
  </si>
  <si>
    <t>Kaduwela-Petty cash &amp; Advance status</t>
  </si>
  <si>
    <t>Available floats</t>
  </si>
  <si>
    <t>Summery details</t>
  </si>
  <si>
    <t>Petty bills in hand at Kaduwela office</t>
  </si>
  <si>
    <t>E</t>
  </si>
  <si>
    <t>G</t>
  </si>
  <si>
    <t>SLIP - 5642</t>
  </si>
  <si>
    <t>Petty Cash / KD / Oct 22</t>
  </si>
  <si>
    <t>Fuel advance exp at kaduwela Office</t>
  </si>
  <si>
    <t>CCTV advance exp at kaduwela Office</t>
  </si>
  <si>
    <t>H</t>
  </si>
  <si>
    <t>A+B+C+D+E+F+G+H</t>
  </si>
  <si>
    <t xml:space="preserve">Total IOU amount as at </t>
  </si>
  <si>
    <t>OSP - IOU</t>
  </si>
  <si>
    <t>Project advance Exp at kaduwela Office</t>
  </si>
  <si>
    <t>Petty Cash</t>
  </si>
  <si>
    <t>Reibursement procees</t>
  </si>
  <si>
    <t>Settlement</t>
  </si>
  <si>
    <t>Total Amount</t>
  </si>
  <si>
    <t>OSP Project advance</t>
  </si>
  <si>
    <t>OSP Fuel Advance</t>
  </si>
  <si>
    <t>Kaduwela petty cash for the reibursment purpose at welikada Office</t>
  </si>
  <si>
    <t>Fuel advance exp need to be settled</t>
  </si>
  <si>
    <t>Total IOUs</t>
  </si>
  <si>
    <t>Status as at 26.06.2023</t>
  </si>
  <si>
    <t>The payment for temporarly hired labours for Metro-new connection - 24.06.2023 to 29.06.2023</t>
  </si>
  <si>
    <t>The payment for temporarly hired labours for Metro-new connection - 13.07.2023 to 17.07.2023</t>
  </si>
  <si>
    <t>OSP-OP-677</t>
  </si>
  <si>
    <t>The food expenses for other regional teams for participating Ftth campaing of Matara - Jul 23</t>
  </si>
  <si>
    <t>OSP-OP-678</t>
  </si>
  <si>
    <t>The payment for temporarly hired labours for new connection of GQ - 10.07.2023 to 16.07.2023</t>
  </si>
  <si>
    <t>OSP-OP-680</t>
  </si>
  <si>
    <t>OSP-OP-681</t>
  </si>
  <si>
    <t>OSP-OP-684</t>
  </si>
  <si>
    <t>Meal arrangment chgs for direct team - Cargills SQ HRB project of Bandarawela - Jul 23</t>
  </si>
  <si>
    <t>OSP-OP-685</t>
  </si>
  <si>
    <t>Accomodation chgs for direct team - Cargills SQ HRB project of Bandarawela - Jul 23</t>
  </si>
  <si>
    <t>Other material exp - Cargills SQ HRB project of Bandarawela - Jul 23</t>
  </si>
  <si>
    <t>OSP-OP-686</t>
  </si>
  <si>
    <t>The payment for temporarly hired labours for new connection of GQ - 08.05.2023 to 06.06.2023</t>
  </si>
  <si>
    <t>OSP-OP-688</t>
  </si>
  <si>
    <t>The payment for temporarly hired labours for new connection of GQ - 06.06.2023 to 17.06.2023</t>
  </si>
  <si>
    <t>OSP-OP-689</t>
  </si>
  <si>
    <t>The payment for temporarly hired labours for new connection of GQ - 17.06.2023 to 27.06.2023</t>
  </si>
  <si>
    <t>OSP-OP-690</t>
  </si>
  <si>
    <t>The payment for Step ladders purchasing - for the newconnection of Bandaragama - Jul 23</t>
  </si>
  <si>
    <t>OSP-OP-691</t>
  </si>
  <si>
    <t>Anjula Account</t>
  </si>
  <si>
    <t>Janaka Account</t>
  </si>
  <si>
    <t>Fuel Exp / BW / 53-9651 Van / Nov 23</t>
  </si>
  <si>
    <t>SLIP - 7873</t>
  </si>
  <si>
    <t>Fuel Exp / BW / LG 4462 -Boom truck / Nov 23</t>
  </si>
  <si>
    <t>OSP-OP-920</t>
  </si>
  <si>
    <t>The payment for temporarly hired labours for new connection of RN -R.M.Mumtchas -  2023/11/06-2023/11/11</t>
  </si>
  <si>
    <t>OSP-OP-921</t>
  </si>
  <si>
    <t>The payment for temporarly hired labours for new connection of RN -R.M.Mumtchas -  2023/11/01-2023/11/03</t>
  </si>
  <si>
    <t>OSP-OP-922</t>
  </si>
  <si>
    <t xml:space="preserve">The payment for temporarly hired labours for Metro-new connection(Mayura Sandaruwan - 05) - 01.11.2023 to 08.11.2023 </t>
  </si>
  <si>
    <t>OSP-OP-923</t>
  </si>
  <si>
    <t>Dinner &amp; Refreshement -Softlogic SDWAN fiber link extention work of HK city mail - Nov 23</t>
  </si>
  <si>
    <t>OSP-OP-925</t>
  </si>
  <si>
    <t>Ginder rent chgs -Softlogic SDWAN fiber link extention work of HK city mail - Nov 23</t>
  </si>
  <si>
    <t>Other material chgs -Softlogic SDWAN fiber link extention work of HK city mail - Nov 23</t>
  </si>
  <si>
    <t>The payment for temporarly hired labours for new connection of BW -R.M.P.Anjula - 2023/11/13-2023/11/19</t>
  </si>
  <si>
    <t>OSP-OP-926</t>
  </si>
  <si>
    <t>The payment for temporarly hired labours for new connection of BW -P.V.Asanka -  2023/11/13-2023/11/19</t>
  </si>
  <si>
    <t>OSP-OP-927</t>
  </si>
  <si>
    <t>The payment for temporarly hired labours for pole errection work of GQ &amp; NTB - 28.08.2023 to 09.10.2023 (28)</t>
  </si>
  <si>
    <t>OSP-OP-928</t>
  </si>
  <si>
    <t>Hired labour payment  - Coral Saffron HRB project - Dec 23</t>
  </si>
  <si>
    <t>OSP-OP-930</t>
  </si>
  <si>
    <t>Hired bracker exp  - Coral Saffron HRB project - Dec 23</t>
  </si>
  <si>
    <t>.</t>
  </si>
  <si>
    <t>IOU</t>
  </si>
  <si>
    <t>Petty cash KD</t>
  </si>
  <si>
    <t>Bills</t>
  </si>
  <si>
    <t>Chamara - KD</t>
  </si>
  <si>
    <t xml:space="preserve">SLIP - </t>
  </si>
  <si>
    <t>Spacial project advance</t>
  </si>
  <si>
    <t>Special project advance (Set 01/ 02/ 03/ 04/ )</t>
  </si>
  <si>
    <t>Description</t>
  </si>
  <si>
    <t>Amount (Rs.)</t>
  </si>
  <si>
    <t>Column6</t>
  </si>
  <si>
    <t>Column8</t>
  </si>
  <si>
    <t>Column9</t>
  </si>
  <si>
    <t>Column11</t>
  </si>
  <si>
    <t>Balance to be paid</t>
  </si>
  <si>
    <t>Total project advance</t>
  </si>
  <si>
    <t>Project advance amount</t>
  </si>
  <si>
    <t>paid</t>
  </si>
  <si>
    <t>Cash advance memo in hand</t>
  </si>
  <si>
    <t>OSP - OP - 1537</t>
  </si>
  <si>
    <t xml:space="preserve">   </t>
  </si>
  <si>
    <t>Peoject advance reibursment purpose at welikkada office</t>
  </si>
  <si>
    <t xml:space="preserve"> E</t>
  </si>
  <si>
    <t>A+B+C+D+E+F+G</t>
  </si>
  <si>
    <t>Non</t>
  </si>
  <si>
    <t>Balance in Hand</t>
  </si>
  <si>
    <t>Amount</t>
  </si>
  <si>
    <t>Sahan - MD</t>
  </si>
  <si>
    <t>Janith - Project</t>
  </si>
  <si>
    <t>Night work meal charges for NC team (4 prsn ) work at Mobitel eng building (Dinner &amp; evening tea)</t>
  </si>
  <si>
    <t>for emergency flood situations</t>
  </si>
  <si>
    <t>Upul - KD</t>
  </si>
  <si>
    <t>Purchasing tool for NC work</t>
  </si>
  <si>
    <t>Project Advance</t>
  </si>
  <si>
    <t>Hansaka - KY</t>
  </si>
  <si>
    <t>Balance payment for clear backlog (pending pole erections) EP area - JF 2nd Step 2st period</t>
  </si>
  <si>
    <t>OSP-OP-2106</t>
  </si>
  <si>
    <t>1800 B/L is not refund</t>
  </si>
  <si>
    <t>Prabuddha - JF</t>
  </si>
  <si>
    <t>For clear backlog ( pending pole erections)EP erea - Jaffna 1st step (3rd period)</t>
  </si>
  <si>
    <t xml:space="preserve"> B/L is not refund</t>
  </si>
  <si>
    <t>For clear backlog ( pending pole erections)EP erea - Jaffna 2nd step (3rd period)</t>
  </si>
  <si>
    <t>OSP-OP-2192</t>
  </si>
  <si>
    <t>10500 B/L is not refund</t>
  </si>
  <si>
    <t>Amila - project</t>
  </si>
  <si>
    <t>For bus fees &amp; meal charges for technician travelling Trinco to Ampara site. Hand over to splicing machine</t>
  </si>
  <si>
    <t>Exp for Hardwary materials purchasing charges for the grand hotel Nuwara eliya urgent work</t>
  </si>
  <si>
    <t>Cash adv for materials for SMW 3 Dismantaling work</t>
  </si>
  <si>
    <t>Materials purchasing charges for CR jobs (for concreat work)</t>
  </si>
  <si>
    <t>Adithya-NC</t>
  </si>
  <si>
    <t>SA/SF - Print banners &amp; leaflets for finding staff for operation</t>
  </si>
  <si>
    <t>Ashvin-Project</t>
  </si>
  <si>
    <t>Food arrangement for Nawala Parimary cable laying HRB project night work</t>
  </si>
  <si>
    <t>M.M.Gurusinghe</t>
  </si>
  <si>
    <t>Accommodation &amp; food arrangement for pending pole erection work -KO area</t>
  </si>
  <si>
    <t>Dhanushka - Project</t>
  </si>
  <si>
    <t>Food arrangement for 32 FDP splicing work ( CEN-OIL-830)</t>
  </si>
  <si>
    <t>Food arrangement for Mainframe word place cable laying &amp; ODF splicing night work</t>
  </si>
  <si>
    <t>Amila - Project</t>
  </si>
  <si>
    <t>Kavinda -NC</t>
  </si>
  <si>
    <t>Material for NC work - KX area</t>
  </si>
  <si>
    <t>Jayasundara- Project</t>
  </si>
  <si>
    <t>Refreshment arrangement &amp; other expences for school wifi project MUT &amp; KNY area</t>
  </si>
  <si>
    <t>W.L.K Perera -project</t>
  </si>
  <si>
    <t>S.A.S.C.Perera</t>
  </si>
  <si>
    <t>Kerosene oil &amp; cortcloth for homagama shifting work</t>
  </si>
  <si>
    <t>Adithya- NC</t>
  </si>
  <si>
    <t>printing hand bills to find new job opportunity for the operation</t>
  </si>
  <si>
    <t>GI pole concreat material purchasing for MKT project</t>
  </si>
  <si>
    <t>Upul - Project</t>
  </si>
  <si>
    <t>Night work food arrangement for material transport Kaduwela to Rathnapura</t>
  </si>
  <si>
    <t>Kusumsiri -Project</t>
  </si>
  <si>
    <t>Thushantha - Project</t>
  </si>
  <si>
    <t>Food &amp; fuel arrangement for urgent project at Senkadagala Finance Buttala</t>
  </si>
  <si>
    <t>Accommodation &amp; food arrangement for RN school Wi-Fi project</t>
  </si>
  <si>
    <t xml:space="preserve">  </t>
  </si>
  <si>
    <t>Pole concrete work in KY &amp; GP area</t>
  </si>
  <si>
    <t>Lakmal</t>
  </si>
  <si>
    <t>Shanel</t>
  </si>
  <si>
    <t>Pole concrete material purchasing charges AP area</t>
  </si>
  <si>
    <t>Night work food arrangement for central bus satand HRB project</t>
  </si>
  <si>
    <t>Night work food arrangement for Sea Me We 3 Cable removing MKT Project</t>
  </si>
  <si>
    <t>Meal arrangement for BW meeting with DGM &amp; M/OPMC</t>
  </si>
  <si>
    <t>Meal arrangement for KT direct team work in GL area to reduce inhand line count</t>
  </si>
  <si>
    <t>Project Adv</t>
  </si>
  <si>
    <t>Sajith - Stores</t>
  </si>
  <si>
    <t>SLT material collecting charges (labours &amp; folk lift)</t>
  </si>
  <si>
    <t>Night work food arrangement for Capital trust holding project Union place</t>
  </si>
  <si>
    <t>Meal arrangement for cable laying work (CEN-OIL-830) project - Breakfast &amp; Lunch</t>
  </si>
  <si>
    <t>Night work food arrangement for softlogic PLC, One Galle Face</t>
  </si>
  <si>
    <t>Pole concreat material purchasing charges for BIA area</t>
  </si>
  <si>
    <t>Kavindu -NC</t>
  </si>
  <si>
    <t>Kanchana</t>
  </si>
  <si>
    <t>Meal arrangement for additional team deployed from AD toKG rtom due to high workload</t>
  </si>
  <si>
    <t>Anuranga</t>
  </si>
  <si>
    <t>Accommodation &amp; meal charges for direct team members &amp; driver from KD to NG for support SF Operation</t>
  </si>
  <si>
    <t>Pramitha - Project</t>
  </si>
  <si>
    <t>Meal arrangement for cargils WTC project night work</t>
  </si>
  <si>
    <t>Meal arrangement for King Kong Pvt Ltd project night work</t>
  </si>
  <si>
    <t>Meal arrangement for cable laying &amp; roding work Union place capital trast building night work</t>
  </si>
  <si>
    <t>Shantha -NC</t>
  </si>
  <si>
    <t>Crow bar reparing charges</t>
  </si>
  <si>
    <t>Chandana- Project</t>
  </si>
  <si>
    <t>Refreshment arrangement for project staff Proposed apartment at Rasaweli rd project</t>
  </si>
  <si>
    <t>Purchase hoe tool for Homagama shifting project</t>
  </si>
  <si>
    <t>Meal arrangement for Homagma shifting project</t>
  </si>
  <si>
    <t>Temporary assigned the technician to NW area for reduce the SOD</t>
  </si>
  <si>
    <t>Night work meal arrangement for Mainframe - Kirulapana project (Roding &amp; cable laying work)</t>
  </si>
  <si>
    <t>Bill pending</t>
  </si>
  <si>
    <t>Balance need to pay 6966</t>
  </si>
  <si>
    <t>Welding Shovel - CR work</t>
  </si>
  <si>
    <t>Nilanka</t>
  </si>
  <si>
    <t>To purchase PVC clips, Spriral &amp; Tshokets for SEA ME WE 6 project</t>
  </si>
  <si>
    <t>Night work food arrangement for CR-1223 project</t>
  </si>
  <si>
    <t>To purchase material for SEA-ME-WE-06 building project</t>
  </si>
  <si>
    <t>Original Settlement form pending</t>
  </si>
  <si>
    <t>Dushan - Homgama</t>
  </si>
  <si>
    <t>For damage repair - 610799</t>
  </si>
  <si>
    <t>For Asphalt Cutter Machine repaire - HRB project</t>
  </si>
  <si>
    <t>Sampath-NC</t>
  </si>
  <si>
    <t>For material purchase pole concrete MD area</t>
  </si>
  <si>
    <t>Gihan-NC</t>
  </si>
  <si>
    <t>Dushan-HO</t>
  </si>
  <si>
    <t>Purchase mattress for new staff recruitment HO area</t>
  </si>
  <si>
    <t>Lakshan/Janitha</t>
  </si>
  <si>
    <t>Fuel arrangement for BW vehicle for two days work at Katharagama area</t>
  </si>
  <si>
    <t>Material purchase &amp; meal arrangement for aluthkade (CEN-OIL-830) night work</t>
  </si>
  <si>
    <t>Tharindu-NW</t>
  </si>
  <si>
    <t>Fuel arrangement for NTB area for operational requirement</t>
  </si>
  <si>
    <t>Rathnasiri-Project</t>
  </si>
  <si>
    <t>Rathnasiri - Project</t>
  </si>
  <si>
    <t>For fuel arrangement for OSP operation</t>
  </si>
  <si>
    <t>Cans for fuel store for hired vehicle</t>
  </si>
  <si>
    <t>Night work meal arrangement for Central Bustand Primary cable laying work</t>
  </si>
  <si>
    <t>Night work Meal arrangement for Capital trust union place roding &amp; Splicing work</t>
  </si>
  <si>
    <t>To Purchase PVC &amp; GI Clips for water pipe fixing work</t>
  </si>
  <si>
    <t>Fuel arrangement for OSP operation</t>
  </si>
  <si>
    <t>Venura - NC</t>
  </si>
  <si>
    <t>For fuel arrangement for OSP SA operation</t>
  </si>
  <si>
    <t>Refreshment arrangement for pole erection work - Auger support arrangement OPMC KI SLT team</t>
  </si>
  <si>
    <t>To purchase Nylon rope roll for OSP project rodding &amp; Laying work</t>
  </si>
  <si>
    <t>To arrange small scale material for CBS FTTH development project</t>
  </si>
  <si>
    <t>For SF contractors in Southern province due to month end SF target achievement</t>
  </si>
  <si>
    <t>Pamalka</t>
  </si>
  <si>
    <t>For purchase CDs covers for SF invoice preparation</t>
  </si>
  <si>
    <t>Night work meal arrangement for KCC Building NC work</t>
  </si>
  <si>
    <t>Keshan-NC</t>
  </si>
  <si>
    <t>Udara/ Janith - Project</t>
  </si>
  <si>
    <t>Night work food arrangement for primary cable laying Mtro habitat project</t>
  </si>
  <si>
    <t>Siriwardhane - Project</t>
  </si>
  <si>
    <t>Night work food arrangement for Nawam mawatha project</t>
  </si>
  <si>
    <t>Ravindu- NC</t>
  </si>
  <si>
    <t>GR plasa trincomalee</t>
  </si>
  <si>
    <t>Hansaka/Prabuddha - KY</t>
  </si>
  <si>
    <t>Milan//Prabuddha - AD/JF</t>
  </si>
  <si>
    <t>Bata form pending</t>
  </si>
  <si>
    <t>Meal arrangement for splicing work in Capital trust union place night work</t>
  </si>
  <si>
    <t>Amila -Project</t>
  </si>
  <si>
    <t>To purchase material for pole concrete MKT projects</t>
  </si>
  <si>
    <t xml:space="preserve">Total IOU </t>
  </si>
  <si>
    <t>Remarks</t>
  </si>
  <si>
    <t xml:space="preserve">Refund from salary </t>
  </si>
  <si>
    <t>Shanel-GL</t>
  </si>
  <si>
    <t>Payments for reimbursement</t>
  </si>
  <si>
    <t xml:space="preserve">OCA </t>
  </si>
  <si>
    <t>Total cash allocation</t>
  </si>
  <si>
    <t>Settlement error return</t>
  </si>
  <si>
    <t>Balance Inhand as at 03.04.2026</t>
  </si>
  <si>
    <t>Informed several time with mail and over the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</si>
</sst>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indexed="8"/>
      <name val="MS Sans Serif"/>
      <family val="2"/>
    </font>
    <font>
      <b/>
      <i/>
      <sz val="16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i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8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6">
    <xf numFmtId="0" fontId="0" fillId="0" borderId="0"/>
    <xf numFmtId="43" fontId="1" fillId="0" borderId="0" applyFont="0" applyFill="0" applyBorder="0" applyAlignment="0" applyProtection="0"/>
    <xf numFmtId="0" fontId="9" fillId="0" borderId="0"/>
    <xf numFmtId="43" fontId="12" fillId="0" borderId="0" applyBorder="0" applyProtection="0"/>
    <xf numFmtId="0" fontId="13" fillId="0" borderId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</cellStyleXfs>
  <cellXfs count="293">
    <xf numFmtId="0" fontId="0" fillId="0" borderId="0" xfId="0"/>
    <xf numFmtId="0" fontId="0" fillId="2" borderId="0" xfId="0" applyFill="1"/>
    <xf numFmtId="43" fontId="0" fillId="2" borderId="0" xfId="1" applyFont="1" applyFill="1"/>
    <xf numFmtId="14" fontId="2" fillId="2" borderId="0" xfId="0" applyNumberFormat="1" applyFont="1" applyFill="1"/>
    <xf numFmtId="0" fontId="0" fillId="3" borderId="0" xfId="0" applyFill="1"/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/>
    <xf numFmtId="43" fontId="0" fillId="2" borderId="0" xfId="1" applyFont="1" applyFill="1" applyBorder="1"/>
    <xf numFmtId="43" fontId="0" fillId="2" borderId="0" xfId="0" applyNumberFormat="1" applyFill="1"/>
    <xf numFmtId="43" fontId="0" fillId="0" borderId="0" xfId="1" applyFont="1"/>
    <xf numFmtId="14" fontId="0" fillId="0" borderId="0" xfId="0" applyNumberFormat="1"/>
    <xf numFmtId="0" fontId="0" fillId="2" borderId="0" xfId="1" applyNumberFormat="1" applyFont="1" applyFill="1"/>
    <xf numFmtId="0" fontId="0" fillId="2" borderId="0" xfId="1" applyNumberFormat="1" applyFont="1" applyFill="1" applyBorder="1"/>
    <xf numFmtId="43" fontId="0" fillId="3" borderId="0" xfId="1" applyFont="1" applyFill="1"/>
    <xf numFmtId="43" fontId="0" fillId="0" borderId="0" xfId="1" applyFont="1" applyFill="1"/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 wrapText="1"/>
    </xf>
    <xf numFmtId="43" fontId="5" fillId="2" borderId="2" xfId="1" applyFont="1" applyFill="1" applyBorder="1"/>
    <xf numFmtId="43" fontId="0" fillId="2" borderId="3" xfId="1" applyFont="1" applyFill="1" applyBorder="1"/>
    <xf numFmtId="0" fontId="0" fillId="2" borderId="2" xfId="0" applyFill="1" applyBorder="1" applyAlignment="1">
      <alignment horizontal="right"/>
    </xf>
    <xf numFmtId="43" fontId="0" fillId="2" borderId="2" xfId="1" applyFont="1" applyFill="1" applyBorder="1" applyAlignment="1">
      <alignment horizontal="center"/>
    </xf>
    <xf numFmtId="43" fontId="0" fillId="2" borderId="2" xfId="1" applyFont="1" applyFill="1" applyBorder="1"/>
    <xf numFmtId="0" fontId="0" fillId="2" borderId="2" xfId="1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wrapText="1"/>
    </xf>
    <xf numFmtId="2" fontId="0" fillId="2" borderId="0" xfId="0" applyNumberFormat="1" applyFill="1"/>
    <xf numFmtId="0" fontId="5" fillId="2" borderId="2" xfId="0" applyFont="1" applyFill="1" applyBorder="1"/>
    <xf numFmtId="0" fontId="5" fillId="2" borderId="2" xfId="0" applyFont="1" applyFill="1" applyBorder="1" applyAlignment="1">
      <alignment horizontal="center"/>
    </xf>
    <xf numFmtId="14" fontId="2" fillId="2" borderId="0" xfId="1" applyNumberFormat="1" applyFont="1" applyFill="1" applyBorder="1"/>
    <xf numFmtId="43" fontId="2" fillId="2" borderId="0" xfId="1" applyFont="1" applyFill="1" applyBorder="1"/>
    <xf numFmtId="43" fontId="2" fillId="2" borderId="0" xfId="1" applyFont="1" applyFill="1" applyBorder="1" applyAlignment="1">
      <alignment horizontal="right" vertical="top"/>
    </xf>
    <xf numFmtId="0" fontId="0" fillId="2" borderId="7" xfId="0" applyFill="1" applyBorder="1"/>
    <xf numFmtId="0" fontId="0" fillId="2" borderId="8" xfId="0" applyFill="1" applyBorder="1"/>
    <xf numFmtId="0" fontId="0" fillId="2" borderId="8" xfId="1" applyNumberFormat="1" applyFont="1" applyFill="1" applyBorder="1"/>
    <xf numFmtId="43" fontId="0" fillId="2" borderId="8" xfId="1" applyFont="1" applyFill="1" applyBorder="1"/>
    <xf numFmtId="0" fontId="0" fillId="2" borderId="8" xfId="0" applyFill="1" applyBorder="1" applyAlignment="1">
      <alignment horizontal="center"/>
    </xf>
    <xf numFmtId="0" fontId="0" fillId="2" borderId="9" xfId="0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2" fillId="2" borderId="10" xfId="0" applyFont="1" applyFill="1" applyBorder="1" applyAlignment="1">
      <alignment horizontal="center" vertical="top"/>
    </xf>
    <xf numFmtId="0" fontId="2" fillId="2" borderId="11" xfId="0" applyFont="1" applyFill="1" applyBorder="1" applyAlignment="1">
      <alignment horizontal="center" vertical="top"/>
    </xf>
    <xf numFmtId="0" fontId="2" fillId="2" borderId="1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 wrapText="1"/>
    </xf>
    <xf numFmtId="0" fontId="0" fillId="2" borderId="12" xfId="0" applyFill="1" applyBorder="1"/>
    <xf numFmtId="0" fontId="0" fillId="2" borderId="13" xfId="0" applyFill="1" applyBorder="1"/>
    <xf numFmtId="0" fontId="0" fillId="2" borderId="13" xfId="1" applyNumberFormat="1" applyFont="1" applyFill="1" applyBorder="1"/>
    <xf numFmtId="43" fontId="0" fillId="2" borderId="13" xfId="1" applyFont="1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/>
    <xf numFmtId="0" fontId="0" fillId="0" borderId="10" xfId="0" applyBorder="1"/>
    <xf numFmtId="14" fontId="0" fillId="2" borderId="0" xfId="0" applyNumberFormat="1" applyFill="1"/>
    <xf numFmtId="43" fontId="5" fillId="0" borderId="2" xfId="1" applyFont="1" applyBorder="1"/>
    <xf numFmtId="0" fontId="6" fillId="2" borderId="10" xfId="0" applyFont="1" applyFill="1" applyBorder="1" applyAlignment="1">
      <alignment vertical="center"/>
    </xf>
    <xf numFmtId="43" fontId="7" fillId="2" borderId="0" xfId="1" applyFont="1" applyFill="1" applyBorder="1"/>
    <xf numFmtId="0" fontId="6" fillId="2" borderId="11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43" fontId="7" fillId="2" borderId="1" xfId="1" applyFont="1" applyFill="1" applyBorder="1"/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/>
    <xf numFmtId="43" fontId="2" fillId="2" borderId="3" xfId="1" applyFont="1" applyFill="1" applyBorder="1"/>
    <xf numFmtId="0" fontId="2" fillId="2" borderId="3" xfId="0" applyFont="1" applyFill="1" applyBorder="1" applyAlignment="1">
      <alignment wrapText="1"/>
    </xf>
    <xf numFmtId="43" fontId="0" fillId="2" borderId="15" xfId="0" applyNumberFormat="1" applyFill="1" applyBorder="1"/>
    <xf numFmtId="43" fontId="2" fillId="2" borderId="1" xfId="0" applyNumberFormat="1" applyFont="1" applyFill="1" applyBorder="1"/>
    <xf numFmtId="43" fontId="0" fillId="0" borderId="0" xfId="1" applyFont="1" applyFill="1" applyBorder="1"/>
    <xf numFmtId="14" fontId="2" fillId="2" borderId="13" xfId="0" applyNumberFormat="1" applyFont="1" applyFill="1" applyBorder="1"/>
    <xf numFmtId="0" fontId="4" fillId="4" borderId="4" xfId="0" applyFont="1" applyFill="1" applyBorder="1"/>
    <xf numFmtId="14" fontId="2" fillId="4" borderId="5" xfId="1" applyNumberFormat="1" applyFont="1" applyFill="1" applyBorder="1"/>
    <xf numFmtId="43" fontId="2" fillId="4" borderId="5" xfId="1" applyFont="1" applyFill="1" applyBorder="1"/>
    <xf numFmtId="22" fontId="4" fillId="4" borderId="6" xfId="0" applyNumberFormat="1" applyFont="1" applyFill="1" applyBorder="1"/>
    <xf numFmtId="0" fontId="4" fillId="4" borderId="2" xfId="0" applyFont="1" applyFill="1" applyBorder="1"/>
    <xf numFmtId="14" fontId="4" fillId="4" borderId="2" xfId="0" applyNumberFormat="1" applyFont="1" applyFill="1" applyBorder="1"/>
    <xf numFmtId="0" fontId="0" fillId="2" borderId="19" xfId="0" applyFill="1" applyBorder="1"/>
    <xf numFmtId="14" fontId="0" fillId="2" borderId="19" xfId="1" applyNumberFormat="1" applyFont="1" applyFill="1" applyBorder="1" applyAlignment="1">
      <alignment horizontal="left"/>
    </xf>
    <xf numFmtId="43" fontId="0" fillId="2" borderId="19" xfId="1" applyFont="1" applyFill="1" applyBorder="1"/>
    <xf numFmtId="0" fontId="6" fillId="2" borderId="19" xfId="0" applyFont="1" applyFill="1" applyBorder="1"/>
    <xf numFmtId="43" fontId="2" fillId="2" borderId="19" xfId="0" applyNumberFormat="1" applyFont="1" applyFill="1" applyBorder="1"/>
    <xf numFmtId="0" fontId="7" fillId="2" borderId="19" xfId="0" applyFont="1" applyFill="1" applyBorder="1"/>
    <xf numFmtId="43" fontId="7" fillId="2" borderId="19" xfId="1" applyFont="1" applyFill="1" applyBorder="1"/>
    <xf numFmtId="43" fontId="8" fillId="2" borderId="19" xfId="1" applyFont="1" applyFill="1" applyBorder="1"/>
    <xf numFmtId="43" fontId="2" fillId="2" borderId="0" xfId="1" applyFont="1" applyFill="1" applyBorder="1" applyAlignment="1">
      <alignment horizontal="right"/>
    </xf>
    <xf numFmtId="43" fontId="0" fillId="2" borderId="20" xfId="1" applyFont="1" applyFill="1" applyBorder="1"/>
    <xf numFmtId="43" fontId="0" fillId="2" borderId="21" xfId="1" applyFont="1" applyFill="1" applyBorder="1"/>
    <xf numFmtId="43" fontId="0" fillId="2" borderId="22" xfId="1" applyFont="1" applyFill="1" applyBorder="1"/>
    <xf numFmtId="43" fontId="0" fillId="0" borderId="22" xfId="1" applyFont="1" applyBorder="1"/>
    <xf numFmtId="0" fontId="0" fillId="2" borderId="0" xfId="0" applyFill="1" applyAlignment="1">
      <alignment horizontal="right"/>
    </xf>
    <xf numFmtId="43" fontId="2" fillId="2" borderId="0" xfId="0" applyNumberFormat="1" applyFont="1" applyFill="1"/>
    <xf numFmtId="0" fontId="2" fillId="2" borderId="0" xfId="0" applyFont="1" applyFill="1" applyAlignment="1">
      <alignment horizontal="center"/>
    </xf>
    <xf numFmtId="22" fontId="2" fillId="2" borderId="0" xfId="0" applyNumberFormat="1" applyFont="1" applyFill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7" fillId="2" borderId="0" xfId="0" applyFont="1" applyFill="1"/>
    <xf numFmtId="0" fontId="6" fillId="2" borderId="0" xfId="0" applyFont="1" applyFill="1" applyAlignment="1">
      <alignment horizontal="left"/>
    </xf>
    <xf numFmtId="0" fontId="0" fillId="2" borderId="21" xfId="0" applyFill="1" applyBorder="1"/>
    <xf numFmtId="0" fontId="0" fillId="2" borderId="20" xfId="0" applyFill="1" applyBorder="1"/>
    <xf numFmtId="0" fontId="0" fillId="2" borderId="22" xfId="0" applyFill="1" applyBorder="1"/>
    <xf numFmtId="43" fontId="2" fillId="2" borderId="19" xfId="0" applyNumberFormat="1" applyFont="1" applyFill="1" applyBorder="1" applyAlignment="1">
      <alignment horizontal="center"/>
    </xf>
    <xf numFmtId="43" fontId="6" fillId="2" borderId="0" xfId="0" applyNumberFormat="1" applyFont="1" applyFill="1" applyAlignment="1">
      <alignment vertical="center"/>
    </xf>
    <xf numFmtId="0" fontId="17" fillId="2" borderId="0" xfId="0" applyFont="1" applyFill="1"/>
    <xf numFmtId="0" fontId="17" fillId="0" borderId="0" xfId="0" applyFont="1"/>
    <xf numFmtId="43" fontId="0" fillId="2" borderId="19" xfId="1" applyFont="1" applyFill="1" applyBorder="1" applyAlignment="1">
      <alignment horizontal="center"/>
    </xf>
    <xf numFmtId="43" fontId="0" fillId="2" borderId="1" xfId="0" applyNumberFormat="1" applyFill="1" applyBorder="1" applyAlignment="1">
      <alignment horizontal="center"/>
    </xf>
    <xf numFmtId="43" fontId="2" fillId="2" borderId="0" xfId="1" applyFont="1" applyFill="1"/>
    <xf numFmtId="43" fontId="2" fillId="2" borderId="0" xfId="1" applyFont="1" applyFill="1" applyAlignment="1">
      <alignment horizontal="right"/>
    </xf>
    <xf numFmtId="43" fontId="2" fillId="2" borderId="1" xfId="1" applyFont="1" applyFill="1" applyBorder="1"/>
    <xf numFmtId="43" fontId="0" fillId="2" borderId="0" xfId="0" applyNumberFormat="1" applyFill="1" applyAlignment="1">
      <alignment horizontal="center"/>
    </xf>
    <xf numFmtId="0" fontId="0" fillId="0" borderId="1" xfId="0" applyBorder="1"/>
    <xf numFmtId="0" fontId="2" fillId="2" borderId="0" xfId="0" applyFont="1" applyFill="1" applyAlignment="1">
      <alignment horizontal="right"/>
    </xf>
    <xf numFmtId="43" fontId="2" fillId="2" borderId="0" xfId="0" applyNumberFormat="1" applyFont="1" applyFill="1" applyAlignment="1">
      <alignment horizontal="center"/>
    </xf>
    <xf numFmtId="0" fontId="2" fillId="0" borderId="0" xfId="0" applyFont="1"/>
    <xf numFmtId="0" fontId="2" fillId="2" borderId="19" xfId="0" applyFont="1" applyFill="1" applyBorder="1" applyAlignment="1">
      <alignment horizontal="right"/>
    </xf>
    <xf numFmtId="43" fontId="0" fillId="0" borderId="0" xfId="1" applyFont="1" applyAlignment="1">
      <alignment horizontal="right"/>
    </xf>
    <xf numFmtId="43" fontId="0" fillId="0" borderId="0" xfId="0" applyNumberFormat="1"/>
    <xf numFmtId="0" fontId="11" fillId="0" borderId="0" xfId="0" applyFont="1"/>
    <xf numFmtId="0" fontId="3" fillId="0" borderId="0" xfId="0" applyFont="1"/>
    <xf numFmtId="14" fontId="16" fillId="0" borderId="16" xfId="0" applyNumberFormat="1" applyFont="1" applyBorder="1" applyAlignment="1">
      <alignment horizontal="left"/>
    </xf>
    <xf numFmtId="0" fontId="17" fillId="0" borderId="17" xfId="0" applyFont="1" applyBorder="1"/>
    <xf numFmtId="14" fontId="16" fillId="0" borderId="18" xfId="0" applyNumberFormat="1" applyFont="1" applyBorder="1" applyAlignment="1">
      <alignment horizontal="center"/>
    </xf>
    <xf numFmtId="43" fontId="19" fillId="0" borderId="0" xfId="1" applyFont="1" applyFill="1"/>
    <xf numFmtId="43" fontId="17" fillId="0" borderId="0" xfId="1" applyFont="1" applyFill="1"/>
    <xf numFmtId="0" fontId="0" fillId="2" borderId="2" xfId="0" applyFill="1" applyBorder="1"/>
    <xf numFmtId="43" fontId="0" fillId="0" borderId="0" xfId="1" applyFont="1" applyAlignment="1">
      <alignment horizontal="center"/>
    </xf>
    <xf numFmtId="0" fontId="2" fillId="2" borderId="14" xfId="0" applyFont="1" applyFill="1" applyBorder="1"/>
    <xf numFmtId="43" fontId="0" fillId="2" borderId="0" xfId="1" applyFont="1" applyFill="1" applyBorder="1" applyAlignment="1">
      <alignment horizontal="left" vertical="center"/>
    </xf>
    <xf numFmtId="43" fontId="0" fillId="2" borderId="0" xfId="1" applyFont="1" applyFill="1" applyBorder="1" applyAlignment="1"/>
    <xf numFmtId="43" fontId="22" fillId="0" borderId="0" xfId="1" applyFont="1" applyFill="1" applyBorder="1" applyAlignment="1">
      <alignment horizontal="center"/>
    </xf>
    <xf numFmtId="0" fontId="24" fillId="2" borderId="10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43" fontId="2" fillId="2" borderId="2" xfId="1" applyFont="1" applyFill="1" applyBorder="1"/>
    <xf numFmtId="43" fontId="2" fillId="2" borderId="2" xfId="0" applyNumberFormat="1" applyFont="1" applyFill="1" applyBorder="1" applyAlignment="1">
      <alignment vertical="center"/>
    </xf>
    <xf numFmtId="0" fontId="24" fillId="2" borderId="21" xfId="0" applyFont="1" applyFill="1" applyBorder="1" applyAlignment="1">
      <alignment vertical="center"/>
    </xf>
    <xf numFmtId="43" fontId="6" fillId="2" borderId="6" xfId="0" applyNumberFormat="1" applyFont="1" applyFill="1" applyBorder="1" applyAlignment="1">
      <alignment vertical="center"/>
    </xf>
    <xf numFmtId="0" fontId="6" fillId="2" borderId="0" xfId="0" applyFont="1" applyFill="1" applyAlignment="1">
      <alignment vertical="top" wrapText="1"/>
    </xf>
    <xf numFmtId="0" fontId="6" fillId="2" borderId="19" xfId="0" applyFont="1" applyFill="1" applyBorder="1" applyAlignment="1">
      <alignment vertical="top"/>
    </xf>
    <xf numFmtId="0" fontId="2" fillId="2" borderId="11" xfId="0" applyFont="1" applyFill="1" applyBorder="1" applyAlignment="1">
      <alignment vertical="center"/>
    </xf>
    <xf numFmtId="43" fontId="2" fillId="5" borderId="0" xfId="1" applyFont="1" applyFill="1" applyBorder="1" applyAlignment="1">
      <alignment horizontal="center"/>
    </xf>
    <xf numFmtId="0" fontId="0" fillId="2" borderId="0" xfId="0" applyFill="1" applyAlignment="1">
      <alignment vertical="center"/>
    </xf>
    <xf numFmtId="43" fontId="0" fillId="2" borderId="0" xfId="1" applyFont="1" applyFill="1" applyBorder="1" applyAlignment="1">
      <alignment vertical="center"/>
    </xf>
    <xf numFmtId="43" fontId="22" fillId="0" borderId="0" xfId="1" applyFont="1" applyFill="1" applyBorder="1"/>
    <xf numFmtId="0" fontId="24" fillId="2" borderId="11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19" xfId="0" applyFont="1" applyFill="1" applyBorder="1"/>
    <xf numFmtId="0" fontId="2" fillId="2" borderId="19" xfId="0" applyFont="1" applyFill="1" applyBorder="1" applyAlignment="1">
      <alignment horizontal="left" indent="8"/>
    </xf>
    <xf numFmtId="0" fontId="2" fillId="2" borderId="0" xfId="0" applyFont="1" applyFill="1" applyAlignment="1">
      <alignment horizontal="left" indent="8"/>
    </xf>
    <xf numFmtId="43" fontId="17" fillId="0" borderId="0" xfId="1" applyFont="1"/>
    <xf numFmtId="0" fontId="0" fillId="0" borderId="2" xfId="1" applyNumberFormat="1" applyFont="1" applyBorder="1" applyAlignment="1">
      <alignment horizontal="center" vertical="center"/>
    </xf>
    <xf numFmtId="0" fontId="1" fillId="0" borderId="2" xfId="1" applyNumberFormat="1" applyFont="1" applyBorder="1" applyAlignment="1">
      <alignment horizontal="center" vertical="center"/>
    </xf>
    <xf numFmtId="43" fontId="1" fillId="2" borderId="2" xfId="1" applyFont="1" applyFill="1" applyBorder="1" applyAlignment="1">
      <alignment vertical="center"/>
    </xf>
    <xf numFmtId="43" fontId="0" fillId="0" borderId="2" xfId="1" applyFont="1" applyBorder="1" applyAlignment="1">
      <alignment vertical="center"/>
    </xf>
    <xf numFmtId="43" fontId="2" fillId="6" borderId="2" xfId="1" applyFont="1" applyFill="1" applyBorder="1" applyAlignment="1">
      <alignment vertical="center"/>
    </xf>
    <xf numFmtId="14" fontId="20" fillId="2" borderId="0" xfId="0" applyNumberFormat="1" applyFont="1" applyFill="1" applyAlignment="1">
      <alignment horizontal="center"/>
    </xf>
    <xf numFmtId="43" fontId="0" fillId="0" borderId="0" xfId="1" applyFont="1" applyAlignment="1">
      <alignment vertical="center"/>
    </xf>
    <xf numFmtId="0" fontId="0" fillId="0" borderId="0" xfId="0" applyAlignment="1">
      <alignment vertical="center"/>
    </xf>
    <xf numFmtId="43" fontId="0" fillId="0" borderId="0" xfId="0" applyNumberFormat="1" applyAlignment="1">
      <alignment vertical="center"/>
    </xf>
    <xf numFmtId="0" fontId="18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1" applyNumberFormat="1" applyFont="1" applyFill="1" applyBorder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43" fontId="17" fillId="0" borderId="0" xfId="1" applyFont="1" applyAlignment="1">
      <alignment horizontal="center" vertical="center"/>
    </xf>
    <xf numFmtId="43" fontId="17" fillId="0" borderId="0" xfId="1" applyFont="1" applyFill="1" applyAlignment="1">
      <alignment horizontal="center" vertical="center"/>
    </xf>
    <xf numFmtId="14" fontId="0" fillId="3" borderId="0" xfId="0" applyNumberFormat="1" applyFill="1"/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/>
    <xf numFmtId="43" fontId="21" fillId="6" borderId="0" xfId="1" applyFont="1" applyFill="1"/>
    <xf numFmtId="43" fontId="25" fillId="0" borderId="0" xfId="1" applyFont="1" applyAlignment="1">
      <alignment vertical="center"/>
    </xf>
    <xf numFmtId="0" fontId="0" fillId="0" borderId="0" xfId="0" applyAlignment="1">
      <alignment horizontal="center"/>
    </xf>
    <xf numFmtId="43" fontId="0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43" fontId="0" fillId="0" borderId="0" xfId="1" applyFont="1" applyAlignment="1">
      <alignment horizontal="right" vertical="center"/>
    </xf>
    <xf numFmtId="14" fontId="16" fillId="0" borderId="16" xfId="0" applyNumberFormat="1" applyFont="1" applyBorder="1" applyAlignment="1">
      <alignment horizontal="left" vertical="center"/>
    </xf>
    <xf numFmtId="43" fontId="0" fillId="2" borderId="2" xfId="1" applyFont="1" applyFill="1" applyBorder="1" applyAlignment="1">
      <alignment vertical="center"/>
    </xf>
    <xf numFmtId="43" fontId="0" fillId="2" borderId="0" xfId="1" applyFont="1" applyFill="1" applyAlignment="1">
      <alignment vertical="center"/>
    </xf>
    <xf numFmtId="43" fontId="5" fillId="2" borderId="0" xfId="1" applyFont="1" applyFill="1" applyAlignment="1"/>
    <xf numFmtId="43" fontId="5" fillId="2" borderId="0" xfId="1" applyFont="1" applyFill="1"/>
    <xf numFmtId="43" fontId="1" fillId="2" borderId="0" xfId="1" applyFont="1" applyFill="1"/>
    <xf numFmtId="14" fontId="1" fillId="2" borderId="0" xfId="0" applyNumberFormat="1" applyFont="1" applyFill="1"/>
    <xf numFmtId="0" fontId="1" fillId="2" borderId="0" xfId="0" applyFont="1" applyFill="1"/>
    <xf numFmtId="0" fontId="0" fillId="0" borderId="2" xfId="0" applyBorder="1" applyAlignment="1">
      <alignment vertical="center"/>
    </xf>
    <xf numFmtId="43" fontId="21" fillId="6" borderId="2" xfId="1" applyFont="1" applyFill="1" applyBorder="1" applyAlignment="1">
      <alignment vertical="center"/>
    </xf>
    <xf numFmtId="43" fontId="5" fillId="2" borderId="0" xfId="1" applyFont="1" applyFill="1" applyAlignment="1">
      <alignment horizontal="left"/>
    </xf>
    <xf numFmtId="43" fontId="1" fillId="2" borderId="0" xfId="1" applyFont="1" applyFill="1" applyAlignment="1">
      <alignment horizontal="left"/>
    </xf>
    <xf numFmtId="0" fontId="20" fillId="0" borderId="0" xfId="0" applyFont="1"/>
    <xf numFmtId="43" fontId="20" fillId="0" borderId="0" xfId="1" applyFont="1" applyFill="1"/>
    <xf numFmtId="14" fontId="20" fillId="0" borderId="0" xfId="0" applyNumberFormat="1" applyFont="1"/>
    <xf numFmtId="0" fontId="20" fillId="0" borderId="0" xfId="0" applyFont="1" applyAlignment="1">
      <alignment horizontal="right"/>
    </xf>
    <xf numFmtId="43" fontId="20" fillId="0" borderId="0" xfId="1" applyFont="1"/>
    <xf numFmtId="43" fontId="2" fillId="6" borderId="2" xfId="1" applyFont="1" applyFill="1" applyBorder="1" applyAlignment="1">
      <alignment horizontal="left" vertical="center"/>
    </xf>
    <xf numFmtId="43" fontId="21" fillId="6" borderId="2" xfId="1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43" fontId="2" fillId="0" borderId="2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2" borderId="0" xfId="0" applyFont="1" applyFill="1"/>
    <xf numFmtId="43" fontId="20" fillId="2" borderId="0" xfId="1" applyFont="1" applyFill="1"/>
    <xf numFmtId="14" fontId="20" fillId="2" borderId="0" xfId="0" applyNumberFormat="1" applyFont="1" applyFill="1"/>
    <xf numFmtId="0" fontId="20" fillId="2" borderId="0" xfId="0" applyFont="1" applyFill="1" applyAlignment="1">
      <alignment horizontal="right"/>
    </xf>
    <xf numFmtId="0" fontId="2" fillId="0" borderId="0" xfId="0" applyFont="1" applyAlignment="1">
      <alignment horizontal="right" vertical="center"/>
    </xf>
    <xf numFmtId="43" fontId="2" fillId="2" borderId="1" xfId="1" applyFont="1" applyFill="1" applyBorder="1" applyAlignment="1">
      <alignment vertical="center"/>
    </xf>
    <xf numFmtId="43" fontId="2" fillId="0" borderId="1" xfId="0" applyNumberFormat="1" applyFont="1" applyBorder="1" applyAlignment="1">
      <alignment vertical="center"/>
    </xf>
    <xf numFmtId="43" fontId="0" fillId="2" borderId="2" xfId="1" applyFont="1" applyFill="1" applyBorder="1" applyAlignment="1">
      <alignment horizontal="right"/>
    </xf>
    <xf numFmtId="43" fontId="2" fillId="0" borderId="2" xfId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2" borderId="2" xfId="1" applyNumberFormat="1" applyFont="1" applyFill="1" applyBorder="1" applyAlignment="1">
      <alignment horizontal="center" vertical="center"/>
    </xf>
    <xf numFmtId="0" fontId="1" fillId="2" borderId="2" xfId="1" applyNumberFormat="1" applyFont="1" applyFill="1" applyBorder="1" applyAlignment="1">
      <alignment horizontal="center" vertical="center"/>
    </xf>
    <xf numFmtId="0" fontId="17" fillId="0" borderId="17" xfId="0" applyFont="1" applyBorder="1" applyAlignment="1">
      <alignment vertical="center"/>
    </xf>
    <xf numFmtId="14" fontId="16" fillId="0" borderId="18" xfId="0" applyNumberFormat="1" applyFont="1" applyBorder="1" applyAlignment="1">
      <alignment horizontal="center" vertical="center"/>
    </xf>
    <xf numFmtId="43" fontId="19" fillId="0" borderId="0" xfId="1" applyFont="1" applyFill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7" fillId="2" borderId="0" xfId="0" applyFont="1" applyFill="1" applyAlignment="1">
      <alignment vertical="center"/>
    </xf>
    <xf numFmtId="43" fontId="17" fillId="0" borderId="0" xfId="1" applyFont="1" applyAlignment="1">
      <alignment vertical="center"/>
    </xf>
    <xf numFmtId="43" fontId="17" fillId="0" borderId="0" xfId="1" applyFont="1" applyFill="1" applyAlignment="1">
      <alignment vertical="center"/>
    </xf>
    <xf numFmtId="0" fontId="0" fillId="7" borderId="0" xfId="0" applyFill="1"/>
    <xf numFmtId="43" fontId="0" fillId="7" borderId="0" xfId="1" applyFont="1" applyFill="1"/>
    <xf numFmtId="14" fontId="0" fillId="7" borderId="0" xfId="0" applyNumberFormat="1" applyFill="1"/>
    <xf numFmtId="0" fontId="0" fillId="7" borderId="0" xfId="0" applyFill="1" applyAlignment="1">
      <alignment horizontal="right"/>
    </xf>
    <xf numFmtId="43" fontId="26" fillId="7" borderId="0" xfId="1" applyFont="1" applyFill="1"/>
    <xf numFmtId="14" fontId="0" fillId="7" borderId="0" xfId="0" applyNumberFormat="1" applyFill="1" applyAlignment="1">
      <alignment horizontal="right"/>
    </xf>
    <xf numFmtId="43" fontId="5" fillId="7" borderId="0" xfId="1" applyFont="1" applyFill="1" applyAlignment="1"/>
    <xf numFmtId="14" fontId="1" fillId="7" borderId="0" xfId="0" applyNumberFormat="1" applyFont="1" applyFill="1"/>
    <xf numFmtId="43" fontId="20" fillId="2" borderId="0" xfId="1" applyFont="1" applyFill="1" applyAlignment="1"/>
    <xf numFmtId="0" fontId="20" fillId="2" borderId="0" xfId="0" applyFont="1" applyFill="1" applyAlignment="1">
      <alignment horizontal="left"/>
    </xf>
    <xf numFmtId="43" fontId="1" fillId="0" borderId="0" xfId="1" applyFont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wrapText="1"/>
    </xf>
    <xf numFmtId="0" fontId="6" fillId="2" borderId="19" xfId="0" applyFont="1" applyFill="1" applyBorder="1" applyAlignment="1">
      <alignment horizontal="center" wrapText="1"/>
    </xf>
    <xf numFmtId="22" fontId="10" fillId="0" borderId="0" xfId="0" applyNumberFormat="1" applyFont="1" applyAlignment="1">
      <alignment horizontal="center"/>
    </xf>
    <xf numFmtId="0" fontId="6" fillId="2" borderId="4" xfId="0" applyFont="1" applyFill="1" applyBorder="1" applyAlignment="1">
      <alignment horizontal="left" vertical="top"/>
    </xf>
    <xf numFmtId="0" fontId="6" fillId="2" borderId="6" xfId="0" applyFont="1" applyFill="1" applyBorder="1" applyAlignment="1">
      <alignment horizontal="left" vertical="top"/>
    </xf>
    <xf numFmtId="43" fontId="2" fillId="0" borderId="23" xfId="1" applyFont="1" applyBorder="1"/>
    <xf numFmtId="0" fontId="0" fillId="0" borderId="24" xfId="0" applyBorder="1"/>
    <xf numFmtId="0" fontId="0" fillId="0" borderId="0" xfId="0" applyBorder="1"/>
    <xf numFmtId="43" fontId="0" fillId="0" borderId="0" xfId="1" applyFont="1" applyBorder="1"/>
    <xf numFmtId="0" fontId="0" fillId="0" borderId="26" xfId="0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2" fillId="0" borderId="4" xfId="0" applyFont="1" applyBorder="1" applyAlignment="1">
      <alignment horizontal="center"/>
    </xf>
    <xf numFmtId="43" fontId="2" fillId="0" borderId="5" xfId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6" xfId="0" applyFont="1" applyBorder="1"/>
    <xf numFmtId="0" fontId="0" fillId="0" borderId="19" xfId="0" applyBorder="1" applyAlignment="1">
      <alignment horizontal="center"/>
    </xf>
    <xf numFmtId="0" fontId="2" fillId="0" borderId="2" xfId="0" applyFont="1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19" xfId="0" applyBorder="1" applyAlignment="1">
      <alignment horizontal="right"/>
    </xf>
    <xf numFmtId="0" fontId="0" fillId="8" borderId="24" xfId="0" applyFill="1" applyBorder="1"/>
    <xf numFmtId="0" fontId="0" fillId="8" borderId="20" xfId="0" applyFill="1" applyBorder="1"/>
    <xf numFmtId="43" fontId="0" fillId="8" borderId="0" xfId="1" applyFont="1" applyFill="1" applyBorder="1"/>
    <xf numFmtId="0" fontId="0" fillId="8" borderId="0" xfId="0" applyFill="1" applyBorder="1"/>
    <xf numFmtId="0" fontId="0" fillId="8" borderId="20" xfId="0" applyFill="1" applyBorder="1" applyAlignment="1">
      <alignment horizontal="right"/>
    </xf>
    <xf numFmtId="0" fontId="0" fillId="8" borderId="20" xfId="0" applyFill="1" applyBorder="1" applyAlignment="1">
      <alignment horizontal="left" indent="1"/>
    </xf>
    <xf numFmtId="0" fontId="0" fillId="0" borderId="20" xfId="0" applyBorder="1" applyAlignment="1">
      <alignment horizontal="left" indent="1"/>
    </xf>
    <xf numFmtId="0" fontId="2" fillId="0" borderId="16" xfId="0" applyFont="1" applyBorder="1" applyAlignment="1">
      <alignment horizontal="left" indent="1"/>
    </xf>
    <xf numFmtId="0" fontId="0" fillId="0" borderId="0" xfId="0" applyAlignment="1">
      <alignment horizontal="left" indent="1"/>
    </xf>
    <xf numFmtId="0" fontId="0" fillId="8" borderId="25" xfId="0" applyFill="1" applyBorder="1" applyAlignment="1">
      <alignment horizontal="left" indent="1"/>
    </xf>
    <xf numFmtId="0" fontId="0" fillId="0" borderId="25" xfId="0" applyBorder="1" applyAlignment="1">
      <alignment horizontal="left" indent="1"/>
    </xf>
    <xf numFmtId="0" fontId="0" fillId="0" borderId="27" xfId="0" applyBorder="1" applyAlignment="1">
      <alignment horizontal="left" indent="1"/>
    </xf>
    <xf numFmtId="0" fontId="0" fillId="0" borderId="0" xfId="0" applyBorder="1" applyAlignment="1">
      <alignment horizontal="left" indent="1"/>
    </xf>
    <xf numFmtId="0" fontId="0" fillId="0" borderId="16" xfId="0" applyBorder="1"/>
    <xf numFmtId="0" fontId="0" fillId="0" borderId="17" xfId="0" applyBorder="1"/>
    <xf numFmtId="0" fontId="0" fillId="0" borderId="16" xfId="0" applyFill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0" fontId="2" fillId="0" borderId="0" xfId="0" applyFont="1" applyBorder="1" applyAlignment="1">
      <alignment horizontal="right" indent="1"/>
    </xf>
    <xf numFmtId="0" fontId="2" fillId="0" borderId="17" xfId="0" applyFont="1" applyBorder="1"/>
    <xf numFmtId="43" fontId="2" fillId="0" borderId="23" xfId="0" applyNumberFormat="1" applyFont="1" applyBorder="1" applyAlignment="1">
      <alignment horizontal="left" indent="1"/>
    </xf>
    <xf numFmtId="0" fontId="0" fillId="0" borderId="10" xfId="0" applyFill="1" applyBorder="1"/>
    <xf numFmtId="0" fontId="0" fillId="0" borderId="17" xfId="0" applyBorder="1" applyAlignment="1">
      <alignment horizontal="left" indent="1"/>
    </xf>
    <xf numFmtId="43" fontId="0" fillId="0" borderId="10" xfId="1" applyFont="1" applyBorder="1" applyAlignment="1">
      <alignment horizontal="left" indent="1"/>
    </xf>
    <xf numFmtId="43" fontId="0" fillId="0" borderId="10" xfId="0" applyNumberFormat="1" applyBorder="1" applyAlignment="1">
      <alignment horizontal="left" indent="1"/>
    </xf>
    <xf numFmtId="43" fontId="0" fillId="0" borderId="29" xfId="1" applyFont="1" applyBorder="1"/>
    <xf numFmtId="43" fontId="2" fillId="0" borderId="28" xfId="0" applyNumberFormat="1" applyFont="1" applyBorder="1" applyAlignment="1">
      <alignment horizontal="left" indent="1"/>
    </xf>
    <xf numFmtId="0" fontId="0" fillId="0" borderId="16" xfId="0" applyBorder="1" applyAlignment="1">
      <alignment horizontal="left" indent="1"/>
    </xf>
    <xf numFmtId="0" fontId="0" fillId="0" borderId="18" xfId="0" applyBorder="1" applyAlignment="1">
      <alignment horizontal="left" indent="1"/>
    </xf>
    <xf numFmtId="43" fontId="2" fillId="0" borderId="23" xfId="1" applyFont="1" applyBorder="1" applyAlignment="1">
      <alignment horizontal="left" indent="1"/>
    </xf>
    <xf numFmtId="43" fontId="2" fillId="0" borderId="0" xfId="1" applyFont="1" applyBorder="1" applyAlignment="1">
      <alignment horizontal="right"/>
    </xf>
    <xf numFmtId="14" fontId="0" fillId="2" borderId="0" xfId="0" applyNumberFormat="1" applyFont="1" applyFill="1"/>
    <xf numFmtId="14" fontId="0" fillId="0" borderId="0" xfId="0" applyNumberFormat="1" applyFont="1"/>
    <xf numFmtId="14" fontId="0" fillId="8" borderId="0" xfId="0" applyNumberFormat="1" applyFont="1" applyFill="1"/>
  </cellXfs>
  <cellStyles count="26">
    <cellStyle name="Comma" xfId="1" builtinId="3"/>
    <cellStyle name="Comma 2" xfId="5" xr:uid="{31C76DA6-968B-4636-BC28-635D7996EB09}"/>
    <cellStyle name="Comma 2 2" xfId="3" xr:uid="{682F8890-4E89-4CAC-8E18-1DE29A5088CE}"/>
    <cellStyle name="Comma 2 2 2" xfId="7" xr:uid="{5D4B188B-4573-4C78-8AE9-044414E62E3B}"/>
    <cellStyle name="Comma 2 3" xfId="6" xr:uid="{6F383F91-DFC4-4FF6-9444-052DC4D83BA1}"/>
    <cellStyle name="Comma 3" xfId="8" xr:uid="{50F804F0-0AB4-4AB2-BC02-9145C6613009}"/>
    <cellStyle name="Comma 3 2" xfId="9" xr:uid="{431A3AD1-17C1-4EBB-BAFA-637E8DAFF278}"/>
    <cellStyle name="Currency 2" xfId="10" xr:uid="{1247F692-2EB6-4387-93C9-07D9A4FC28BC}"/>
    <cellStyle name="Currency 2 2" xfId="11" xr:uid="{95EB0C16-4995-477C-B7B7-F69AA70E6C67}"/>
    <cellStyle name="Currency 3" xfId="12" xr:uid="{D24BFBA1-CC79-404F-8BF0-22F6EFFFE9B6}"/>
    <cellStyle name="Normal" xfId="0" builtinId="0"/>
    <cellStyle name="Normal 2" xfId="2" xr:uid="{910856FE-F9EB-4158-BE80-56F26C209B9E}"/>
    <cellStyle name="Normal 2 10" xfId="14" xr:uid="{310A7773-4051-430C-BF50-068B88B6B49E}"/>
    <cellStyle name="Normal 2 11" xfId="15" xr:uid="{EFAF4998-725E-43A9-A068-34F8C34BCBE3}"/>
    <cellStyle name="Normal 2 12" xfId="13" xr:uid="{D7BBC995-FC89-4E75-980B-15C2967BD6C3}"/>
    <cellStyle name="Normal 2 13" xfId="4" xr:uid="{6DBD228E-20A2-429B-8A9F-664FFA27758B}"/>
    <cellStyle name="Normal 2 2" xfId="16" xr:uid="{2B9D94AA-BF5D-4B8C-AFAC-8048035EBD21}"/>
    <cellStyle name="Normal 2 3" xfId="17" xr:uid="{830EA720-8DA9-4652-8F7A-6BD583F066EA}"/>
    <cellStyle name="Normal 2 4" xfId="18" xr:uid="{3149BE2F-83C2-49EE-B326-6103B515066E}"/>
    <cellStyle name="Normal 2 5" xfId="19" xr:uid="{302145B8-4802-4F1B-8AC3-2DBA25CC9F7C}"/>
    <cellStyle name="Normal 2 6" xfId="20" xr:uid="{092F96EA-EEBC-4264-BDF1-6B7F898C3412}"/>
    <cellStyle name="Normal 2 7" xfId="21" xr:uid="{28EC16DF-C57F-46EE-BE76-F19A01434411}"/>
    <cellStyle name="Normal 2 8" xfId="22" xr:uid="{7BEE90A1-67FD-468A-BCE4-E15694BA650A}"/>
    <cellStyle name="Normal 2 9" xfId="23" xr:uid="{46335AA1-8256-4404-A80E-B7033E2BD0E4}"/>
    <cellStyle name="Normal 3" xfId="24" xr:uid="{883F7008-4C40-4683-9A6E-0B556A1A903D}"/>
    <cellStyle name="Normal 5" xfId="25" xr:uid="{F3F4B395-2277-4373-8792-1CA4E5F5A03D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numFmt numFmtId="35" formatCode="_(* #,##0.00_);_(* \(#,##0.00\);_(* &quot;-&quot;??_);_(@_)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numFmt numFmtId="35" formatCode="_(* #,##0.00_);_(* \(#,##0.00\);_(* &quot;-&quot;??_);_(@_)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numFmt numFmtId="35" formatCode="_(* #,##0.00_);_(* \(#,##0.00\);_(* &quot;-&quot;??_);_(@_)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940088-08E9-4E1D-A626-82490ED7E741}" name="Table13" displayName="Table13" ref="C34:K45" totalsRowCount="1" headerRowDxfId="22" dataDxfId="21" headerRowCellStyle="Comma" dataCellStyle="Comma">
  <autoFilter ref="C34:K44" xr:uid="{F6940088-08E9-4E1D-A626-82490ED7E741}"/>
  <tableColumns count="9">
    <tableColumn id="1" xr3:uid="{883DE586-D0AE-43F2-BC0C-671F66D2D95B}" name="Type" dataDxfId="20" totalsRowDxfId="19" dataCellStyle="Comma"/>
    <tableColumn id="2" xr3:uid="{1BC06CFD-E617-4B99-A2E1-AEBAFDC41242}" name="Description" dataDxfId="18" totalsRowDxfId="17" dataCellStyle="Comma"/>
    <tableColumn id="4" xr3:uid="{493C16F9-5B9E-471F-971D-86182797DA1C}" name="Amount (Rs.)" dataDxfId="16" totalsRowDxfId="15" dataCellStyle="Comma"/>
    <tableColumn id="6" xr3:uid="{81C45463-0801-46DC-B7F9-2A12CBF1A02D}" name="Total" dataDxfId="14" totalsRowDxfId="13" dataCellStyle="Comma"/>
    <tableColumn id="12" xr3:uid="{C283BFC5-EBB0-4CCB-B74C-AB96B1BC0DFA}" name="Column6" dataDxfId="12" totalsRowDxfId="11" dataCellStyle="Comma"/>
    <tableColumn id="14" xr3:uid="{301706B3-14AA-49B0-A1ED-0D6BE5F29B7C}" name="Column8" dataDxfId="10" totalsRowDxfId="9" dataCellStyle="Comma"/>
    <tableColumn id="15" xr3:uid="{301E4CF8-9B22-4B91-B3C8-E6AA1DE156A2}" name="Column9" dataDxfId="8" totalsRowDxfId="7" dataCellStyle="Comma"/>
    <tableColumn id="17" xr3:uid="{FF2FB9A7-5465-43E2-AC3D-AA7ED12D531A}" name="paid" dataDxfId="6" totalsRowDxfId="5" dataCellStyle="Comma" totalsRowCellStyle="Comma"/>
    <tableColumn id="3" xr3:uid="{EBC16F0D-BFD2-4D73-BE2A-3E326AD58FAF}" name="Column11" dataDxfId="4" dataCellStyle="Comm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CC95F4-F4C2-4706-9EDD-7B0F4FCC6B8D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tAVNhNfoeINm6HFhdIO3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9615-BCED-4407-8C92-4B13F1D02DDB}">
  <sheetPr codeName="Sheet1">
    <pageSetUpPr fitToPage="1"/>
  </sheetPr>
  <dimension ref="B1:L75"/>
  <sheetViews>
    <sheetView view="pageBreakPreview" zoomScaleNormal="78" zoomScaleSheetLayoutView="100" workbookViewId="0">
      <selection activeCell="C69" sqref="C69"/>
    </sheetView>
  </sheetViews>
  <sheetFormatPr defaultColWidth="9.109375" defaultRowHeight="14.4" x14ac:dyDescent="0.3"/>
  <cols>
    <col min="1" max="1" width="2.109375" style="1" customWidth="1"/>
    <col min="2" max="2" width="9.109375" style="1" customWidth="1"/>
    <col min="3" max="3" width="27" style="1" customWidth="1"/>
    <col min="4" max="4" width="35.88671875" style="12" customWidth="1"/>
    <col min="5" max="5" width="13.6640625" style="2" customWidth="1"/>
    <col min="6" max="6" width="22.44140625" style="2" bestFit="1" customWidth="1"/>
    <col min="7" max="7" width="15.6640625" style="17" customWidth="1"/>
    <col min="8" max="8" width="4.44140625" style="1" customWidth="1"/>
    <col min="9" max="9" width="2.44140625" style="1" customWidth="1"/>
    <col min="10" max="10" width="23.44140625" style="1" customWidth="1"/>
    <col min="11" max="16384" width="9.109375" style="1"/>
  </cols>
  <sheetData>
    <row r="1" spans="2:8" ht="15" thickBot="1" x14ac:dyDescent="0.35"/>
    <row r="2" spans="2:8" x14ac:dyDescent="0.3">
      <c r="B2" s="33"/>
      <c r="C2" s="34"/>
      <c r="D2" s="35"/>
      <c r="E2" s="36"/>
      <c r="F2" s="36"/>
      <c r="G2" s="37"/>
      <c r="H2" s="38"/>
    </row>
    <row r="3" spans="2:8" s="7" customFormat="1" ht="18" x14ac:dyDescent="0.35">
      <c r="B3" s="39"/>
      <c r="C3" s="70" t="s">
        <v>41</v>
      </c>
      <c r="D3" s="71"/>
      <c r="E3" s="72"/>
      <c r="F3" s="73">
        <f ca="1">NOW()</f>
        <v>46115.503607523147</v>
      </c>
      <c r="G3" s="91"/>
      <c r="H3" s="40"/>
    </row>
    <row r="4" spans="2:8" s="7" customFormat="1" x14ac:dyDescent="0.3">
      <c r="B4" s="39"/>
      <c r="D4" s="30"/>
      <c r="E4" s="31"/>
      <c r="F4" s="92"/>
      <c r="G4" s="91"/>
      <c r="H4" s="40"/>
    </row>
    <row r="5" spans="2:8" s="7" customFormat="1" ht="18" x14ac:dyDescent="0.35">
      <c r="B5" s="39"/>
      <c r="C5" s="74" t="s">
        <v>42</v>
      </c>
      <c r="D5" s="30"/>
      <c r="E5" s="31"/>
      <c r="F5" s="92"/>
      <c r="G5" s="91"/>
      <c r="H5" s="40"/>
    </row>
    <row r="6" spans="2:8" s="7" customFormat="1" x14ac:dyDescent="0.3">
      <c r="B6" s="39"/>
      <c r="D6" s="30"/>
      <c r="E6" s="31"/>
      <c r="F6" s="92"/>
      <c r="G6" s="91"/>
      <c r="H6" s="40"/>
    </row>
    <row r="7" spans="2:8" x14ac:dyDescent="0.3">
      <c r="B7" s="41"/>
      <c r="D7" s="13"/>
      <c r="E7" s="8"/>
      <c r="F7" s="84" t="s">
        <v>13</v>
      </c>
      <c r="H7" s="42"/>
    </row>
    <row r="8" spans="2:8" x14ac:dyDescent="0.3">
      <c r="B8" s="41"/>
      <c r="C8" s="76" t="s">
        <v>27</v>
      </c>
      <c r="D8" s="77"/>
      <c r="E8" s="78"/>
      <c r="F8" s="78">
        <v>500000</v>
      </c>
      <c r="H8" s="42"/>
    </row>
    <row r="9" spans="2:8" x14ac:dyDescent="0.3">
      <c r="B9" s="41"/>
      <c r="C9" s="76" t="s">
        <v>0</v>
      </c>
      <c r="D9" s="77"/>
      <c r="E9" s="78"/>
      <c r="F9" s="78">
        <v>100000</v>
      </c>
      <c r="H9" s="42"/>
    </row>
    <row r="10" spans="2:8" x14ac:dyDescent="0.3">
      <c r="B10" s="41"/>
      <c r="C10" s="76" t="s">
        <v>36</v>
      </c>
      <c r="D10" s="77"/>
      <c r="E10" s="78"/>
      <c r="F10" s="78"/>
      <c r="H10" s="42"/>
    </row>
    <row r="11" spans="2:8" x14ac:dyDescent="0.3">
      <c r="B11" s="41"/>
      <c r="C11" s="76" t="s">
        <v>39</v>
      </c>
      <c r="D11" s="77"/>
      <c r="E11" s="78"/>
      <c r="F11" s="78">
        <v>0</v>
      </c>
      <c r="H11" s="42"/>
    </row>
    <row r="12" spans="2:8" ht="15" thickBot="1" x14ac:dyDescent="0.35">
      <c r="B12" s="41"/>
      <c r="C12" s="7" t="s">
        <v>3</v>
      </c>
      <c r="D12" s="13"/>
      <c r="E12" s="8"/>
      <c r="F12" s="64">
        <f>SUM(F8:F11)</f>
        <v>600000</v>
      </c>
      <c r="H12" s="42"/>
    </row>
    <row r="13" spans="2:8" ht="15.6" thickTop="1" thickBot="1" x14ac:dyDescent="0.35">
      <c r="B13" s="47"/>
      <c r="C13" s="69"/>
      <c r="D13" s="49"/>
      <c r="E13" s="50"/>
      <c r="F13" s="50"/>
      <c r="G13" s="51"/>
      <c r="H13" s="52"/>
    </row>
    <row r="14" spans="2:8" x14ac:dyDescent="0.3">
      <c r="B14" s="41"/>
      <c r="C14" s="3"/>
      <c r="D14" s="13"/>
      <c r="E14" s="8"/>
      <c r="F14" s="8"/>
      <c r="H14" s="42"/>
    </row>
    <row r="15" spans="2:8" ht="18" x14ac:dyDescent="0.35">
      <c r="B15" s="41"/>
      <c r="C15" s="75" t="s">
        <v>43</v>
      </c>
      <c r="D15" s="13"/>
      <c r="E15" s="8"/>
      <c r="F15" s="8"/>
      <c r="H15" s="42"/>
    </row>
    <row r="16" spans="2:8" s="5" customFormat="1" ht="19.5" customHeight="1" x14ac:dyDescent="0.3">
      <c r="B16" s="43"/>
      <c r="D16" s="6"/>
      <c r="E16" s="32"/>
      <c r="F16" s="32" t="s">
        <v>28</v>
      </c>
      <c r="G16" s="6"/>
      <c r="H16" s="44"/>
    </row>
    <row r="17" spans="2:10" s="16" customFormat="1" ht="15" hidden="1" customHeight="1" x14ac:dyDescent="0.3">
      <c r="B17" s="45"/>
      <c r="C17" s="28" t="s">
        <v>47</v>
      </c>
      <c r="D17" s="28" t="s">
        <v>48</v>
      </c>
      <c r="E17" s="19"/>
      <c r="F17" s="19">
        <v>0</v>
      </c>
      <c r="H17" s="46"/>
      <c r="I17" s="18"/>
    </row>
    <row r="18" spans="2:10" s="16" customFormat="1" hidden="1" x14ac:dyDescent="0.3">
      <c r="B18" s="45"/>
      <c r="C18" s="29" t="s">
        <v>32</v>
      </c>
      <c r="D18" s="28" t="s">
        <v>33</v>
      </c>
      <c r="E18" s="19"/>
      <c r="F18" s="55">
        <v>0</v>
      </c>
      <c r="G18" s="16" t="s">
        <v>34</v>
      </c>
      <c r="H18" s="46"/>
      <c r="I18" s="18"/>
    </row>
    <row r="19" spans="2:10" ht="15.6" hidden="1" x14ac:dyDescent="0.3">
      <c r="B19" s="41"/>
      <c r="C19" s="93" t="s">
        <v>29</v>
      </c>
      <c r="D19" s="1"/>
      <c r="E19" s="1"/>
      <c r="F19" s="90">
        <f>SUM(F18:F18)</f>
        <v>0</v>
      </c>
      <c r="G19" s="91" t="s">
        <v>17</v>
      </c>
      <c r="H19" s="42"/>
    </row>
    <row r="20" spans="2:10" ht="15.6" x14ac:dyDescent="0.3">
      <c r="B20" s="41"/>
      <c r="C20" s="93"/>
      <c r="D20" s="1"/>
      <c r="E20" s="1"/>
      <c r="F20" s="90"/>
      <c r="G20" s="91"/>
      <c r="H20" s="42"/>
    </row>
    <row r="21" spans="2:10" ht="15.6" x14ac:dyDescent="0.3">
      <c r="B21" s="41"/>
      <c r="C21" s="93"/>
      <c r="D21" s="89"/>
      <c r="E21" s="90">
        <v>0</v>
      </c>
      <c r="F21" s="90"/>
      <c r="G21" s="91"/>
      <c r="H21" s="42"/>
    </row>
    <row r="22" spans="2:10" x14ac:dyDescent="0.3">
      <c r="B22" s="41"/>
      <c r="C22" s="236" t="s">
        <v>29</v>
      </c>
      <c r="D22" s="111"/>
      <c r="E22" s="112"/>
      <c r="F22" s="90"/>
      <c r="G22" s="91"/>
      <c r="H22" s="42"/>
    </row>
    <row r="23" spans="2:10" ht="15.75" customHeight="1" x14ac:dyDescent="0.3">
      <c r="B23" s="41"/>
      <c r="C23" s="237"/>
      <c r="D23" s="114" t="s">
        <v>91</v>
      </c>
      <c r="E23" s="100"/>
      <c r="F23" s="80">
        <v>988319</v>
      </c>
      <c r="G23" s="91" t="s">
        <v>17</v>
      </c>
      <c r="H23" s="42"/>
    </row>
    <row r="24" spans="2:10" ht="15.6" x14ac:dyDescent="0.3">
      <c r="B24" s="41"/>
      <c r="C24" s="93"/>
      <c r="D24" s="1"/>
      <c r="E24" s="1"/>
      <c r="F24" s="90"/>
      <c r="G24" s="91"/>
      <c r="H24" s="42"/>
    </row>
    <row r="25" spans="2:10" ht="15.6" x14ac:dyDescent="0.3">
      <c r="B25" s="41"/>
      <c r="C25" s="79" t="s">
        <v>44</v>
      </c>
      <c r="D25" s="76"/>
      <c r="E25" s="76"/>
      <c r="F25" s="80">
        <v>141745</v>
      </c>
      <c r="G25" s="91" t="s">
        <v>18</v>
      </c>
      <c r="H25" s="42"/>
      <c r="J25" s="9" t="e">
        <f>F23+F25+F43+F46+F49+F52+F54</f>
        <v>#REF!</v>
      </c>
    </row>
    <row r="26" spans="2:10" ht="15.6" x14ac:dyDescent="0.3">
      <c r="B26" s="41"/>
      <c r="C26" s="93"/>
      <c r="D26" s="1"/>
      <c r="E26" s="1"/>
      <c r="F26" s="90"/>
      <c r="G26" s="91"/>
      <c r="H26" s="42"/>
    </row>
    <row r="27" spans="2:10" ht="15.6" x14ac:dyDescent="0.3">
      <c r="B27" s="41"/>
      <c r="C27" s="93"/>
      <c r="D27" s="1"/>
      <c r="E27" s="1"/>
      <c r="F27" s="90"/>
      <c r="G27" s="91"/>
      <c r="H27" s="42"/>
    </row>
    <row r="28" spans="2:10" ht="15.6" x14ac:dyDescent="0.3">
      <c r="B28" s="41"/>
      <c r="C28" s="93"/>
      <c r="D28" s="1"/>
      <c r="E28" s="1"/>
      <c r="F28" s="90"/>
      <c r="G28" s="91"/>
      <c r="H28" s="42"/>
    </row>
    <row r="29" spans="2:10" x14ac:dyDescent="0.3">
      <c r="B29" s="41"/>
      <c r="C29" s="97" t="s">
        <v>40</v>
      </c>
      <c r="D29" s="97" t="s">
        <v>92</v>
      </c>
      <c r="E29" s="97" t="s">
        <v>93</v>
      </c>
      <c r="F29" s="86">
        <v>5000</v>
      </c>
      <c r="G29" s="91"/>
      <c r="H29" s="42"/>
    </row>
    <row r="30" spans="2:10" x14ac:dyDescent="0.3">
      <c r="B30" s="41"/>
      <c r="C30" s="98" t="s">
        <v>40</v>
      </c>
      <c r="D30" s="98" t="s">
        <v>90</v>
      </c>
      <c r="E30" s="98" t="s">
        <v>93</v>
      </c>
      <c r="F30" s="85">
        <v>7120</v>
      </c>
      <c r="G30" s="91"/>
      <c r="H30" s="42"/>
    </row>
    <row r="31" spans="2:10" x14ac:dyDescent="0.3">
      <c r="B31" s="41"/>
      <c r="C31" s="98" t="s">
        <v>40</v>
      </c>
      <c r="D31" s="98" t="s">
        <v>94</v>
      </c>
      <c r="E31" s="98" t="s">
        <v>95</v>
      </c>
      <c r="F31" s="85">
        <v>9000</v>
      </c>
      <c r="G31" s="91"/>
      <c r="H31" s="42"/>
    </row>
    <row r="32" spans="2:10" x14ac:dyDescent="0.3">
      <c r="B32" s="41"/>
      <c r="C32" s="98" t="s">
        <v>40</v>
      </c>
      <c r="D32" s="98" t="s">
        <v>96</v>
      </c>
      <c r="E32" s="98" t="s">
        <v>97</v>
      </c>
      <c r="F32" s="85">
        <v>4500</v>
      </c>
      <c r="G32" s="91"/>
      <c r="H32" s="42"/>
    </row>
    <row r="33" spans="2:12" x14ac:dyDescent="0.3">
      <c r="B33" s="41"/>
      <c r="C33" s="98" t="s">
        <v>40</v>
      </c>
      <c r="D33" s="98" t="s">
        <v>98</v>
      </c>
      <c r="E33" s="98" t="s">
        <v>99</v>
      </c>
      <c r="F33" s="85">
        <v>12250</v>
      </c>
      <c r="G33" s="91"/>
      <c r="H33" s="42"/>
    </row>
    <row r="34" spans="2:12" x14ac:dyDescent="0.3">
      <c r="B34" s="41"/>
      <c r="C34" s="98" t="s">
        <v>40</v>
      </c>
      <c r="D34" s="98" t="s">
        <v>100</v>
      </c>
      <c r="E34" s="98" t="s">
        <v>101</v>
      </c>
      <c r="F34" s="85">
        <v>9620</v>
      </c>
      <c r="G34" s="91"/>
      <c r="H34" s="42"/>
    </row>
    <row r="35" spans="2:12" x14ac:dyDescent="0.3">
      <c r="B35" s="41"/>
      <c r="C35" s="98" t="s">
        <v>40</v>
      </c>
      <c r="D35" s="98" t="s">
        <v>102</v>
      </c>
      <c r="E35" s="98" t="s">
        <v>101</v>
      </c>
      <c r="F35" s="85">
        <v>3000</v>
      </c>
      <c r="G35" s="91"/>
      <c r="H35" s="42"/>
    </row>
    <row r="36" spans="2:12" x14ac:dyDescent="0.3">
      <c r="B36" s="41"/>
      <c r="C36" s="98" t="s">
        <v>40</v>
      </c>
      <c r="D36" s="98" t="s">
        <v>103</v>
      </c>
      <c r="E36" s="98" t="s">
        <v>101</v>
      </c>
      <c r="F36" s="85">
        <v>4205</v>
      </c>
      <c r="G36" s="91"/>
      <c r="H36" s="42"/>
    </row>
    <row r="37" spans="2:12" x14ac:dyDescent="0.3">
      <c r="B37" s="41"/>
      <c r="C37" s="98" t="s">
        <v>40</v>
      </c>
      <c r="D37" s="98" t="s">
        <v>104</v>
      </c>
      <c r="E37" s="98" t="s">
        <v>105</v>
      </c>
      <c r="F37" s="85">
        <v>10500</v>
      </c>
      <c r="G37" s="91"/>
      <c r="H37" s="42"/>
    </row>
    <row r="38" spans="2:12" x14ac:dyDescent="0.3">
      <c r="B38" s="41"/>
      <c r="C38" s="98" t="s">
        <v>40</v>
      </c>
      <c r="D38" s="98" t="s">
        <v>106</v>
      </c>
      <c r="E38" s="98" t="s">
        <v>107</v>
      </c>
      <c r="F38" s="85">
        <v>10500</v>
      </c>
      <c r="G38" s="91"/>
      <c r="H38" s="42"/>
    </row>
    <row r="39" spans="2:12" x14ac:dyDescent="0.3">
      <c r="B39" s="41"/>
      <c r="C39" s="98" t="s">
        <v>40</v>
      </c>
      <c r="D39" s="98" t="s">
        <v>108</v>
      </c>
      <c r="E39" s="98" t="s">
        <v>109</v>
      </c>
      <c r="F39" s="85">
        <v>12000</v>
      </c>
      <c r="G39" s="91"/>
      <c r="H39" s="42"/>
    </row>
    <row r="40" spans="2:12" x14ac:dyDescent="0.3">
      <c r="B40" s="41"/>
      <c r="C40" s="98" t="s">
        <v>40</v>
      </c>
      <c r="D40" s="98" t="s">
        <v>110</v>
      </c>
      <c r="E40" s="98" t="s">
        <v>111</v>
      </c>
      <c r="F40" s="85">
        <v>6000</v>
      </c>
      <c r="G40" s="91"/>
      <c r="H40" s="42"/>
    </row>
    <row r="41" spans="2:12" x14ac:dyDescent="0.3">
      <c r="B41" s="41"/>
      <c r="C41" s="98" t="s">
        <v>40</v>
      </c>
      <c r="D41" s="98" t="s">
        <v>112</v>
      </c>
      <c r="E41" s="98" t="s">
        <v>111</v>
      </c>
      <c r="F41" s="85">
        <v>4000</v>
      </c>
      <c r="G41" s="91"/>
      <c r="H41" s="42"/>
    </row>
    <row r="42" spans="2:12" x14ac:dyDescent="0.3">
      <c r="B42" s="41"/>
      <c r="C42" s="99"/>
      <c r="D42" s="99"/>
      <c r="E42" s="99"/>
      <c r="F42" s="87"/>
      <c r="G42" s="91"/>
      <c r="H42" s="42"/>
    </row>
    <row r="43" spans="2:12" s="60" customFormat="1" ht="15.6" x14ac:dyDescent="0.3">
      <c r="B43" s="56"/>
      <c r="C43" s="79" t="s">
        <v>30</v>
      </c>
      <c r="D43" s="76"/>
      <c r="E43" s="76"/>
      <c r="F43" s="80">
        <v>201</v>
      </c>
      <c r="G43" s="94" t="s">
        <v>19</v>
      </c>
      <c r="H43" s="58"/>
      <c r="I43" s="59"/>
      <c r="J43" s="60">
        <v>291580</v>
      </c>
      <c r="L43" s="79" t="s">
        <v>30</v>
      </c>
    </row>
    <row r="44" spans="2:12" s="60" customFormat="1" ht="15.6" x14ac:dyDescent="0.3">
      <c r="B44" s="56"/>
      <c r="C44" s="93"/>
      <c r="D44" s="95"/>
      <c r="E44" s="57"/>
      <c r="F44" s="57"/>
      <c r="G44" s="94"/>
      <c r="H44" s="58"/>
      <c r="I44" s="59"/>
    </row>
    <row r="45" spans="2:12" s="60" customFormat="1" ht="15.6" x14ac:dyDescent="0.3">
      <c r="B45" s="56"/>
      <c r="C45" s="99"/>
      <c r="D45" s="99"/>
      <c r="E45" s="99"/>
      <c r="F45" s="87"/>
      <c r="G45" s="94"/>
      <c r="H45" s="58"/>
      <c r="I45" s="59"/>
    </row>
    <row r="46" spans="2:12" s="60" customFormat="1" ht="15.6" x14ac:dyDescent="0.3">
      <c r="B46" s="56"/>
      <c r="C46" s="79" t="s">
        <v>55</v>
      </c>
      <c r="D46" s="76"/>
      <c r="E46" s="76"/>
      <c r="F46" s="80">
        <f>SUM(F45:F45)</f>
        <v>0</v>
      </c>
      <c r="G46" s="94" t="s">
        <v>20</v>
      </c>
      <c r="H46" s="58"/>
      <c r="I46" s="59"/>
    </row>
    <row r="47" spans="2:12" x14ac:dyDescent="0.3">
      <c r="B47" s="41"/>
      <c r="C47" s="7"/>
      <c r="D47" s="13"/>
      <c r="E47" s="8"/>
      <c r="F47" s="8"/>
      <c r="H47" s="42"/>
    </row>
    <row r="48" spans="2:12" x14ac:dyDescent="0.3">
      <c r="B48" s="41"/>
      <c r="C48" s="88"/>
      <c r="D48" s="88"/>
      <c r="E48" s="88"/>
      <c r="F48" s="88"/>
      <c r="H48" s="42"/>
    </row>
    <row r="49" spans="2:10" ht="15.6" x14ac:dyDescent="0.3">
      <c r="B49" s="41"/>
      <c r="C49" s="79" t="s">
        <v>49</v>
      </c>
      <c r="D49" s="76"/>
      <c r="E49" s="76"/>
      <c r="F49" s="80">
        <f>SUM(F48:F48)</f>
        <v>0</v>
      </c>
      <c r="G49" s="91" t="s">
        <v>45</v>
      </c>
      <c r="H49" s="42"/>
    </row>
    <row r="50" spans="2:10" ht="15.6" x14ac:dyDescent="0.3">
      <c r="B50" s="41"/>
      <c r="C50" s="93"/>
      <c r="D50" s="13"/>
      <c r="E50" s="8"/>
      <c r="F50" s="8"/>
      <c r="H50" s="42"/>
    </row>
    <row r="51" spans="2:10" x14ac:dyDescent="0.3">
      <c r="B51" s="41"/>
      <c r="C51" s="23"/>
      <c r="D51" s="23"/>
      <c r="E51" s="23"/>
      <c r="F51" s="23"/>
      <c r="H51" s="42"/>
    </row>
    <row r="52" spans="2:10" ht="15.6" x14ac:dyDescent="0.3">
      <c r="B52" s="41"/>
      <c r="C52" s="93" t="s">
        <v>50</v>
      </c>
      <c r="D52" s="13"/>
      <c r="E52" s="8"/>
      <c r="F52" s="31">
        <f>SUM(F51:F51)</f>
        <v>0</v>
      </c>
      <c r="G52" s="91" t="s">
        <v>35</v>
      </c>
      <c r="H52" s="42"/>
    </row>
    <row r="53" spans="2:10" ht="15.6" x14ac:dyDescent="0.3">
      <c r="B53" s="41"/>
      <c r="C53" s="93"/>
      <c r="D53" s="13"/>
      <c r="E53" s="8"/>
      <c r="F53" s="8"/>
      <c r="H53" s="42"/>
    </row>
    <row r="54" spans="2:10" s="60" customFormat="1" ht="15.6" x14ac:dyDescent="0.3">
      <c r="B54" s="56"/>
      <c r="C54" s="79" t="s">
        <v>1</v>
      </c>
      <c r="D54" s="81"/>
      <c r="E54" s="82"/>
      <c r="F54" s="82" t="e">
        <f>#REF!</f>
        <v>#REF!</v>
      </c>
      <c r="G54" s="94" t="s">
        <v>46</v>
      </c>
      <c r="H54" s="58"/>
      <c r="I54" s="59"/>
    </row>
    <row r="55" spans="2:10" x14ac:dyDescent="0.3">
      <c r="B55" s="41"/>
      <c r="C55" s="7"/>
      <c r="D55" s="13"/>
      <c r="E55" s="8"/>
      <c r="F55" s="8"/>
      <c r="H55" s="42"/>
    </row>
    <row r="56" spans="2:10" s="60" customFormat="1" ht="15.6" x14ac:dyDescent="0.3">
      <c r="B56" s="56"/>
      <c r="C56" s="79" t="s">
        <v>2</v>
      </c>
      <c r="D56" s="81"/>
      <c r="E56" s="82"/>
      <c r="F56" s="83" t="e">
        <f>F58-F54-F49-F43-F25-F23-F46-F52-F22</f>
        <v>#REF!</v>
      </c>
      <c r="G56" s="94" t="s">
        <v>51</v>
      </c>
      <c r="H56" s="58"/>
      <c r="I56" s="59"/>
      <c r="J56" s="101"/>
    </row>
    <row r="57" spans="2:10" x14ac:dyDescent="0.3">
      <c r="B57" s="41"/>
      <c r="C57" s="7"/>
      <c r="D57" s="13"/>
      <c r="E57" s="8"/>
      <c r="F57" s="8"/>
      <c r="H57" s="42"/>
    </row>
    <row r="58" spans="2:10" s="60" customFormat="1" ht="16.2" thickBot="1" x14ac:dyDescent="0.35">
      <c r="B58" s="56"/>
      <c r="C58" s="93" t="s">
        <v>3</v>
      </c>
      <c r="D58" s="95"/>
      <c r="E58" s="57"/>
      <c r="F58" s="61">
        <f>F12</f>
        <v>600000</v>
      </c>
      <c r="G58" s="96" t="s">
        <v>52</v>
      </c>
      <c r="H58" s="58"/>
      <c r="I58" s="59"/>
    </row>
    <row r="59" spans="2:10" ht="15.6" thickTop="1" thickBot="1" x14ac:dyDescent="0.35">
      <c r="B59" s="47"/>
      <c r="C59" s="48"/>
      <c r="D59" s="49"/>
      <c r="E59" s="50"/>
      <c r="F59" s="50"/>
      <c r="G59" s="51"/>
      <c r="H59" s="52"/>
    </row>
    <row r="62" spans="2:10" s="17" customFormat="1" x14ac:dyDescent="0.3">
      <c r="C62" s="21" t="s">
        <v>14</v>
      </c>
      <c r="D62" s="24" t="s">
        <v>21</v>
      </c>
      <c r="E62" s="22"/>
      <c r="F62" s="22" t="s">
        <v>15</v>
      </c>
    </row>
    <row r="63" spans="2:10" x14ac:dyDescent="0.3">
      <c r="C63" s="25">
        <v>2</v>
      </c>
      <c r="D63" s="24">
        <v>5000</v>
      </c>
      <c r="E63" s="23"/>
      <c r="F63" s="23">
        <f t="shared" ref="F63:F68" si="0">C63*D63</f>
        <v>10000</v>
      </c>
    </row>
    <row r="64" spans="2:10" x14ac:dyDescent="0.3">
      <c r="C64" s="25">
        <v>5</v>
      </c>
      <c r="D64" s="24">
        <v>1000</v>
      </c>
      <c r="E64" s="23"/>
      <c r="F64" s="23">
        <f t="shared" si="0"/>
        <v>5000</v>
      </c>
    </row>
    <row r="65" spans="3:7" x14ac:dyDescent="0.3">
      <c r="C65" s="25">
        <v>2</v>
      </c>
      <c r="D65" s="24">
        <v>500</v>
      </c>
      <c r="E65" s="23"/>
      <c r="F65" s="23">
        <f t="shared" si="0"/>
        <v>1000</v>
      </c>
    </row>
    <row r="66" spans="3:7" x14ac:dyDescent="0.3">
      <c r="C66" s="25">
        <v>11</v>
      </c>
      <c r="D66" s="24">
        <v>100</v>
      </c>
      <c r="E66" s="23"/>
      <c r="F66" s="23">
        <f t="shared" si="0"/>
        <v>1100</v>
      </c>
    </row>
    <row r="67" spans="3:7" x14ac:dyDescent="0.3">
      <c r="C67" s="25">
        <v>1</v>
      </c>
      <c r="D67" s="24">
        <v>50</v>
      </c>
      <c r="E67" s="23"/>
      <c r="F67" s="23">
        <f t="shared" si="0"/>
        <v>50</v>
      </c>
    </row>
    <row r="68" spans="3:7" x14ac:dyDescent="0.3">
      <c r="C68" s="25">
        <v>10</v>
      </c>
      <c r="D68" s="24">
        <v>20</v>
      </c>
      <c r="E68" s="23"/>
      <c r="F68" s="23">
        <f t="shared" si="0"/>
        <v>200</v>
      </c>
    </row>
    <row r="69" spans="3:7" x14ac:dyDescent="0.3">
      <c r="C69" s="25"/>
      <c r="D69" s="24" t="s">
        <v>5</v>
      </c>
      <c r="E69" s="23"/>
      <c r="F69" s="23">
        <v>75</v>
      </c>
    </row>
    <row r="70" spans="3:7" ht="15" thickBot="1" x14ac:dyDescent="0.35">
      <c r="F70" s="20">
        <f>SUM(F63:F69)</f>
        <v>17425</v>
      </c>
      <c r="G70" s="109" t="e">
        <f>F70-F56</f>
        <v>#REF!</v>
      </c>
    </row>
    <row r="71" spans="3:7" ht="15" thickTop="1" x14ac:dyDescent="0.3"/>
    <row r="73" spans="3:7" x14ac:dyDescent="0.3">
      <c r="D73" s="12" t="s">
        <v>88</v>
      </c>
      <c r="F73" s="2">
        <f>123600+10000</f>
        <v>133600</v>
      </c>
      <c r="G73" s="109" t="e">
        <f>F73+G70</f>
        <v>#REF!</v>
      </c>
    </row>
    <row r="74" spans="3:7" x14ac:dyDescent="0.3">
      <c r="D74" s="12" t="s">
        <v>89</v>
      </c>
    </row>
    <row r="75" spans="3:7" x14ac:dyDescent="0.3">
      <c r="G75" s="109"/>
    </row>
  </sheetData>
  <mergeCells count="1">
    <mergeCell ref="C22:C23"/>
  </mergeCells>
  <pageMargins left="0" right="0" top="0" bottom="0" header="0.3" footer="0.3"/>
  <pageSetup scale="77" orientation="portrait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1A8EB-8DD6-407E-B40F-F00B5C55FB48}">
  <sheetPr codeName="Sheet2" filterMode="1">
    <tabColor rgb="FFFFC000"/>
  </sheetPr>
  <dimension ref="A1:R1046021"/>
  <sheetViews>
    <sheetView topLeftCell="A4" zoomScaleNormal="100" zoomScaleSheetLayoutView="90" workbookViewId="0">
      <pane xSplit="2" ySplit="2" topLeftCell="C6" activePane="bottomRight" state="frozen"/>
      <selection activeCell="A4" sqref="A4"/>
      <selection pane="topRight" activeCell="C4" sqref="C4"/>
      <selection pane="bottomLeft" activeCell="A6" sqref="A6"/>
      <selection pane="bottomRight" activeCell="D19" sqref="D19"/>
    </sheetView>
  </sheetViews>
  <sheetFormatPr defaultRowHeight="14.4" x14ac:dyDescent="0.3"/>
  <cols>
    <col min="1" max="1" width="21.88671875" customWidth="1"/>
    <col min="2" max="2" width="10.5546875" customWidth="1"/>
    <col min="3" max="3" width="22.33203125" customWidth="1"/>
    <col min="4" max="4" width="21.88671875" style="15" customWidth="1"/>
    <col min="5" max="5" width="19" style="11" customWidth="1"/>
    <col min="6" max="6" width="73.21875" customWidth="1"/>
    <col min="7" max="7" width="12.88671875" bestFit="1" customWidth="1"/>
    <col min="8" max="8" width="13.5546875" customWidth="1"/>
    <col min="9" max="9" width="12.33203125" bestFit="1" customWidth="1"/>
    <col min="10" max="10" width="10.5546875" customWidth="1"/>
    <col min="11" max="11" width="24.5546875" customWidth="1"/>
    <col min="12" max="12" width="11.5546875" customWidth="1"/>
    <col min="13" max="13" width="32.44140625" style="10" bestFit="1" customWidth="1"/>
    <col min="14" max="14" width="17.88671875" bestFit="1" customWidth="1"/>
    <col min="15" max="15" width="11.5546875" bestFit="1" customWidth="1"/>
    <col min="16" max="16" width="25" bestFit="1" customWidth="1"/>
    <col min="17" max="17" width="17.6640625" bestFit="1" customWidth="1"/>
    <col min="18" max="18" width="12.33203125" style="15" bestFit="1" customWidth="1"/>
    <col min="20" max="20" width="11.5546875" bestFit="1" customWidth="1"/>
    <col min="21" max="21" width="12.88671875" bestFit="1" customWidth="1"/>
  </cols>
  <sheetData>
    <row r="1" spans="1:18" ht="23.4" x14ac:dyDescent="0.45">
      <c r="A1" s="117" t="s">
        <v>54</v>
      </c>
      <c r="B1" s="118"/>
      <c r="C1" s="238" t="s">
        <v>113</v>
      </c>
      <c r="D1" s="238"/>
      <c r="H1" s="1"/>
    </row>
    <row r="2" spans="1:18" x14ac:dyDescent="0.3">
      <c r="B2" s="113"/>
      <c r="D2" s="68"/>
      <c r="H2" s="1"/>
    </row>
    <row r="3" spans="1:18" ht="15" thickBot="1" x14ac:dyDescent="0.35">
      <c r="A3" s="53"/>
      <c r="B3" s="113"/>
      <c r="D3" s="68"/>
      <c r="H3" s="1"/>
    </row>
    <row r="4" spans="1:18" s="103" customFormat="1" ht="24" thickBot="1" x14ac:dyDescent="0.5">
      <c r="A4" s="119" t="s">
        <v>53</v>
      </c>
      <c r="B4" s="120"/>
      <c r="C4" s="121">
        <f ca="1">TODAY()</f>
        <v>46115</v>
      </c>
      <c r="D4" s="122">
        <f>SUBTOTAL(9,D6:D1048576)</f>
        <v>29800</v>
      </c>
      <c r="E4" s="175">
        <f>200000-(D4+'Summary '!D8)</f>
        <v>64263.460000000021</v>
      </c>
      <c r="H4" s="102"/>
      <c r="M4" s="151"/>
      <c r="R4" s="123"/>
    </row>
    <row r="5" spans="1:18" s="166" customFormat="1" x14ac:dyDescent="0.3">
      <c r="A5" s="161" t="s">
        <v>38</v>
      </c>
      <c r="B5" s="162" t="s">
        <v>6</v>
      </c>
      <c r="C5" s="162" t="s">
        <v>7</v>
      </c>
      <c r="D5" s="163" t="s">
        <v>139</v>
      </c>
      <c r="E5" s="164" t="s">
        <v>9</v>
      </c>
      <c r="F5" s="162" t="s">
        <v>16</v>
      </c>
      <c r="G5" s="162" t="s">
        <v>10</v>
      </c>
      <c r="H5" s="165"/>
      <c r="I5" s="162"/>
      <c r="M5" s="167"/>
      <c r="R5" s="168"/>
    </row>
    <row r="6" spans="1:18" s="1" customFormat="1" x14ac:dyDescent="0.3">
      <c r="A6" t="s">
        <v>56</v>
      </c>
      <c r="B6">
        <v>10505</v>
      </c>
      <c r="C6" t="s">
        <v>140</v>
      </c>
      <c r="D6" s="15">
        <v>2800</v>
      </c>
      <c r="E6" s="11">
        <v>45974</v>
      </c>
      <c r="F6" t="s">
        <v>142</v>
      </c>
      <c r="G6">
        <f t="shared" ref="G6:G15" ca="1" si="0">$C$4-E6</f>
        <v>141</v>
      </c>
      <c r="H6"/>
      <c r="I6"/>
      <c r="J6"/>
      <c r="K6"/>
      <c r="M6" s="2"/>
      <c r="R6" s="2"/>
    </row>
    <row r="7" spans="1:18" s="1" customFormat="1" hidden="1" x14ac:dyDescent="0.3">
      <c r="A7" s="1" t="s">
        <v>56</v>
      </c>
      <c r="B7" s="1">
        <v>10530</v>
      </c>
      <c r="C7" s="1" t="s">
        <v>117</v>
      </c>
      <c r="D7" s="2">
        <v>0</v>
      </c>
      <c r="E7" s="54">
        <v>45990</v>
      </c>
      <c r="F7" s="1" t="s">
        <v>143</v>
      </c>
      <c r="G7" s="1">
        <f t="shared" ca="1" si="0"/>
        <v>125</v>
      </c>
      <c r="M7" s="2"/>
      <c r="R7" s="2"/>
    </row>
    <row r="8" spans="1:18" s="1" customFormat="1" x14ac:dyDescent="0.3">
      <c r="A8" s="1" t="s">
        <v>56</v>
      </c>
      <c r="B8" s="1">
        <v>10533</v>
      </c>
      <c r="C8" s="1" t="s">
        <v>144</v>
      </c>
      <c r="D8" s="2">
        <v>2000</v>
      </c>
      <c r="E8" s="54">
        <v>45994</v>
      </c>
      <c r="F8" s="1" t="s">
        <v>145</v>
      </c>
      <c r="G8" s="1">
        <f t="shared" ca="1" si="0"/>
        <v>121</v>
      </c>
      <c r="M8" s="2"/>
      <c r="R8" s="2"/>
    </row>
    <row r="9" spans="1:18" hidden="1" x14ac:dyDescent="0.3">
      <c r="A9" s="1" t="s">
        <v>56</v>
      </c>
      <c r="B9">
        <v>11212</v>
      </c>
      <c r="C9" t="s">
        <v>213</v>
      </c>
      <c r="D9" s="15">
        <v>0</v>
      </c>
      <c r="E9" s="11">
        <v>46085</v>
      </c>
      <c r="F9" t="s">
        <v>214</v>
      </c>
      <c r="G9" s="1">
        <f t="shared" ca="1" si="0"/>
        <v>30</v>
      </c>
    </row>
    <row r="10" spans="1:18" hidden="1" x14ac:dyDescent="0.3">
      <c r="A10" s="1" t="s">
        <v>56</v>
      </c>
      <c r="B10">
        <v>11213</v>
      </c>
      <c r="C10" t="s">
        <v>235</v>
      </c>
      <c r="D10" s="15">
        <v>0</v>
      </c>
      <c r="E10" s="11">
        <v>46101</v>
      </c>
      <c r="F10" t="s">
        <v>236</v>
      </c>
      <c r="G10" s="1">
        <f t="shared" ca="1" si="0"/>
        <v>14</v>
      </c>
    </row>
    <row r="11" spans="1:18" hidden="1" x14ac:dyDescent="0.3">
      <c r="A11" s="1" t="s">
        <v>56</v>
      </c>
      <c r="B11">
        <v>11214</v>
      </c>
      <c r="C11" t="s">
        <v>235</v>
      </c>
      <c r="D11" s="15">
        <v>0</v>
      </c>
      <c r="E11" s="11">
        <v>46101</v>
      </c>
      <c r="F11" t="s">
        <v>236</v>
      </c>
      <c r="G11" s="1">
        <f t="shared" ca="1" si="0"/>
        <v>14</v>
      </c>
    </row>
    <row r="12" spans="1:18" x14ac:dyDescent="0.3">
      <c r="A12" s="1" t="s">
        <v>56</v>
      </c>
      <c r="B12">
        <v>11216</v>
      </c>
      <c r="C12" t="s">
        <v>243</v>
      </c>
      <c r="D12" s="15">
        <v>10000</v>
      </c>
      <c r="E12" s="11">
        <v>46104</v>
      </c>
      <c r="F12" t="s">
        <v>244</v>
      </c>
      <c r="G12" s="1">
        <f t="shared" ca="1" si="0"/>
        <v>11</v>
      </c>
    </row>
    <row r="13" spans="1:18" x14ac:dyDescent="0.3">
      <c r="A13" s="1" t="s">
        <v>56</v>
      </c>
      <c r="B13">
        <v>11217</v>
      </c>
      <c r="C13" t="s">
        <v>117</v>
      </c>
      <c r="D13" s="15">
        <v>10000</v>
      </c>
      <c r="E13" s="11">
        <v>46104</v>
      </c>
      <c r="F13" t="s">
        <v>245</v>
      </c>
      <c r="G13" s="1">
        <f t="shared" ca="1" si="0"/>
        <v>11</v>
      </c>
    </row>
    <row r="14" spans="1:18" x14ac:dyDescent="0.3">
      <c r="A14" s="1" t="s">
        <v>56</v>
      </c>
      <c r="B14">
        <v>11218</v>
      </c>
      <c r="C14" t="s">
        <v>250</v>
      </c>
      <c r="D14" s="15">
        <v>5000</v>
      </c>
      <c r="E14" s="11">
        <v>46107</v>
      </c>
      <c r="F14" t="s">
        <v>251</v>
      </c>
      <c r="G14" s="1">
        <f t="shared" ca="1" si="0"/>
        <v>8</v>
      </c>
    </row>
    <row r="15" spans="1:18" hidden="1" x14ac:dyDescent="0.3">
      <c r="A15" s="1" t="s">
        <v>56</v>
      </c>
      <c r="B15">
        <v>11219</v>
      </c>
      <c r="C15" t="s">
        <v>256</v>
      </c>
      <c r="D15" s="15">
        <v>0</v>
      </c>
      <c r="E15" s="11">
        <v>46108</v>
      </c>
      <c r="F15" t="s">
        <v>257</v>
      </c>
      <c r="G15" s="1">
        <f t="shared" ca="1" si="0"/>
        <v>7</v>
      </c>
    </row>
    <row r="1046021" spans="7:7" x14ac:dyDescent="0.3">
      <c r="G1046021">
        <f ca="1">$C$4-E1046021</f>
        <v>46115</v>
      </c>
    </row>
  </sheetData>
  <autoFilter ref="A5:I15" xr:uid="{585F9A14-1857-4BCA-8FE1-CA0C50D344EF}">
    <filterColumn colId="3">
      <filters>
        <filter val="10,000.00"/>
        <filter val="2,000.00"/>
        <filter val="2,800.00"/>
        <filter val="5,000.00"/>
      </filters>
    </filterColumn>
  </autoFilter>
  <mergeCells count="1">
    <mergeCell ref="C1:D1"/>
  </mergeCells>
  <conditionalFormatting sqref="G6">
    <cfRule type="cellIs" dxfId="3" priority="65" operator="greaterThan">
      <formula>4</formula>
    </cfRule>
  </conditionalFormatting>
  <conditionalFormatting sqref="G1046021:G1048576">
    <cfRule type="cellIs" dxfId="2" priority="53" operator="greaterThan">
      <formula>4</formula>
    </cfRule>
  </conditionalFormatting>
  <pageMargins left="0" right="0" top="0.75" bottom="0.75" header="0.3" footer="0.3"/>
  <pageSetup paperSize="9" scale="64" orientation="landscape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438C0-C554-4E0D-A694-66EA3DA61E28}">
  <sheetPr codeName="Sheet7" filterMode="1">
    <tabColor rgb="FF92D050"/>
  </sheetPr>
  <dimension ref="A1:R1045422"/>
  <sheetViews>
    <sheetView topLeftCell="A4" zoomScale="90" zoomScaleNormal="90" zoomScaleSheetLayoutView="90" workbookViewId="0">
      <pane xSplit="2" ySplit="2" topLeftCell="C6" activePane="bottomRight" state="frozen"/>
      <selection activeCell="A4" sqref="A4"/>
      <selection pane="topRight" activeCell="C4" sqref="C4"/>
      <selection pane="bottomLeft" activeCell="A6" sqref="A6"/>
      <selection pane="bottomRight" activeCell="E6" sqref="E6:E72"/>
    </sheetView>
  </sheetViews>
  <sheetFormatPr defaultRowHeight="14.4" x14ac:dyDescent="0.3"/>
  <cols>
    <col min="1" max="1" width="21.88671875" customWidth="1"/>
    <col min="2" max="2" width="10.5546875" customWidth="1"/>
    <col min="3" max="3" width="22.33203125" customWidth="1"/>
    <col min="4" max="4" width="18.77734375" style="15" customWidth="1"/>
    <col min="5" max="5" width="19.6640625" style="11" customWidth="1"/>
    <col min="6" max="6" width="87.77734375" customWidth="1"/>
    <col min="7" max="7" width="12.33203125" style="170" customWidth="1"/>
    <col min="8" max="8" width="33.77734375" customWidth="1"/>
    <col min="9" max="9" width="12.33203125" bestFit="1" customWidth="1"/>
    <col min="10" max="10" width="10.5546875" customWidth="1"/>
    <col min="11" max="11" width="24.5546875" customWidth="1"/>
    <col min="12" max="12" width="11.5546875" customWidth="1"/>
    <col min="13" max="13" width="32.44140625" style="10" bestFit="1" customWidth="1"/>
    <col min="14" max="14" width="17.88671875" bestFit="1" customWidth="1"/>
    <col min="15" max="15" width="11.5546875" bestFit="1" customWidth="1"/>
    <col min="16" max="16" width="25" bestFit="1" customWidth="1"/>
    <col min="17" max="17" width="17.6640625" bestFit="1" customWidth="1"/>
    <col min="18" max="18" width="12.33203125" style="15" bestFit="1" customWidth="1"/>
    <col min="20" max="20" width="11.5546875" bestFit="1" customWidth="1"/>
    <col min="21" max="21" width="12.88671875" bestFit="1" customWidth="1"/>
  </cols>
  <sheetData>
    <row r="1" spans="1:18" ht="23.4" x14ac:dyDescent="0.45">
      <c r="A1" s="117" t="s">
        <v>54</v>
      </c>
      <c r="B1" s="118"/>
      <c r="C1" s="238" t="s">
        <v>113</v>
      </c>
      <c r="D1" s="238"/>
      <c r="H1" s="1"/>
    </row>
    <row r="2" spans="1:18" x14ac:dyDescent="0.3">
      <c r="B2" s="113"/>
      <c r="D2" s="68"/>
      <c r="H2" s="1"/>
    </row>
    <row r="3" spans="1:18" ht="15" thickBot="1" x14ac:dyDescent="0.35">
      <c r="A3" s="53"/>
      <c r="B3" s="113"/>
      <c r="D3" s="68"/>
      <c r="H3" s="1"/>
    </row>
    <row r="4" spans="1:18" s="217" customFormat="1" ht="24" thickBot="1" x14ac:dyDescent="0.35">
      <c r="A4" s="180" t="s">
        <v>53</v>
      </c>
      <c r="B4" s="214"/>
      <c r="C4" s="215">
        <f ca="1">TODAY()</f>
        <v>46115</v>
      </c>
      <c r="D4" s="216">
        <f>SUBTOTAL(9,D6:D1048576)</f>
        <v>294650</v>
      </c>
      <c r="E4" s="175">
        <f>500000-(D4+'Summary '!D9)</f>
        <v>44360</v>
      </c>
      <c r="G4" s="218"/>
      <c r="H4" s="219"/>
      <c r="M4" s="220"/>
      <c r="R4" s="221"/>
    </row>
    <row r="5" spans="1:18" s="166" customFormat="1" x14ac:dyDescent="0.3">
      <c r="A5" s="161" t="s">
        <v>38</v>
      </c>
      <c r="B5" s="162" t="s">
        <v>6</v>
      </c>
      <c r="C5" s="162" t="s">
        <v>7</v>
      </c>
      <c r="D5" s="163" t="s">
        <v>139</v>
      </c>
      <c r="E5" s="164" t="s">
        <v>9</v>
      </c>
      <c r="F5" s="162" t="s">
        <v>16</v>
      </c>
      <c r="G5" s="162" t="s">
        <v>10</v>
      </c>
      <c r="H5" s="165"/>
      <c r="I5" s="162"/>
      <c r="M5" s="167"/>
      <c r="R5" s="168"/>
    </row>
    <row r="6" spans="1:18" s="4" customFormat="1" x14ac:dyDescent="0.3">
      <c r="A6" s="4" t="s">
        <v>27</v>
      </c>
      <c r="B6" s="4">
        <v>12392</v>
      </c>
      <c r="C6" s="4" t="s">
        <v>266</v>
      </c>
      <c r="D6" s="14">
        <v>1800</v>
      </c>
      <c r="E6" s="169">
        <v>45847</v>
      </c>
      <c r="F6" s="4" t="s">
        <v>148</v>
      </c>
      <c r="G6" s="171">
        <f t="shared" ref="G6:G7" ca="1" si="0">$C$4-E6</f>
        <v>268</v>
      </c>
      <c r="H6" s="4" t="s">
        <v>149</v>
      </c>
      <c r="I6" s="4" t="s">
        <v>150</v>
      </c>
      <c r="M6" s="14"/>
      <c r="R6" s="14"/>
    </row>
    <row r="7" spans="1:18" s="4" customFormat="1" x14ac:dyDescent="0.3">
      <c r="A7" s="4" t="s">
        <v>27</v>
      </c>
      <c r="B7" s="4">
        <v>11791</v>
      </c>
      <c r="C7" s="4" t="s">
        <v>151</v>
      </c>
      <c r="D7" s="14">
        <v>50</v>
      </c>
      <c r="E7" s="169">
        <v>45870</v>
      </c>
      <c r="F7" s="4" t="s">
        <v>152</v>
      </c>
      <c r="G7" s="171">
        <f t="shared" ca="1" si="0"/>
        <v>245</v>
      </c>
      <c r="H7" s="4" t="s">
        <v>153</v>
      </c>
      <c r="M7" s="14"/>
      <c r="R7" s="14"/>
    </row>
    <row r="8" spans="1:18" s="4" customFormat="1" x14ac:dyDescent="0.3">
      <c r="A8" s="4" t="s">
        <v>27</v>
      </c>
      <c r="B8" s="4">
        <v>10194</v>
      </c>
      <c r="C8" s="4" t="s">
        <v>267</v>
      </c>
      <c r="D8" s="14">
        <v>10500</v>
      </c>
      <c r="E8" s="169">
        <v>45895</v>
      </c>
      <c r="F8" s="4" t="s">
        <v>154</v>
      </c>
      <c r="G8" s="171">
        <f t="shared" ref="G8" ca="1" si="1">$C$4-E8</f>
        <v>220</v>
      </c>
      <c r="H8" s="4" t="s">
        <v>155</v>
      </c>
      <c r="I8" s="4" t="s">
        <v>156</v>
      </c>
      <c r="M8" s="14"/>
      <c r="R8" s="14"/>
    </row>
    <row r="9" spans="1:18" s="1" customFormat="1" x14ac:dyDescent="0.3">
      <c r="A9" s="1" t="s">
        <v>27</v>
      </c>
      <c r="B9" s="1">
        <v>11109</v>
      </c>
      <c r="C9" s="1" t="s">
        <v>141</v>
      </c>
      <c r="D9" s="2">
        <v>2000</v>
      </c>
      <c r="E9" s="54">
        <v>46029</v>
      </c>
      <c r="F9" s="1" t="s">
        <v>158</v>
      </c>
      <c r="G9" s="89">
        <f t="shared" ref="G9:G10" ca="1" si="2">$C$4-E9</f>
        <v>86</v>
      </c>
      <c r="M9" s="2"/>
      <c r="R9" s="2"/>
    </row>
    <row r="10" spans="1:18" s="222" customFormat="1" hidden="1" x14ac:dyDescent="0.3">
      <c r="A10" s="222" t="s">
        <v>27</v>
      </c>
      <c r="B10" s="222">
        <v>11119</v>
      </c>
      <c r="C10" s="222" t="s">
        <v>147</v>
      </c>
      <c r="D10" s="226">
        <v>0</v>
      </c>
      <c r="E10" s="224">
        <v>46041</v>
      </c>
      <c r="F10" s="222" t="s">
        <v>159</v>
      </c>
      <c r="G10" s="225">
        <f t="shared" ca="1" si="2"/>
        <v>74</v>
      </c>
      <c r="M10" s="223"/>
      <c r="R10" s="223"/>
    </row>
    <row r="11" spans="1:18" s="1" customFormat="1" hidden="1" x14ac:dyDescent="0.3">
      <c r="A11" s="1" t="s">
        <v>27</v>
      </c>
      <c r="B11" s="1">
        <v>11131</v>
      </c>
      <c r="C11" s="1" t="s">
        <v>157</v>
      </c>
      <c r="D11" s="2">
        <v>0</v>
      </c>
      <c r="E11" s="54">
        <v>46055</v>
      </c>
      <c r="F11" s="1" t="s">
        <v>160</v>
      </c>
      <c r="G11" s="89">
        <f ca="1">$C$4-E11</f>
        <v>60</v>
      </c>
      <c r="M11" s="2"/>
      <c r="R11" s="2"/>
    </row>
    <row r="12" spans="1:18" s="1" customFormat="1" hidden="1" x14ac:dyDescent="0.3">
      <c r="A12" s="1" t="s">
        <v>27</v>
      </c>
      <c r="B12" s="1">
        <v>11133</v>
      </c>
      <c r="C12" s="1" t="s">
        <v>176</v>
      </c>
      <c r="D12" s="2">
        <v>0</v>
      </c>
      <c r="E12" s="54">
        <v>46058</v>
      </c>
      <c r="F12" s="1" t="s">
        <v>161</v>
      </c>
      <c r="G12" s="89">
        <f t="shared" ref="G12:G24" ca="1" si="3">$C$4-E12</f>
        <v>57</v>
      </c>
      <c r="M12" s="2"/>
      <c r="R12" s="2"/>
    </row>
    <row r="13" spans="1:18" hidden="1" x14ac:dyDescent="0.3">
      <c r="A13" s="1" t="s">
        <v>27</v>
      </c>
      <c r="B13">
        <v>11137</v>
      </c>
      <c r="C13" t="s">
        <v>162</v>
      </c>
      <c r="D13" s="15">
        <v>0</v>
      </c>
      <c r="E13" s="11">
        <v>46063</v>
      </c>
      <c r="F13" t="s">
        <v>163</v>
      </c>
      <c r="G13" s="170">
        <f t="shared" ca="1" si="3"/>
        <v>52</v>
      </c>
    </row>
    <row r="14" spans="1:18" hidden="1" x14ac:dyDescent="0.3">
      <c r="A14" s="1" t="s">
        <v>27</v>
      </c>
      <c r="B14">
        <v>11138</v>
      </c>
      <c r="C14" t="s">
        <v>164</v>
      </c>
      <c r="D14" s="15">
        <v>0</v>
      </c>
      <c r="E14" s="11">
        <v>46064</v>
      </c>
      <c r="F14" t="s">
        <v>165</v>
      </c>
      <c r="G14" s="170">
        <f t="shared" ca="1" si="3"/>
        <v>51</v>
      </c>
    </row>
    <row r="15" spans="1:18" hidden="1" x14ac:dyDescent="0.3">
      <c r="A15" t="s">
        <v>27</v>
      </c>
      <c r="B15">
        <v>11139</v>
      </c>
      <c r="C15" t="s">
        <v>177</v>
      </c>
      <c r="D15" s="15">
        <v>0</v>
      </c>
      <c r="E15" s="11">
        <v>46065</v>
      </c>
      <c r="F15" t="s">
        <v>178</v>
      </c>
      <c r="G15" s="170">
        <f t="shared" ca="1" si="3"/>
        <v>50</v>
      </c>
    </row>
    <row r="16" spans="1:18" hidden="1" x14ac:dyDescent="0.3">
      <c r="A16" s="1" t="s">
        <v>27</v>
      </c>
      <c r="B16">
        <v>11140</v>
      </c>
      <c r="C16" t="s">
        <v>172</v>
      </c>
      <c r="D16" s="15">
        <v>0</v>
      </c>
      <c r="E16" s="11">
        <v>46065</v>
      </c>
      <c r="F16" t="s">
        <v>173</v>
      </c>
      <c r="G16" s="170">
        <f t="shared" ca="1" si="3"/>
        <v>50</v>
      </c>
    </row>
    <row r="17" spans="1:18" hidden="1" x14ac:dyDescent="0.3">
      <c r="A17" t="s">
        <v>27</v>
      </c>
      <c r="B17">
        <v>11141</v>
      </c>
      <c r="C17" t="s">
        <v>166</v>
      </c>
      <c r="D17" s="15">
        <v>0</v>
      </c>
      <c r="E17" s="11">
        <v>46067</v>
      </c>
      <c r="F17" t="s">
        <v>167</v>
      </c>
      <c r="G17" s="170">
        <f t="shared" ca="1" si="3"/>
        <v>48</v>
      </c>
    </row>
    <row r="18" spans="1:18" hidden="1" x14ac:dyDescent="0.3">
      <c r="A18" s="1" t="s">
        <v>27</v>
      </c>
      <c r="B18">
        <v>11142</v>
      </c>
      <c r="C18" t="s">
        <v>168</v>
      </c>
      <c r="D18" s="15">
        <v>0</v>
      </c>
      <c r="E18" s="11">
        <v>46067</v>
      </c>
      <c r="F18" t="s">
        <v>169</v>
      </c>
      <c r="G18" s="170">
        <f t="shared" ca="1" si="3"/>
        <v>48</v>
      </c>
    </row>
    <row r="19" spans="1:18" hidden="1" x14ac:dyDescent="0.3">
      <c r="A19" t="s">
        <v>27</v>
      </c>
      <c r="B19">
        <v>11143</v>
      </c>
      <c r="C19" t="s">
        <v>171</v>
      </c>
      <c r="D19" s="15">
        <v>0</v>
      </c>
      <c r="E19" s="11">
        <v>46067</v>
      </c>
      <c r="F19" t="s">
        <v>170</v>
      </c>
      <c r="G19" s="170">
        <f t="shared" ca="1" si="3"/>
        <v>48</v>
      </c>
    </row>
    <row r="20" spans="1:18" hidden="1" x14ac:dyDescent="0.3">
      <c r="A20" s="1" t="s">
        <v>27</v>
      </c>
      <c r="B20">
        <v>11144</v>
      </c>
      <c r="C20" t="s">
        <v>174</v>
      </c>
      <c r="D20" s="15">
        <v>0</v>
      </c>
      <c r="E20" s="11">
        <v>46067</v>
      </c>
      <c r="F20" t="s">
        <v>175</v>
      </c>
      <c r="G20" s="170">
        <f t="shared" ca="1" si="3"/>
        <v>48</v>
      </c>
    </row>
    <row r="21" spans="1:18" hidden="1" x14ac:dyDescent="0.3">
      <c r="A21" t="s">
        <v>27</v>
      </c>
      <c r="B21">
        <v>11145</v>
      </c>
      <c r="C21" t="s">
        <v>179</v>
      </c>
      <c r="D21" s="15">
        <v>0</v>
      </c>
      <c r="E21" s="11">
        <v>46069</v>
      </c>
      <c r="F21" t="s">
        <v>180</v>
      </c>
      <c r="G21" s="170">
        <f t="shared" ca="1" si="3"/>
        <v>46</v>
      </c>
    </row>
    <row r="22" spans="1:18" hidden="1" x14ac:dyDescent="0.3">
      <c r="A22" s="1" t="s">
        <v>27</v>
      </c>
      <c r="B22">
        <v>11146</v>
      </c>
      <c r="C22" t="s">
        <v>157</v>
      </c>
      <c r="D22" s="15">
        <v>0</v>
      </c>
      <c r="E22" s="11">
        <v>46069</v>
      </c>
      <c r="F22" t="s">
        <v>181</v>
      </c>
      <c r="G22" s="170">
        <f t="shared" ca="1" si="3"/>
        <v>46</v>
      </c>
    </row>
    <row r="23" spans="1:18" hidden="1" x14ac:dyDescent="0.3">
      <c r="A23" t="s">
        <v>27</v>
      </c>
      <c r="B23">
        <v>11147</v>
      </c>
      <c r="C23" t="s">
        <v>182</v>
      </c>
      <c r="D23" s="15">
        <v>0</v>
      </c>
      <c r="E23" s="11">
        <v>46069</v>
      </c>
      <c r="F23" t="s">
        <v>183</v>
      </c>
      <c r="G23" s="170">
        <f t="shared" ca="1" si="3"/>
        <v>46</v>
      </c>
    </row>
    <row r="24" spans="1:18" s="192" customFormat="1" hidden="1" x14ac:dyDescent="0.3">
      <c r="A24" s="1" t="s">
        <v>27</v>
      </c>
      <c r="B24" s="192">
        <v>11148</v>
      </c>
      <c r="C24" s="192" t="s">
        <v>184</v>
      </c>
      <c r="D24" s="193">
        <v>0</v>
      </c>
      <c r="E24" s="194">
        <v>46071</v>
      </c>
      <c r="F24" s="192" t="s">
        <v>186</v>
      </c>
      <c r="G24" s="195">
        <f t="shared" ca="1" si="3"/>
        <v>44</v>
      </c>
      <c r="H24" s="192" t="s">
        <v>221</v>
      </c>
      <c r="M24" s="196"/>
      <c r="R24" s="193"/>
    </row>
    <row r="25" spans="1:18" hidden="1" x14ac:dyDescent="0.3">
      <c r="A25" t="s">
        <v>27</v>
      </c>
      <c r="B25">
        <v>11149</v>
      </c>
      <c r="C25" t="s">
        <v>185</v>
      </c>
      <c r="D25" s="15">
        <v>0</v>
      </c>
      <c r="E25" s="11">
        <v>46071</v>
      </c>
      <c r="F25" t="s">
        <v>187</v>
      </c>
      <c r="G25" s="170">
        <f t="shared" ref="G25:G41" ca="1" si="4">$C$4-E25</f>
        <v>44</v>
      </c>
      <c r="H25" t="s">
        <v>222</v>
      </c>
    </row>
    <row r="26" spans="1:18" s="222" customFormat="1" hidden="1" x14ac:dyDescent="0.3">
      <c r="A26" s="222" t="s">
        <v>27</v>
      </c>
      <c r="B26" s="222">
        <v>11150</v>
      </c>
      <c r="C26" s="222" t="s">
        <v>147</v>
      </c>
      <c r="D26" s="223">
        <v>0</v>
      </c>
      <c r="E26" s="227">
        <v>46073</v>
      </c>
      <c r="F26" s="222" t="s">
        <v>189</v>
      </c>
      <c r="G26" s="225">
        <f t="shared" ca="1" si="4"/>
        <v>42</v>
      </c>
      <c r="M26" s="223"/>
      <c r="R26" s="223"/>
    </row>
    <row r="27" spans="1:18" s="202" customFormat="1" x14ac:dyDescent="0.3">
      <c r="A27" t="s">
        <v>27</v>
      </c>
      <c r="B27" s="202">
        <v>11301</v>
      </c>
      <c r="C27" s="202" t="s">
        <v>190</v>
      </c>
      <c r="D27" s="203">
        <v>13000</v>
      </c>
      <c r="E27" s="204">
        <v>46073</v>
      </c>
      <c r="F27" s="202" t="s">
        <v>195</v>
      </c>
      <c r="G27" s="205">
        <f t="shared" ca="1" si="4"/>
        <v>42</v>
      </c>
      <c r="H27" s="202" t="s">
        <v>228</v>
      </c>
      <c r="M27" s="203"/>
      <c r="R27" s="203"/>
    </row>
    <row r="28" spans="1:18" s="1" customFormat="1" hidden="1" x14ac:dyDescent="0.3">
      <c r="A28" s="1" t="s">
        <v>27</v>
      </c>
      <c r="B28" s="1">
        <v>11302</v>
      </c>
      <c r="C28" s="1" t="s">
        <v>191</v>
      </c>
      <c r="D28" s="2">
        <v>0</v>
      </c>
      <c r="E28" s="54">
        <v>46073</v>
      </c>
      <c r="F28" s="1" t="s">
        <v>196</v>
      </c>
      <c r="G28" s="89">
        <f t="shared" ca="1" si="4"/>
        <v>42</v>
      </c>
      <c r="M28" s="2"/>
      <c r="R28" s="2"/>
    </row>
    <row r="29" spans="1:18" s="1" customFormat="1" x14ac:dyDescent="0.3">
      <c r="A29" s="1" t="s">
        <v>27</v>
      </c>
      <c r="B29" s="1">
        <v>11303</v>
      </c>
      <c r="C29" s="1" t="s">
        <v>260</v>
      </c>
      <c r="D29" s="2">
        <v>32000</v>
      </c>
      <c r="E29" s="54">
        <v>46073</v>
      </c>
      <c r="F29" s="1" t="s">
        <v>192</v>
      </c>
      <c r="G29" s="89">
        <f t="shared" ca="1" si="4"/>
        <v>42</v>
      </c>
      <c r="M29" s="2"/>
      <c r="R29" s="2"/>
    </row>
    <row r="30" spans="1:18" hidden="1" x14ac:dyDescent="0.3">
      <c r="A30" s="1" t="s">
        <v>27</v>
      </c>
      <c r="B30">
        <v>11304</v>
      </c>
      <c r="C30" t="s">
        <v>164</v>
      </c>
      <c r="D30" s="15">
        <v>0</v>
      </c>
      <c r="E30" s="11">
        <v>46076</v>
      </c>
      <c r="F30" t="s">
        <v>193</v>
      </c>
      <c r="G30" s="170">
        <f t="shared" ca="1" si="4"/>
        <v>39</v>
      </c>
    </row>
    <row r="31" spans="1:18" hidden="1" x14ac:dyDescent="0.3">
      <c r="A31" t="s">
        <v>27</v>
      </c>
      <c r="B31">
        <v>11305</v>
      </c>
      <c r="C31" t="s">
        <v>157</v>
      </c>
      <c r="D31" s="15">
        <v>0</v>
      </c>
      <c r="E31" s="11">
        <v>46076</v>
      </c>
      <c r="F31" t="s">
        <v>194</v>
      </c>
      <c r="G31" s="170">
        <f t="shared" ca="1" si="4"/>
        <v>39</v>
      </c>
    </row>
    <row r="32" spans="1:18" hidden="1" x14ac:dyDescent="0.3">
      <c r="A32" s="1" t="s">
        <v>27</v>
      </c>
      <c r="B32">
        <v>11306</v>
      </c>
      <c r="C32" t="s">
        <v>198</v>
      </c>
      <c r="D32" s="15">
        <v>0</v>
      </c>
      <c r="E32" s="11">
        <v>46077</v>
      </c>
      <c r="F32" t="s">
        <v>199</v>
      </c>
      <c r="G32" s="170">
        <f t="shared" ca="1" si="4"/>
        <v>38</v>
      </c>
    </row>
    <row r="33" spans="1:18" s="1" customFormat="1" hidden="1" x14ac:dyDescent="0.3">
      <c r="A33" t="s">
        <v>27</v>
      </c>
      <c r="B33" s="1">
        <v>11307</v>
      </c>
      <c r="C33" s="1" t="s">
        <v>157</v>
      </c>
      <c r="D33" s="2">
        <v>0</v>
      </c>
      <c r="E33" s="54">
        <v>46077</v>
      </c>
      <c r="F33" s="1" t="s">
        <v>200</v>
      </c>
      <c r="G33" s="89">
        <f t="shared" ca="1" si="4"/>
        <v>38</v>
      </c>
      <c r="M33" s="2"/>
      <c r="R33" s="2"/>
    </row>
    <row r="34" spans="1:18" s="1" customFormat="1" hidden="1" x14ac:dyDescent="0.3">
      <c r="A34" s="1" t="s">
        <v>27</v>
      </c>
      <c r="B34" s="1">
        <v>11308</v>
      </c>
      <c r="C34" s="1" t="s">
        <v>168</v>
      </c>
      <c r="D34" s="2">
        <v>0</v>
      </c>
      <c r="E34" s="54">
        <v>46079</v>
      </c>
      <c r="F34" s="1" t="s">
        <v>201</v>
      </c>
      <c r="G34" s="89">
        <f t="shared" ca="1" si="4"/>
        <v>36</v>
      </c>
      <c r="M34" s="2"/>
      <c r="R34" s="2"/>
    </row>
    <row r="35" spans="1:18" s="1" customFormat="1" hidden="1" x14ac:dyDescent="0.3">
      <c r="A35" t="s">
        <v>27</v>
      </c>
      <c r="B35" s="1">
        <v>11309</v>
      </c>
      <c r="C35" s="1" t="s">
        <v>157</v>
      </c>
      <c r="D35" s="2">
        <v>0</v>
      </c>
      <c r="E35" s="54">
        <v>46079</v>
      </c>
      <c r="F35" s="1" t="s">
        <v>202</v>
      </c>
      <c r="G35" s="89">
        <f t="shared" ca="1" si="4"/>
        <v>36</v>
      </c>
      <c r="M35" s="2"/>
      <c r="R35" s="2"/>
    </row>
    <row r="36" spans="1:18" hidden="1" x14ac:dyDescent="0.3">
      <c r="A36" s="1" t="s">
        <v>27</v>
      </c>
      <c r="B36">
        <v>11310</v>
      </c>
      <c r="C36" t="s">
        <v>204</v>
      </c>
      <c r="D36" s="15">
        <v>0</v>
      </c>
      <c r="E36" s="11">
        <v>46080</v>
      </c>
      <c r="F36" t="s">
        <v>203</v>
      </c>
      <c r="G36" s="170">
        <f t="shared" ca="1" si="4"/>
        <v>35</v>
      </c>
    </row>
    <row r="37" spans="1:18" hidden="1" x14ac:dyDescent="0.3">
      <c r="A37" t="s">
        <v>27</v>
      </c>
      <c r="B37">
        <v>11311</v>
      </c>
      <c r="C37" t="s">
        <v>205</v>
      </c>
      <c r="D37" s="15">
        <v>0</v>
      </c>
      <c r="E37" s="11">
        <v>0</v>
      </c>
      <c r="F37" t="s">
        <v>206</v>
      </c>
      <c r="G37" s="170">
        <f t="shared" ca="1" si="4"/>
        <v>46115</v>
      </c>
    </row>
    <row r="38" spans="1:18" s="202" customFormat="1" x14ac:dyDescent="0.3">
      <c r="A38" s="202" t="s">
        <v>27</v>
      </c>
      <c r="B38" s="202">
        <v>11312</v>
      </c>
      <c r="C38" s="231" t="s">
        <v>207</v>
      </c>
      <c r="D38" s="203">
        <v>19500</v>
      </c>
      <c r="E38" s="204">
        <v>46080</v>
      </c>
      <c r="F38" s="202" t="s">
        <v>208</v>
      </c>
      <c r="G38" s="205">
        <f t="shared" ca="1" si="4"/>
        <v>35</v>
      </c>
      <c r="H38" s="202" t="s">
        <v>268</v>
      </c>
      <c r="M38" s="203"/>
      <c r="R38" s="203"/>
    </row>
    <row r="39" spans="1:18" s="184" customFormat="1" hidden="1" x14ac:dyDescent="0.3">
      <c r="A39" t="s">
        <v>27</v>
      </c>
      <c r="B39" s="1">
        <v>11313</v>
      </c>
      <c r="C39" s="183" t="s">
        <v>209</v>
      </c>
      <c r="D39" s="184">
        <v>0</v>
      </c>
      <c r="E39" s="54">
        <v>46080</v>
      </c>
      <c r="F39" s="1" t="s">
        <v>211</v>
      </c>
      <c r="G39" s="89">
        <f t="shared" ca="1" si="4"/>
        <v>35</v>
      </c>
    </row>
    <row r="40" spans="1:18" s="184" customFormat="1" hidden="1" x14ac:dyDescent="0.3">
      <c r="A40" s="1" t="s">
        <v>27</v>
      </c>
      <c r="B40" s="1">
        <v>11314</v>
      </c>
      <c r="C40" s="183" t="s">
        <v>157</v>
      </c>
      <c r="D40" s="184">
        <v>0</v>
      </c>
      <c r="E40" s="54">
        <v>46080</v>
      </c>
      <c r="F40" s="1" t="s">
        <v>210</v>
      </c>
      <c r="G40" s="89">
        <f t="shared" ca="1" si="4"/>
        <v>35</v>
      </c>
    </row>
    <row r="41" spans="1:18" s="184" customFormat="1" hidden="1" x14ac:dyDescent="0.3">
      <c r="A41" t="s">
        <v>27</v>
      </c>
      <c r="B41" s="1">
        <v>11315</v>
      </c>
      <c r="C41" s="183" t="s">
        <v>157</v>
      </c>
      <c r="D41" s="184">
        <v>0</v>
      </c>
      <c r="E41" s="54">
        <v>46084</v>
      </c>
      <c r="F41" s="1" t="s">
        <v>212</v>
      </c>
      <c r="G41" s="89">
        <f t="shared" ca="1" si="4"/>
        <v>31</v>
      </c>
    </row>
    <row r="42" spans="1:18" s="184" customFormat="1" hidden="1" x14ac:dyDescent="0.3">
      <c r="A42" s="1" t="s">
        <v>27</v>
      </c>
      <c r="B42" s="1">
        <v>11317</v>
      </c>
      <c r="C42" s="190" t="s">
        <v>164</v>
      </c>
      <c r="D42" s="184">
        <v>0</v>
      </c>
      <c r="E42" s="54">
        <v>46086</v>
      </c>
      <c r="F42" s="1" t="s">
        <v>216</v>
      </c>
      <c r="G42" s="89">
        <f ca="1">$C$4-E42</f>
        <v>29</v>
      </c>
    </row>
    <row r="43" spans="1:18" s="184" customFormat="1" hidden="1" x14ac:dyDescent="0.3">
      <c r="A43" t="s">
        <v>27</v>
      </c>
      <c r="B43" s="1">
        <v>11318</v>
      </c>
      <c r="C43" s="190" t="s">
        <v>215</v>
      </c>
      <c r="D43" s="184">
        <v>0</v>
      </c>
      <c r="E43" s="54">
        <v>46086</v>
      </c>
      <c r="F43" s="1" t="s">
        <v>217</v>
      </c>
      <c r="G43" s="89">
        <f ca="1">$C$4-E43</f>
        <v>29</v>
      </c>
    </row>
    <row r="44" spans="1:18" s="187" customFormat="1" hidden="1" x14ac:dyDescent="0.3">
      <c r="A44" s="1" t="s">
        <v>27</v>
      </c>
      <c r="B44" s="1">
        <v>11319</v>
      </c>
      <c r="C44" s="191" t="s">
        <v>164</v>
      </c>
      <c r="D44" s="185">
        <v>0</v>
      </c>
      <c r="E44" s="186">
        <v>46088</v>
      </c>
      <c r="F44" s="187" t="s">
        <v>218</v>
      </c>
      <c r="G44" s="89">
        <f t="shared" ref="G44:G72" ca="1" si="5">$C$4-E44</f>
        <v>27</v>
      </c>
      <c r="M44" s="185"/>
      <c r="R44" s="185"/>
    </row>
    <row r="45" spans="1:18" s="222" customFormat="1" hidden="1" x14ac:dyDescent="0.3">
      <c r="A45" s="222" t="s">
        <v>27</v>
      </c>
      <c r="B45" s="222">
        <v>11320</v>
      </c>
      <c r="C45" s="228" t="s">
        <v>240</v>
      </c>
      <c r="D45" s="223">
        <v>0</v>
      </c>
      <c r="E45" s="229">
        <v>46088</v>
      </c>
      <c r="F45" s="222" t="s">
        <v>219</v>
      </c>
      <c r="G45" s="225">
        <f t="shared" ca="1" si="5"/>
        <v>27</v>
      </c>
      <c r="M45" s="223"/>
      <c r="R45" s="223"/>
    </row>
    <row r="46" spans="1:18" hidden="1" x14ac:dyDescent="0.3">
      <c r="A46" s="1" t="s">
        <v>27</v>
      </c>
      <c r="B46" s="1">
        <v>11321</v>
      </c>
      <c r="C46" s="190" t="s">
        <v>157</v>
      </c>
      <c r="D46" s="15">
        <v>0</v>
      </c>
      <c r="E46" s="186">
        <v>46090</v>
      </c>
      <c r="F46" s="1" t="s">
        <v>220</v>
      </c>
      <c r="G46" s="89">
        <f t="shared" ca="1" si="5"/>
        <v>25</v>
      </c>
    </row>
    <row r="47" spans="1:18" hidden="1" x14ac:dyDescent="0.3">
      <c r="A47" t="s">
        <v>27</v>
      </c>
      <c r="B47" s="1">
        <v>11322</v>
      </c>
      <c r="C47" s="190" t="s">
        <v>157</v>
      </c>
      <c r="D47" s="15">
        <v>0</v>
      </c>
      <c r="E47" s="11">
        <v>46091</v>
      </c>
      <c r="F47" s="1" t="s">
        <v>220</v>
      </c>
      <c r="G47" s="170">
        <f t="shared" ca="1" si="5"/>
        <v>24</v>
      </c>
    </row>
    <row r="48" spans="1:18" hidden="1" x14ac:dyDescent="0.3">
      <c r="A48" s="1" t="s">
        <v>27</v>
      </c>
      <c r="B48" s="1">
        <v>11323</v>
      </c>
      <c r="C48" s="190" t="s">
        <v>209</v>
      </c>
      <c r="D48" s="15">
        <v>0</v>
      </c>
      <c r="E48" s="11">
        <v>46092</v>
      </c>
      <c r="F48" s="1" t="s">
        <v>223</v>
      </c>
      <c r="G48" s="170">
        <f t="shared" ca="1" si="5"/>
        <v>23</v>
      </c>
    </row>
    <row r="49" spans="1:18" s="1" customFormat="1" hidden="1" x14ac:dyDescent="0.3">
      <c r="A49" s="1" t="s">
        <v>27</v>
      </c>
      <c r="B49" s="1">
        <v>11324</v>
      </c>
      <c r="C49" s="183" t="s">
        <v>224</v>
      </c>
      <c r="D49" s="2">
        <v>0</v>
      </c>
      <c r="E49" s="54">
        <v>46092</v>
      </c>
      <c r="F49" s="1" t="s">
        <v>225</v>
      </c>
      <c r="G49" s="89">
        <f t="shared" ca="1" si="5"/>
        <v>23</v>
      </c>
      <c r="M49" s="2"/>
      <c r="R49" s="2"/>
    </row>
    <row r="50" spans="1:18" hidden="1" x14ac:dyDescent="0.3">
      <c r="A50" s="1" t="s">
        <v>27</v>
      </c>
      <c r="B50" s="1">
        <v>11325</v>
      </c>
      <c r="C50" s="190" t="s">
        <v>176</v>
      </c>
      <c r="D50" s="15">
        <v>0</v>
      </c>
      <c r="E50" s="11">
        <v>46092</v>
      </c>
      <c r="F50" s="1" t="s">
        <v>226</v>
      </c>
      <c r="G50" s="170">
        <f t="shared" ca="1" si="5"/>
        <v>23</v>
      </c>
    </row>
    <row r="51" spans="1:18" s="1" customFormat="1" x14ac:dyDescent="0.3">
      <c r="A51" s="1" t="s">
        <v>27</v>
      </c>
      <c r="B51" s="1">
        <v>11326</v>
      </c>
      <c r="C51" s="183" t="s">
        <v>164</v>
      </c>
      <c r="D51" s="2">
        <v>10000</v>
      </c>
      <c r="E51" s="54">
        <v>46095</v>
      </c>
      <c r="F51" s="1" t="s">
        <v>227</v>
      </c>
      <c r="G51" s="89">
        <f t="shared" ca="1" si="5"/>
        <v>20</v>
      </c>
      <c r="M51" s="2"/>
      <c r="R51" s="2"/>
    </row>
    <row r="52" spans="1:18" s="202" customFormat="1" hidden="1" x14ac:dyDescent="0.3">
      <c r="A52" s="202" t="s">
        <v>27</v>
      </c>
      <c r="B52" s="202">
        <v>11327</v>
      </c>
      <c r="C52" s="230" t="s">
        <v>229</v>
      </c>
      <c r="D52" s="203">
        <v>0</v>
      </c>
      <c r="E52" s="204">
        <v>46098</v>
      </c>
      <c r="F52" s="202" t="s">
        <v>230</v>
      </c>
      <c r="G52" s="205">
        <f t="shared" ca="1" si="5"/>
        <v>17</v>
      </c>
      <c r="M52" s="203"/>
      <c r="R52" s="203"/>
    </row>
    <row r="53" spans="1:18" hidden="1" x14ac:dyDescent="0.3">
      <c r="A53" t="s">
        <v>27</v>
      </c>
      <c r="B53" s="1">
        <v>11328</v>
      </c>
      <c r="C53" s="190" t="s">
        <v>164</v>
      </c>
      <c r="D53" s="15">
        <v>0</v>
      </c>
      <c r="E53" s="11">
        <v>46099</v>
      </c>
      <c r="F53" s="1" t="s">
        <v>231</v>
      </c>
      <c r="G53" s="170">
        <f t="shared" ca="1" si="5"/>
        <v>16</v>
      </c>
    </row>
    <row r="54" spans="1:18" hidden="1" x14ac:dyDescent="0.3">
      <c r="A54" t="s">
        <v>27</v>
      </c>
      <c r="B54" s="1">
        <v>11329</v>
      </c>
      <c r="C54" s="183" t="s">
        <v>232</v>
      </c>
      <c r="D54" s="15">
        <v>0</v>
      </c>
      <c r="E54" s="11">
        <v>46101</v>
      </c>
      <c r="F54" s="1" t="s">
        <v>233</v>
      </c>
      <c r="G54" s="170">
        <f t="shared" ca="1" si="5"/>
        <v>14</v>
      </c>
    </row>
    <row r="55" spans="1:18" s="1" customFormat="1" hidden="1" x14ac:dyDescent="0.3">
      <c r="A55" s="1" t="s">
        <v>27</v>
      </c>
      <c r="B55" s="1">
        <v>11330</v>
      </c>
      <c r="C55" s="183" t="s">
        <v>237</v>
      </c>
      <c r="D55" s="2">
        <v>0</v>
      </c>
      <c r="E55" s="54">
        <v>46101</v>
      </c>
      <c r="F55" s="1" t="s">
        <v>241</v>
      </c>
      <c r="G55" s="89">
        <f t="shared" ca="1" si="5"/>
        <v>14</v>
      </c>
      <c r="M55" s="2"/>
      <c r="R55" s="2"/>
    </row>
    <row r="56" spans="1:18" s="202" customFormat="1" x14ac:dyDescent="0.3">
      <c r="A56" s="202" t="s">
        <v>27</v>
      </c>
      <c r="B56" s="202">
        <v>11331</v>
      </c>
      <c r="C56" s="230" t="s">
        <v>184</v>
      </c>
      <c r="D56" s="203">
        <v>20000</v>
      </c>
      <c r="E56" s="204">
        <v>46101</v>
      </c>
      <c r="F56" s="202" t="s">
        <v>238</v>
      </c>
      <c r="G56" s="205">
        <f t="shared" ca="1" si="5"/>
        <v>14</v>
      </c>
      <c r="H56" s="202" t="s">
        <v>228</v>
      </c>
      <c r="M56" s="203"/>
      <c r="R56" s="203"/>
    </row>
    <row r="57" spans="1:18" hidden="1" x14ac:dyDescent="0.3">
      <c r="A57" t="s">
        <v>27</v>
      </c>
      <c r="B57" s="1">
        <v>11332</v>
      </c>
      <c r="C57" s="190" t="s">
        <v>168</v>
      </c>
      <c r="D57" s="15">
        <v>0</v>
      </c>
      <c r="E57" s="11">
        <v>46101</v>
      </c>
      <c r="F57" s="1" t="s">
        <v>239</v>
      </c>
      <c r="G57" s="170">
        <f t="shared" ca="1" si="5"/>
        <v>14</v>
      </c>
    </row>
    <row r="58" spans="1:18" s="222" customFormat="1" hidden="1" x14ac:dyDescent="0.3">
      <c r="A58" s="222" t="s">
        <v>27</v>
      </c>
      <c r="B58" s="222">
        <v>11333</v>
      </c>
      <c r="C58" s="228" t="s">
        <v>240</v>
      </c>
      <c r="D58" s="223">
        <v>0</v>
      </c>
      <c r="E58" s="224">
        <v>46101</v>
      </c>
      <c r="F58" s="222" t="s">
        <v>219</v>
      </c>
      <c r="G58" s="225">
        <f t="shared" ca="1" si="5"/>
        <v>14</v>
      </c>
      <c r="M58" s="223"/>
      <c r="R58" s="223"/>
    </row>
    <row r="59" spans="1:18" hidden="1" x14ac:dyDescent="0.3">
      <c r="A59" t="s">
        <v>27</v>
      </c>
      <c r="B59" s="1">
        <v>11334</v>
      </c>
      <c r="C59" s="190" t="s">
        <v>242</v>
      </c>
      <c r="D59" s="15">
        <v>0</v>
      </c>
      <c r="E59" s="11">
        <v>46102</v>
      </c>
      <c r="F59" s="1" t="s">
        <v>249</v>
      </c>
      <c r="G59" s="170">
        <f t="shared" ca="1" si="5"/>
        <v>13</v>
      </c>
    </row>
    <row r="60" spans="1:18" s="1" customFormat="1" x14ac:dyDescent="0.3">
      <c r="A60" s="1" t="s">
        <v>27</v>
      </c>
      <c r="B60" s="1">
        <v>11335</v>
      </c>
      <c r="C60" s="1" t="s">
        <v>234</v>
      </c>
      <c r="D60" s="2">
        <v>2000</v>
      </c>
      <c r="E60" s="54">
        <v>46102</v>
      </c>
      <c r="F60" s="1" t="s">
        <v>252</v>
      </c>
      <c r="G60" s="89">
        <f t="shared" ca="1" si="5"/>
        <v>13</v>
      </c>
      <c r="M60" s="2"/>
      <c r="R60" s="2"/>
    </row>
    <row r="61" spans="1:18" hidden="1" x14ac:dyDescent="0.3">
      <c r="A61" t="s">
        <v>27</v>
      </c>
      <c r="B61" s="1">
        <v>11336</v>
      </c>
      <c r="C61" s="190" t="s">
        <v>164</v>
      </c>
      <c r="D61" s="15">
        <v>0</v>
      </c>
      <c r="E61" s="11">
        <v>46105</v>
      </c>
      <c r="F61" s="1" t="s">
        <v>246</v>
      </c>
      <c r="G61" s="170">
        <f t="shared" ca="1" si="5"/>
        <v>10</v>
      </c>
    </row>
    <row r="62" spans="1:18" hidden="1" x14ac:dyDescent="0.3">
      <c r="A62" s="1" t="s">
        <v>27</v>
      </c>
      <c r="B62" s="1">
        <v>11337</v>
      </c>
      <c r="C62" s="190" t="s">
        <v>171</v>
      </c>
      <c r="D62" s="15">
        <v>0</v>
      </c>
      <c r="E62" s="11">
        <v>46105</v>
      </c>
      <c r="F62" s="1" t="s">
        <v>247</v>
      </c>
      <c r="G62" s="170">
        <f t="shared" ca="1" si="5"/>
        <v>10</v>
      </c>
    </row>
    <row r="63" spans="1:18" hidden="1" x14ac:dyDescent="0.3">
      <c r="A63" t="s">
        <v>27</v>
      </c>
      <c r="B63" s="1">
        <v>11338</v>
      </c>
      <c r="C63" s="190" t="s">
        <v>171</v>
      </c>
      <c r="D63" s="15">
        <v>0</v>
      </c>
      <c r="E63" s="11">
        <v>46106</v>
      </c>
      <c r="F63" s="1" t="s">
        <v>248</v>
      </c>
      <c r="G63" s="170">
        <f t="shared" ca="1" si="5"/>
        <v>9</v>
      </c>
    </row>
    <row r="64" spans="1:18" s="1" customFormat="1" x14ac:dyDescent="0.3">
      <c r="A64" s="1" t="s">
        <v>27</v>
      </c>
      <c r="B64" s="1">
        <v>11339</v>
      </c>
      <c r="C64" s="190" t="s">
        <v>171</v>
      </c>
      <c r="D64" s="2">
        <v>11000</v>
      </c>
      <c r="E64" s="54">
        <v>46108</v>
      </c>
      <c r="F64" s="1" t="s">
        <v>253</v>
      </c>
      <c r="G64" s="89">
        <f t="shared" ca="1" si="5"/>
        <v>7</v>
      </c>
      <c r="M64" s="2"/>
      <c r="R64" s="2"/>
    </row>
    <row r="65" spans="1:18" s="1" customFormat="1" x14ac:dyDescent="0.3">
      <c r="A65" s="1" t="s">
        <v>27</v>
      </c>
      <c r="B65" s="1">
        <v>11340</v>
      </c>
      <c r="C65" s="190" t="s">
        <v>164</v>
      </c>
      <c r="D65" s="2">
        <v>10000</v>
      </c>
      <c r="E65" s="54">
        <v>46108</v>
      </c>
      <c r="F65" s="1" t="s">
        <v>254</v>
      </c>
      <c r="G65" s="89">
        <f t="shared" ca="1" si="5"/>
        <v>7</v>
      </c>
      <c r="M65" s="2"/>
      <c r="R65" s="2"/>
    </row>
    <row r="66" spans="1:18" s="1" customFormat="1" x14ac:dyDescent="0.3">
      <c r="A66" s="1" t="s">
        <v>27</v>
      </c>
      <c r="B66" s="1">
        <v>11341</v>
      </c>
      <c r="C66" s="190" t="s">
        <v>191</v>
      </c>
      <c r="D66" s="2">
        <v>100000</v>
      </c>
      <c r="E66" s="54">
        <v>46109</v>
      </c>
      <c r="F66" s="1" t="s">
        <v>255</v>
      </c>
      <c r="G66" s="89">
        <f t="shared" ca="1" si="5"/>
        <v>6</v>
      </c>
      <c r="M66" s="2"/>
      <c r="R66" s="2"/>
    </row>
    <row r="67" spans="1:18" s="1" customFormat="1" x14ac:dyDescent="0.3">
      <c r="A67" s="1" t="s">
        <v>27</v>
      </c>
      <c r="B67" s="1">
        <v>11342</v>
      </c>
      <c r="C67" s="190" t="s">
        <v>259</v>
      </c>
      <c r="D67" s="2">
        <v>2800</v>
      </c>
      <c r="E67" s="54">
        <v>46111</v>
      </c>
      <c r="F67" s="1" t="s">
        <v>258</v>
      </c>
      <c r="G67" s="89">
        <f t="shared" ca="1" si="5"/>
        <v>4</v>
      </c>
      <c r="M67" s="2"/>
      <c r="R67" s="2"/>
    </row>
    <row r="68" spans="1:18" s="1" customFormat="1" x14ac:dyDescent="0.3">
      <c r="A68" s="1" t="s">
        <v>27</v>
      </c>
      <c r="B68" s="1">
        <v>11343</v>
      </c>
      <c r="C68" s="1" t="s">
        <v>262</v>
      </c>
      <c r="D68" s="2">
        <v>3500</v>
      </c>
      <c r="E68" s="54">
        <v>46112</v>
      </c>
      <c r="F68" s="1" t="s">
        <v>261</v>
      </c>
      <c r="G68" s="89">
        <f t="shared" ca="1" si="5"/>
        <v>3</v>
      </c>
      <c r="M68" s="2"/>
      <c r="R68" s="2"/>
    </row>
    <row r="69" spans="1:18" x14ac:dyDescent="0.3">
      <c r="A69" s="1" t="s">
        <v>27</v>
      </c>
      <c r="B69" s="1">
        <v>11344</v>
      </c>
      <c r="C69" s="190" t="s">
        <v>168</v>
      </c>
      <c r="D69" s="15">
        <v>3500</v>
      </c>
      <c r="E69" s="54">
        <v>46112</v>
      </c>
      <c r="F69" s="1" t="s">
        <v>263</v>
      </c>
      <c r="G69" s="89">
        <f t="shared" ca="1" si="5"/>
        <v>3</v>
      </c>
    </row>
    <row r="70" spans="1:18" x14ac:dyDescent="0.3">
      <c r="A70" s="1" t="s">
        <v>27</v>
      </c>
      <c r="B70" s="1">
        <v>11345</v>
      </c>
      <c r="C70" s="190" t="s">
        <v>264</v>
      </c>
      <c r="D70" s="15">
        <v>50000</v>
      </c>
      <c r="E70" s="11">
        <v>46113</v>
      </c>
      <c r="F70" s="1" t="s">
        <v>265</v>
      </c>
      <c r="G70" s="89">
        <f t="shared" ca="1" si="5"/>
        <v>2</v>
      </c>
    </row>
    <row r="71" spans="1:18" x14ac:dyDescent="0.3">
      <c r="A71" s="1" t="s">
        <v>27</v>
      </c>
      <c r="B71" s="1">
        <v>11346</v>
      </c>
      <c r="C71" s="190" t="s">
        <v>171</v>
      </c>
      <c r="D71" s="15">
        <v>1000</v>
      </c>
      <c r="E71" s="11">
        <v>46114</v>
      </c>
      <c r="F71" s="1" t="s">
        <v>269</v>
      </c>
      <c r="G71" s="170">
        <f t="shared" ca="1" si="5"/>
        <v>1</v>
      </c>
    </row>
    <row r="72" spans="1:18" x14ac:dyDescent="0.3">
      <c r="A72" s="1" t="s">
        <v>27</v>
      </c>
      <c r="B72" s="1">
        <v>11347</v>
      </c>
      <c r="C72" s="190" t="s">
        <v>270</v>
      </c>
      <c r="D72" s="15">
        <v>2000</v>
      </c>
      <c r="E72" s="11">
        <v>46115</v>
      </c>
      <c r="F72" s="1" t="s">
        <v>271</v>
      </c>
      <c r="G72" s="170">
        <f t="shared" ca="1" si="5"/>
        <v>0</v>
      </c>
    </row>
    <row r="1045422" spans="7:7" x14ac:dyDescent="0.3">
      <c r="G1045422" s="170">
        <f ca="1">$C$4-E1045422</f>
        <v>46115</v>
      </c>
    </row>
  </sheetData>
  <autoFilter ref="A5:I72" xr:uid="{585F9A14-1857-4BCA-8FE1-CA0C50D344EF}">
    <filterColumn colId="3">
      <filters>
        <filter val="1,000.00"/>
        <filter val="1,800.00"/>
        <filter val="10,000.00"/>
        <filter val="10,500.00"/>
        <filter val="100,000.00"/>
        <filter val="11,000.00"/>
        <filter val="13,000.00"/>
        <filter val="19,500.00"/>
        <filter val="2,000.00"/>
        <filter val="2,800.00"/>
        <filter val="20,000.00"/>
        <filter val="3,500.00"/>
        <filter val="32,000.00"/>
        <filter val="50,000.00"/>
        <filter val="50.00"/>
      </filters>
    </filterColumn>
  </autoFilter>
  <mergeCells count="1">
    <mergeCell ref="C1:D1"/>
  </mergeCells>
  <conditionalFormatting sqref="G1045422:G1048576">
    <cfRule type="cellIs" dxfId="1" priority="1" operator="greaterThan">
      <formula>4</formula>
    </cfRule>
  </conditionalFormatting>
  <pageMargins left="0" right="0" top="0.75" bottom="0.75" header="0.3" footer="0.3"/>
  <pageSetup paperSize="9" scale="64" orientation="landscape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37891-FBB6-494C-AD23-8CAE1CD23D58}">
  <sheetPr codeName="Sheet8"/>
  <dimension ref="A1:P72"/>
  <sheetViews>
    <sheetView workbookViewId="0">
      <selection activeCell="K19" sqref="K19"/>
    </sheetView>
  </sheetViews>
  <sheetFormatPr defaultRowHeight="14.4" x14ac:dyDescent="0.3"/>
  <cols>
    <col min="1" max="1" width="16.109375" customWidth="1"/>
    <col min="2" max="2" width="13.6640625" style="10" customWidth="1"/>
    <col min="3" max="3" width="13.21875" customWidth="1"/>
    <col min="4" max="4" width="13.33203125" bestFit="1" customWidth="1"/>
    <col min="5" max="5" width="13.6640625" customWidth="1"/>
    <col min="6" max="6" width="15.21875" customWidth="1"/>
    <col min="7" max="7" width="12.88671875" customWidth="1"/>
    <col min="8" max="8" width="16.77734375" customWidth="1"/>
    <col min="9" max="9" width="12.33203125" style="159" customWidth="1"/>
    <col min="10" max="10" width="16.109375" style="158" customWidth="1"/>
    <col min="11" max="11" width="8.33203125" customWidth="1"/>
    <col min="12" max="12" width="15.77734375" style="1" customWidth="1"/>
    <col min="14" max="16" width="11.5546875" bestFit="1" customWidth="1"/>
  </cols>
  <sheetData>
    <row r="1" spans="1:16" s="159" customFormat="1" ht="21" customHeight="1" x14ac:dyDescent="0.3">
      <c r="B1" s="177" t="s">
        <v>3</v>
      </c>
      <c r="J1" s="200" t="s">
        <v>197</v>
      </c>
      <c r="K1" s="178"/>
      <c r="L1" s="199" t="s">
        <v>56</v>
      </c>
    </row>
    <row r="2" spans="1:16" x14ac:dyDescent="0.3">
      <c r="A2" s="173" t="s">
        <v>115</v>
      </c>
      <c r="B2" s="132">
        <v>200000</v>
      </c>
      <c r="I2" s="206"/>
      <c r="J2" s="179">
        <v>3000</v>
      </c>
      <c r="L2" s="10">
        <v>6060</v>
      </c>
    </row>
    <row r="3" spans="1:16" x14ac:dyDescent="0.3">
      <c r="A3" s="173" t="s">
        <v>146</v>
      </c>
      <c r="B3" s="132">
        <v>500000</v>
      </c>
      <c r="J3" s="232">
        <v>8400</v>
      </c>
      <c r="L3" s="10">
        <v>12000</v>
      </c>
    </row>
    <row r="4" spans="1:16" x14ac:dyDescent="0.3">
      <c r="B4" s="174">
        <f>SUM(B2:B3)</f>
        <v>700000</v>
      </c>
      <c r="J4" s="206"/>
      <c r="L4" s="10">
        <v>10000</v>
      </c>
    </row>
    <row r="5" spans="1:16" ht="15" thickBot="1" x14ac:dyDescent="0.35">
      <c r="J5" s="207">
        <f>SUM(J2:J4)</f>
        <v>11400</v>
      </c>
      <c r="L5" s="10">
        <v>12580</v>
      </c>
    </row>
    <row r="6" spans="1:16" ht="15" thickTop="1" x14ac:dyDescent="0.3">
      <c r="A6" s="10"/>
      <c r="B6"/>
      <c r="J6" s="206"/>
      <c r="L6" s="10">
        <v>7280</v>
      </c>
      <c r="N6" s="10"/>
      <c r="O6" s="10"/>
    </row>
    <row r="7" spans="1:16" s="176" customFormat="1" x14ac:dyDescent="0.3">
      <c r="B7" s="210" t="s">
        <v>3</v>
      </c>
      <c r="C7" s="210" t="s">
        <v>114</v>
      </c>
      <c r="D7" s="211" t="s">
        <v>116</v>
      </c>
      <c r="E7" s="211" t="s">
        <v>3</v>
      </c>
      <c r="F7" s="211" t="s">
        <v>138</v>
      </c>
      <c r="G7"/>
      <c r="I7" s="201" t="s">
        <v>188</v>
      </c>
      <c r="J7" s="206"/>
      <c r="L7" s="10">
        <v>5400</v>
      </c>
      <c r="N7" s="125"/>
      <c r="O7" s="125"/>
      <c r="P7" s="125"/>
    </row>
    <row r="8" spans="1:16" s="159" customFormat="1" ht="20.399999999999999" customHeight="1" x14ac:dyDescent="0.3">
      <c r="A8" s="172" t="s">
        <v>37</v>
      </c>
      <c r="B8" s="154">
        <v>200000</v>
      </c>
      <c r="C8" s="155">
        <f>'IOU-Petty Cash'!D4</f>
        <v>29800</v>
      </c>
      <c r="D8" s="181">
        <f>L29</f>
        <v>105936.54</v>
      </c>
      <c r="E8" s="155">
        <f>D8+C8</f>
        <v>135736.53999999998</v>
      </c>
      <c r="F8" s="156">
        <f>B8-E8</f>
        <v>64263.460000000021</v>
      </c>
      <c r="G8" s="158"/>
      <c r="H8" s="160"/>
      <c r="I8" s="160"/>
      <c r="J8" s="206"/>
      <c r="L8" s="158">
        <v>450</v>
      </c>
      <c r="N8" s="160"/>
      <c r="O8" s="158"/>
      <c r="P8" s="158"/>
    </row>
    <row r="9" spans="1:16" s="159" customFormat="1" ht="20.399999999999999" customHeight="1" x14ac:dyDescent="0.3">
      <c r="A9" s="172" t="s">
        <v>146</v>
      </c>
      <c r="B9" s="154">
        <v>500000</v>
      </c>
      <c r="C9" s="155">
        <f>'IOU-Project Adv'!D4</f>
        <v>294650</v>
      </c>
      <c r="D9" s="155">
        <f>149590+J5</f>
        <v>160990</v>
      </c>
      <c r="E9" s="155">
        <f>D9+C9</f>
        <v>455640</v>
      </c>
      <c r="F9" s="156">
        <f>B9-E9</f>
        <v>44360</v>
      </c>
      <c r="G9" s="158"/>
      <c r="I9" s="160"/>
      <c r="J9" s="206"/>
      <c r="L9" s="10">
        <v>800</v>
      </c>
      <c r="N9" s="160"/>
      <c r="O9" s="158"/>
      <c r="P9" s="158"/>
    </row>
    <row r="10" spans="1:16" x14ac:dyDescent="0.3">
      <c r="E10" s="116"/>
      <c r="J10" s="206"/>
      <c r="L10" s="10">
        <v>10000</v>
      </c>
      <c r="O10" s="115"/>
    </row>
    <row r="11" spans="1:16" x14ac:dyDescent="0.3">
      <c r="A11" s="157">
        <f ca="1">TODAY()</f>
        <v>46115</v>
      </c>
      <c r="E11" s="116"/>
      <c r="J11" s="206"/>
      <c r="L11" s="2">
        <v>10000</v>
      </c>
      <c r="O11" s="115"/>
    </row>
    <row r="12" spans="1:16" s="159" customFormat="1" ht="18.600000000000001" customHeight="1" x14ac:dyDescent="0.3">
      <c r="A12" s="233" t="s">
        <v>37</v>
      </c>
      <c r="B12" s="234"/>
      <c r="C12" s="235"/>
      <c r="D12" s="140"/>
      <c r="E12" s="233" t="s">
        <v>146</v>
      </c>
      <c r="F12" s="234"/>
      <c r="G12" s="235"/>
      <c r="J12" s="206"/>
      <c r="L12" s="158">
        <v>650</v>
      </c>
      <c r="O12" s="179"/>
    </row>
    <row r="13" spans="1:16" x14ac:dyDescent="0.3">
      <c r="A13" s="152">
        <v>5000</v>
      </c>
      <c r="B13" s="24">
        <v>9</v>
      </c>
      <c r="C13" s="209">
        <f t="shared" ref="C13:C23" si="0">B13*A13</f>
        <v>45000</v>
      </c>
      <c r="D13" s="10"/>
      <c r="E13" s="212">
        <v>5000</v>
      </c>
      <c r="F13" s="24">
        <v>7</v>
      </c>
      <c r="G13" s="209">
        <f>F13*E13</f>
        <v>35000</v>
      </c>
      <c r="J13" s="206"/>
      <c r="L13" s="2">
        <v>7720</v>
      </c>
    </row>
    <row r="14" spans="1:16" x14ac:dyDescent="0.3">
      <c r="A14" s="152">
        <v>2000</v>
      </c>
      <c r="B14" s="24">
        <v>0</v>
      </c>
      <c r="C14" s="209">
        <f t="shared" si="0"/>
        <v>0</v>
      </c>
      <c r="D14" s="10"/>
      <c r="E14" s="212">
        <v>2000</v>
      </c>
      <c r="F14" s="24">
        <v>0</v>
      </c>
      <c r="G14" s="209">
        <f t="shared" ref="G14:G15" si="1">F14*E14</f>
        <v>0</v>
      </c>
      <c r="J14" s="206"/>
      <c r="L14" s="158">
        <v>3200</v>
      </c>
    </row>
    <row r="15" spans="1:16" x14ac:dyDescent="0.3">
      <c r="A15" s="152">
        <v>1000</v>
      </c>
      <c r="B15" s="24">
        <v>3</v>
      </c>
      <c r="C15" s="209">
        <f>B15*A15</f>
        <v>3000</v>
      </c>
      <c r="D15" s="116"/>
      <c r="E15" s="212">
        <v>1000</v>
      </c>
      <c r="F15" s="24">
        <v>4</v>
      </c>
      <c r="G15" s="209">
        <f t="shared" si="1"/>
        <v>4000</v>
      </c>
      <c r="J15" s="206"/>
      <c r="L15" s="2">
        <v>500</v>
      </c>
    </row>
    <row r="16" spans="1:16" x14ac:dyDescent="0.3">
      <c r="A16" s="153">
        <v>500</v>
      </c>
      <c r="B16" s="24">
        <v>0</v>
      </c>
      <c r="C16" s="209">
        <f t="shared" si="0"/>
        <v>0</v>
      </c>
      <c r="E16" s="213">
        <v>500</v>
      </c>
      <c r="F16" s="24">
        <v>2</v>
      </c>
      <c r="G16" s="209">
        <f t="shared" ref="G16:G23" si="2">F16*E16</f>
        <v>1000</v>
      </c>
      <c r="J16" s="206"/>
      <c r="L16" s="2">
        <v>350</v>
      </c>
    </row>
    <row r="17" spans="1:12" x14ac:dyDescent="0.3">
      <c r="A17" s="152">
        <v>100</v>
      </c>
      <c r="B17" s="24">
        <v>62</v>
      </c>
      <c r="C17" s="209">
        <f t="shared" si="0"/>
        <v>6200</v>
      </c>
      <c r="E17" s="212">
        <v>100</v>
      </c>
      <c r="F17" s="24">
        <v>0</v>
      </c>
      <c r="G17" s="209">
        <f>F17*E17</f>
        <v>0</v>
      </c>
      <c r="J17" s="206"/>
      <c r="L17" s="2">
        <v>1500</v>
      </c>
    </row>
    <row r="18" spans="1:12" x14ac:dyDescent="0.3">
      <c r="A18" s="152">
        <v>50</v>
      </c>
      <c r="B18" s="24">
        <v>100</v>
      </c>
      <c r="C18" s="209">
        <f t="shared" si="0"/>
        <v>5000</v>
      </c>
      <c r="E18" s="212">
        <v>50</v>
      </c>
      <c r="F18" s="24">
        <v>0</v>
      </c>
      <c r="G18" s="209">
        <f t="shared" ref="G18:G21" si="3">F18*E18</f>
        <v>0</v>
      </c>
      <c r="J18" s="206"/>
      <c r="L18" s="2">
        <v>3000</v>
      </c>
    </row>
    <row r="19" spans="1:12" x14ac:dyDescent="0.3">
      <c r="A19" s="152">
        <v>20</v>
      </c>
      <c r="B19" s="24">
        <v>3</v>
      </c>
      <c r="C19" s="209">
        <f t="shared" si="0"/>
        <v>60</v>
      </c>
      <c r="E19" s="212">
        <v>20</v>
      </c>
      <c r="F19" s="24">
        <v>0</v>
      </c>
      <c r="G19" s="209">
        <f t="shared" si="3"/>
        <v>0</v>
      </c>
      <c r="J19" s="206"/>
      <c r="L19" s="158">
        <v>2500</v>
      </c>
    </row>
    <row r="20" spans="1:12" x14ac:dyDescent="0.3">
      <c r="A20" s="152">
        <v>10</v>
      </c>
      <c r="B20" s="24">
        <v>0</v>
      </c>
      <c r="C20" s="209">
        <f t="shared" si="0"/>
        <v>0</v>
      </c>
      <c r="E20" s="212">
        <v>10</v>
      </c>
      <c r="F20" s="24">
        <v>0</v>
      </c>
      <c r="G20" s="209">
        <f t="shared" si="3"/>
        <v>0</v>
      </c>
      <c r="J20" s="206"/>
      <c r="L20" s="158">
        <v>2500</v>
      </c>
    </row>
    <row r="21" spans="1:12" x14ac:dyDescent="0.3">
      <c r="A21" s="152">
        <v>5</v>
      </c>
      <c r="B21" s="24">
        <v>0</v>
      </c>
      <c r="C21" s="209">
        <f t="shared" si="0"/>
        <v>0</v>
      </c>
      <c r="E21" s="212">
        <v>5</v>
      </c>
      <c r="F21" s="24">
        <v>0</v>
      </c>
      <c r="G21" s="209">
        <f t="shared" si="3"/>
        <v>0</v>
      </c>
      <c r="L21" s="158">
        <v>2500</v>
      </c>
    </row>
    <row r="22" spans="1:12" x14ac:dyDescent="0.3">
      <c r="A22" s="152">
        <v>2</v>
      </c>
      <c r="B22" s="24">
        <v>0</v>
      </c>
      <c r="C22" s="209">
        <f t="shared" si="0"/>
        <v>0</v>
      </c>
      <c r="E22" s="212">
        <v>2</v>
      </c>
      <c r="F22" s="24">
        <v>0</v>
      </c>
      <c r="G22" s="209">
        <f t="shared" si="2"/>
        <v>0</v>
      </c>
      <c r="J22" s="182"/>
      <c r="L22" s="158">
        <v>1461.84</v>
      </c>
    </row>
    <row r="23" spans="1:12" x14ac:dyDescent="0.3">
      <c r="A23" s="152">
        <v>1</v>
      </c>
      <c r="B23" s="24">
        <v>2</v>
      </c>
      <c r="C23" s="209">
        <f t="shared" si="0"/>
        <v>2</v>
      </c>
      <c r="E23" s="212">
        <v>1</v>
      </c>
      <c r="F23" s="24">
        <v>0</v>
      </c>
      <c r="G23" s="209">
        <f t="shared" si="2"/>
        <v>0</v>
      </c>
      <c r="H23" s="116"/>
      <c r="J23" s="182"/>
      <c r="L23" s="158">
        <v>339.8</v>
      </c>
    </row>
    <row r="24" spans="1:12" s="159" customFormat="1" ht="16.8" customHeight="1" x14ac:dyDescent="0.3">
      <c r="A24" s="188"/>
      <c r="B24" s="156" t="s">
        <v>4</v>
      </c>
      <c r="C24" s="189">
        <f>SUM(C13:C23)</f>
        <v>59262</v>
      </c>
      <c r="E24" s="188"/>
      <c r="F24" s="197" t="s">
        <v>4</v>
      </c>
      <c r="G24" s="198">
        <f>SUM(G13:G23)</f>
        <v>40000</v>
      </c>
      <c r="J24" s="182"/>
      <c r="K24"/>
      <c r="L24" s="158">
        <v>414.9</v>
      </c>
    </row>
    <row r="25" spans="1:12" x14ac:dyDescent="0.3">
      <c r="C25" s="10">
        <f>F8-C24</f>
        <v>5001.460000000021</v>
      </c>
      <c r="E25" s="116"/>
      <c r="G25" s="116">
        <f>G24-F9</f>
        <v>-4360</v>
      </c>
      <c r="J25" s="182"/>
      <c r="L25" s="2">
        <v>300</v>
      </c>
    </row>
    <row r="26" spans="1:12" x14ac:dyDescent="0.3">
      <c r="B26"/>
      <c r="E26" s="116"/>
      <c r="G26" s="116"/>
      <c r="J26" s="182"/>
      <c r="L26" s="2">
        <v>70</v>
      </c>
    </row>
    <row r="27" spans="1:12" x14ac:dyDescent="0.3">
      <c r="B27"/>
      <c r="G27" s="116"/>
      <c r="J27" s="182"/>
      <c r="L27" s="158">
        <v>560</v>
      </c>
    </row>
    <row r="28" spans="1:12" x14ac:dyDescent="0.3">
      <c r="B28"/>
      <c r="G28" s="116"/>
      <c r="J28" s="182"/>
      <c r="L28" s="158">
        <v>3800</v>
      </c>
    </row>
    <row r="29" spans="1:12" ht="15" thickBot="1" x14ac:dyDescent="0.35">
      <c r="B29"/>
      <c r="J29" s="182"/>
      <c r="L29" s="208">
        <f>SUM(L2:L28)</f>
        <v>105936.54</v>
      </c>
    </row>
    <row r="30" spans="1:12" ht="15" thickTop="1" x14ac:dyDescent="0.3">
      <c r="B30"/>
      <c r="J30" s="182"/>
    </row>
    <row r="31" spans="1:12" x14ac:dyDescent="0.3">
      <c r="B31"/>
      <c r="J31" s="182"/>
      <c r="L31" s="159"/>
    </row>
    <row r="32" spans="1:12" x14ac:dyDescent="0.3">
      <c r="J32" s="182"/>
      <c r="L32" s="159"/>
    </row>
    <row r="33" spans="12:12" x14ac:dyDescent="0.3">
      <c r="L33" s="159"/>
    </row>
    <row r="34" spans="12:12" x14ac:dyDescent="0.3">
      <c r="L34" s="159"/>
    </row>
    <row r="35" spans="12:12" x14ac:dyDescent="0.3">
      <c r="L35" s="159"/>
    </row>
    <row r="36" spans="12:12" x14ac:dyDescent="0.3">
      <c r="L36" s="159"/>
    </row>
    <row r="37" spans="12:12" x14ac:dyDescent="0.3">
      <c r="L37" s="159"/>
    </row>
    <row r="39" spans="12:12" x14ac:dyDescent="0.3">
      <c r="L39" s="159"/>
    </row>
    <row r="40" spans="12:12" x14ac:dyDescent="0.3">
      <c r="L40" s="159"/>
    </row>
    <row r="41" spans="12:12" x14ac:dyDescent="0.3">
      <c r="L41" s="159"/>
    </row>
    <row r="42" spans="12:12" x14ac:dyDescent="0.3">
      <c r="L42" s="159"/>
    </row>
    <row r="43" spans="12:12" x14ac:dyDescent="0.3">
      <c r="L43" s="159"/>
    </row>
    <row r="44" spans="12:12" x14ac:dyDescent="0.3">
      <c r="L44" s="159"/>
    </row>
    <row r="45" spans="12:12" x14ac:dyDescent="0.3">
      <c r="L45" s="159"/>
    </row>
    <row r="46" spans="12:12" x14ac:dyDescent="0.3">
      <c r="L46" s="159"/>
    </row>
    <row r="47" spans="12:12" x14ac:dyDescent="0.3">
      <c r="L47" s="159"/>
    </row>
    <row r="48" spans="12:12" x14ac:dyDescent="0.3">
      <c r="L48" s="159"/>
    </row>
    <row r="49" spans="12:12" x14ac:dyDescent="0.3">
      <c r="L49" s="159"/>
    </row>
    <row r="50" spans="12:12" x14ac:dyDescent="0.3">
      <c r="L50" s="159"/>
    </row>
    <row r="51" spans="12:12" x14ac:dyDescent="0.3">
      <c r="L51" s="159"/>
    </row>
    <row r="72" spans="5:5" x14ac:dyDescent="0.3">
      <c r="E72" s="116"/>
    </row>
  </sheetData>
  <mergeCells count="2">
    <mergeCell ref="A12:C12"/>
    <mergeCell ref="E12:G12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E9956-37A5-4F66-BCF3-0CB12E782655}">
  <dimension ref="A1:H28"/>
  <sheetViews>
    <sheetView tabSelected="1" workbookViewId="0">
      <selection activeCell="F15" sqref="F15"/>
    </sheetView>
  </sheetViews>
  <sheetFormatPr defaultRowHeight="14.4" x14ac:dyDescent="0.3"/>
  <cols>
    <col min="1" max="1" width="15.88671875" customWidth="1"/>
    <col min="2" max="2" width="9.109375" customWidth="1"/>
    <col min="3" max="3" width="23.6640625" style="267" customWidth="1"/>
    <col min="4" max="4" width="13.44140625" style="10" customWidth="1"/>
    <col min="5" max="5" width="14.77734375" style="176" bestFit="1" customWidth="1"/>
    <col min="6" max="6" width="88.88671875" customWidth="1"/>
    <col min="7" max="7" width="10" style="170" bestFit="1" customWidth="1"/>
    <col min="8" max="8" width="45.21875" style="267" bestFit="1" customWidth="1"/>
  </cols>
  <sheetData>
    <row r="1" spans="1:8" x14ac:dyDescent="0.3">
      <c r="A1" s="249" t="s">
        <v>38</v>
      </c>
      <c r="B1" s="211" t="s">
        <v>6</v>
      </c>
      <c r="C1" s="211" t="s">
        <v>7</v>
      </c>
      <c r="D1" s="250" t="s">
        <v>139</v>
      </c>
      <c r="E1" s="211" t="s">
        <v>9</v>
      </c>
      <c r="F1" s="251" t="s">
        <v>16</v>
      </c>
      <c r="G1" s="255" t="s">
        <v>10</v>
      </c>
      <c r="H1" s="252" t="s">
        <v>273</v>
      </c>
    </row>
    <row r="2" spans="1:8" x14ac:dyDescent="0.3">
      <c r="A2" s="259" t="s">
        <v>27</v>
      </c>
      <c r="B2" s="260">
        <v>12392</v>
      </c>
      <c r="C2" s="264" t="s">
        <v>266</v>
      </c>
      <c r="D2" s="261">
        <v>1800</v>
      </c>
      <c r="E2" s="292">
        <v>45847</v>
      </c>
      <c r="F2" s="262" t="s">
        <v>148</v>
      </c>
      <c r="G2" s="263">
        <v>268</v>
      </c>
      <c r="H2" s="268" t="s">
        <v>274</v>
      </c>
    </row>
    <row r="3" spans="1:8" x14ac:dyDescent="0.3">
      <c r="A3" s="259" t="s">
        <v>27</v>
      </c>
      <c r="B3" s="260">
        <v>11791</v>
      </c>
      <c r="C3" s="264" t="s">
        <v>151</v>
      </c>
      <c r="D3" s="261">
        <v>50</v>
      </c>
      <c r="E3" s="292">
        <v>45870</v>
      </c>
      <c r="F3" s="262" t="s">
        <v>152</v>
      </c>
      <c r="G3" s="263">
        <v>245</v>
      </c>
      <c r="H3" s="268" t="s">
        <v>274</v>
      </c>
    </row>
    <row r="4" spans="1:8" x14ac:dyDescent="0.3">
      <c r="A4" s="259" t="s">
        <v>27</v>
      </c>
      <c r="B4" s="260">
        <v>10194</v>
      </c>
      <c r="C4" s="264" t="s">
        <v>267</v>
      </c>
      <c r="D4" s="261">
        <v>10500</v>
      </c>
      <c r="E4" s="292">
        <v>45895</v>
      </c>
      <c r="F4" s="262" t="s">
        <v>154</v>
      </c>
      <c r="G4" s="263">
        <v>220</v>
      </c>
      <c r="H4" s="268" t="s">
        <v>274</v>
      </c>
    </row>
    <row r="5" spans="1:8" x14ac:dyDescent="0.3">
      <c r="A5" s="242" t="s">
        <v>27</v>
      </c>
      <c r="B5" s="247">
        <v>11109</v>
      </c>
      <c r="C5" s="265" t="s">
        <v>141</v>
      </c>
      <c r="D5" s="244">
        <v>2000</v>
      </c>
      <c r="E5" s="290">
        <v>46029</v>
      </c>
      <c r="F5" s="243" t="s">
        <v>158</v>
      </c>
      <c r="G5" s="256">
        <v>86</v>
      </c>
      <c r="H5" s="269" t="s">
        <v>281</v>
      </c>
    </row>
    <row r="6" spans="1:8" x14ac:dyDescent="0.3">
      <c r="A6" s="242" t="s">
        <v>27</v>
      </c>
      <c r="B6" s="247">
        <v>11301</v>
      </c>
      <c r="C6" s="265" t="s">
        <v>190</v>
      </c>
      <c r="D6" s="244">
        <v>13000</v>
      </c>
      <c r="E6" s="290">
        <v>46073</v>
      </c>
      <c r="F6" s="243" t="s">
        <v>195</v>
      </c>
      <c r="G6" s="256">
        <v>42</v>
      </c>
      <c r="H6" s="269" t="s">
        <v>228</v>
      </c>
    </row>
    <row r="7" spans="1:8" x14ac:dyDescent="0.3">
      <c r="A7" s="242" t="s">
        <v>27</v>
      </c>
      <c r="B7" s="247">
        <v>11303</v>
      </c>
      <c r="C7" s="265" t="s">
        <v>260</v>
      </c>
      <c r="D7" s="244">
        <v>32000</v>
      </c>
      <c r="E7" s="290">
        <v>46073</v>
      </c>
      <c r="F7" s="243" t="s">
        <v>192</v>
      </c>
      <c r="G7" s="256">
        <v>42</v>
      </c>
      <c r="H7" s="269" t="s">
        <v>281</v>
      </c>
    </row>
    <row r="8" spans="1:8" x14ac:dyDescent="0.3">
      <c r="A8" s="242" t="s">
        <v>27</v>
      </c>
      <c r="B8" s="247">
        <v>11312</v>
      </c>
      <c r="C8" s="265" t="s">
        <v>207</v>
      </c>
      <c r="D8" s="244">
        <v>19500</v>
      </c>
      <c r="E8" s="290">
        <v>46080</v>
      </c>
      <c r="F8" s="243" t="s">
        <v>208</v>
      </c>
      <c r="G8" s="256">
        <v>35</v>
      </c>
      <c r="H8" s="269" t="s">
        <v>268</v>
      </c>
    </row>
    <row r="9" spans="1:8" x14ac:dyDescent="0.3">
      <c r="A9" s="242" t="s">
        <v>27</v>
      </c>
      <c r="B9" s="247">
        <v>11326</v>
      </c>
      <c r="C9" s="265" t="s">
        <v>164</v>
      </c>
      <c r="D9" s="244">
        <v>10000</v>
      </c>
      <c r="E9" s="290">
        <v>46095</v>
      </c>
      <c r="F9" s="243" t="s">
        <v>227</v>
      </c>
      <c r="G9" s="256">
        <v>20</v>
      </c>
      <c r="H9" s="269"/>
    </row>
    <row r="10" spans="1:8" x14ac:dyDescent="0.3">
      <c r="A10" s="242" t="s">
        <v>27</v>
      </c>
      <c r="B10" s="247">
        <v>11331</v>
      </c>
      <c r="C10" s="265" t="s">
        <v>184</v>
      </c>
      <c r="D10" s="244">
        <v>20000</v>
      </c>
      <c r="E10" s="290">
        <v>46101</v>
      </c>
      <c r="F10" s="243" t="s">
        <v>238</v>
      </c>
      <c r="G10" s="256">
        <v>14</v>
      </c>
      <c r="H10" s="269" t="s">
        <v>228</v>
      </c>
    </row>
    <row r="11" spans="1:8" x14ac:dyDescent="0.3">
      <c r="A11" s="242" t="s">
        <v>27</v>
      </c>
      <c r="B11" s="247">
        <v>11339</v>
      </c>
      <c r="C11" s="265" t="s">
        <v>171</v>
      </c>
      <c r="D11" s="244">
        <v>11000</v>
      </c>
      <c r="E11" s="290">
        <v>46108</v>
      </c>
      <c r="F11" s="243" t="s">
        <v>253</v>
      </c>
      <c r="G11" s="256">
        <v>7</v>
      </c>
      <c r="H11" s="269"/>
    </row>
    <row r="12" spans="1:8" x14ac:dyDescent="0.3">
      <c r="A12" s="242" t="s">
        <v>27</v>
      </c>
      <c r="B12" s="247">
        <v>11340</v>
      </c>
      <c r="C12" s="265" t="s">
        <v>164</v>
      </c>
      <c r="D12" s="244">
        <v>10000</v>
      </c>
      <c r="E12" s="290">
        <v>46108</v>
      </c>
      <c r="F12" s="243" t="s">
        <v>254</v>
      </c>
      <c r="G12" s="256">
        <v>7</v>
      </c>
      <c r="H12" s="269"/>
    </row>
    <row r="13" spans="1:8" x14ac:dyDescent="0.3">
      <c r="A13" s="242" t="s">
        <v>27</v>
      </c>
      <c r="B13" s="247">
        <v>11341</v>
      </c>
      <c r="C13" s="265" t="s">
        <v>275</v>
      </c>
      <c r="D13" s="244">
        <v>100000</v>
      </c>
      <c r="E13" s="290">
        <v>46109</v>
      </c>
      <c r="F13" s="243" t="s">
        <v>255</v>
      </c>
      <c r="G13" s="256">
        <v>6</v>
      </c>
      <c r="H13" s="269"/>
    </row>
    <row r="14" spans="1:8" x14ac:dyDescent="0.3">
      <c r="A14" s="242" t="s">
        <v>27</v>
      </c>
      <c r="B14" s="247">
        <v>11342</v>
      </c>
      <c r="C14" s="265" t="s">
        <v>259</v>
      </c>
      <c r="D14" s="244">
        <v>2800</v>
      </c>
      <c r="E14" s="290">
        <v>46111</v>
      </c>
      <c r="F14" s="243" t="s">
        <v>258</v>
      </c>
      <c r="G14" s="256">
        <v>4</v>
      </c>
      <c r="H14" s="269"/>
    </row>
    <row r="15" spans="1:8" x14ac:dyDescent="0.3">
      <c r="A15" s="242" t="s">
        <v>27</v>
      </c>
      <c r="B15" s="247">
        <v>11343</v>
      </c>
      <c r="C15" s="265" t="s">
        <v>262</v>
      </c>
      <c r="D15" s="244">
        <v>3500</v>
      </c>
      <c r="E15" s="290">
        <v>46112</v>
      </c>
      <c r="F15" s="243" t="s">
        <v>261</v>
      </c>
      <c r="G15" s="256">
        <v>3</v>
      </c>
      <c r="H15" s="269"/>
    </row>
    <row r="16" spans="1:8" x14ac:dyDescent="0.3">
      <c r="A16" s="242" t="s">
        <v>27</v>
      </c>
      <c r="B16" s="247">
        <v>11344</v>
      </c>
      <c r="C16" s="265" t="s">
        <v>168</v>
      </c>
      <c r="D16" s="244">
        <v>3500</v>
      </c>
      <c r="E16" s="290">
        <v>46112</v>
      </c>
      <c r="F16" s="243" t="s">
        <v>263</v>
      </c>
      <c r="G16" s="256">
        <v>3</v>
      </c>
      <c r="H16" s="269"/>
    </row>
    <row r="17" spans="1:8" x14ac:dyDescent="0.3">
      <c r="A17" s="242" t="s">
        <v>27</v>
      </c>
      <c r="B17" s="247">
        <v>11345</v>
      </c>
      <c r="C17" s="265" t="s">
        <v>264</v>
      </c>
      <c r="D17" s="244">
        <v>50000</v>
      </c>
      <c r="E17" s="291">
        <v>46113</v>
      </c>
      <c r="F17" s="243" t="s">
        <v>265</v>
      </c>
      <c r="G17" s="256">
        <v>2</v>
      </c>
      <c r="H17" s="269"/>
    </row>
    <row r="18" spans="1:8" x14ac:dyDescent="0.3">
      <c r="A18" s="242" t="s">
        <v>27</v>
      </c>
      <c r="B18" s="247">
        <v>11346</v>
      </c>
      <c r="C18" s="265" t="s">
        <v>171</v>
      </c>
      <c r="D18" s="244">
        <v>1000</v>
      </c>
      <c r="E18" s="291">
        <v>46114</v>
      </c>
      <c r="F18" s="243" t="s">
        <v>269</v>
      </c>
      <c r="G18" s="256">
        <v>1</v>
      </c>
      <c r="H18" s="269"/>
    </row>
    <row r="19" spans="1:8" x14ac:dyDescent="0.3">
      <c r="A19" s="242" t="s">
        <v>27</v>
      </c>
      <c r="B19" s="247">
        <v>11347</v>
      </c>
      <c r="C19" s="265" t="s">
        <v>270</v>
      </c>
      <c r="D19" s="244">
        <v>2000</v>
      </c>
      <c r="E19" s="291">
        <v>46115</v>
      </c>
      <c r="F19" s="243" t="s">
        <v>271</v>
      </c>
      <c r="G19" s="256">
        <v>0</v>
      </c>
      <c r="H19" s="269"/>
    </row>
    <row r="20" spans="1:8" ht="15" thickBot="1" x14ac:dyDescent="0.35">
      <c r="A20" s="245" t="s">
        <v>27</v>
      </c>
      <c r="B20" s="248">
        <v>11348</v>
      </c>
      <c r="C20" s="265" t="s">
        <v>164</v>
      </c>
      <c r="D20" s="244">
        <v>30000</v>
      </c>
      <c r="E20" s="291">
        <v>46115</v>
      </c>
      <c r="F20" s="246" t="s">
        <v>254</v>
      </c>
      <c r="G20" s="257">
        <v>0</v>
      </c>
      <c r="H20" s="270"/>
    </row>
    <row r="21" spans="1:8" ht="15" thickBot="1" x14ac:dyDescent="0.35">
      <c r="A21" s="242"/>
      <c r="B21" s="243"/>
      <c r="C21" s="266" t="s">
        <v>272</v>
      </c>
      <c r="D21" s="241">
        <f>SUM(D2:D20)</f>
        <v>322650</v>
      </c>
      <c r="E21" s="254"/>
      <c r="F21" s="246"/>
      <c r="G21" s="258"/>
      <c r="H21" s="270"/>
    </row>
    <row r="22" spans="1:8" ht="15" thickBot="1" x14ac:dyDescent="0.35">
      <c r="A22" s="243"/>
      <c r="B22" s="243"/>
      <c r="C22" s="277"/>
      <c r="D22" s="289" t="s">
        <v>13</v>
      </c>
      <c r="E22" s="275"/>
      <c r="F22" s="243"/>
      <c r="G22" s="276"/>
      <c r="H22" s="271"/>
    </row>
    <row r="23" spans="1:8" ht="15" thickBot="1" x14ac:dyDescent="0.35">
      <c r="A23" s="274" t="s">
        <v>277</v>
      </c>
      <c r="B23" s="273"/>
      <c r="C23" s="281"/>
      <c r="D23" s="279">
        <v>500000</v>
      </c>
    </row>
    <row r="24" spans="1:8" x14ac:dyDescent="0.3">
      <c r="A24" s="280" t="s">
        <v>276</v>
      </c>
      <c r="B24" s="243"/>
      <c r="C24" s="282">
        <f>149590</f>
        <v>149590</v>
      </c>
      <c r="D24" s="284"/>
    </row>
    <row r="25" spans="1:8" x14ac:dyDescent="0.3">
      <c r="A25" s="280" t="s">
        <v>114</v>
      </c>
      <c r="B25" s="243"/>
      <c r="C25" s="283">
        <f>D21</f>
        <v>322650</v>
      </c>
      <c r="D25" s="284"/>
    </row>
    <row r="26" spans="1:8" ht="15" thickBot="1" x14ac:dyDescent="0.35">
      <c r="A26" s="53" t="s">
        <v>279</v>
      </c>
      <c r="B26" s="243"/>
      <c r="C26" s="282">
        <f>8400+3000+2000</f>
        <v>13400</v>
      </c>
      <c r="D26" s="284"/>
    </row>
    <row r="27" spans="1:8" ht="15" thickBot="1" x14ac:dyDescent="0.35">
      <c r="A27" s="272" t="s">
        <v>278</v>
      </c>
      <c r="B27" s="273"/>
      <c r="C27" s="286"/>
      <c r="D27" s="288">
        <f>SUM(C24:C26)</f>
        <v>485640</v>
      </c>
    </row>
    <row r="28" spans="1:8" ht="15" thickBot="1" x14ac:dyDescent="0.35">
      <c r="A28" s="253" t="s">
        <v>280</v>
      </c>
      <c r="B28" s="278"/>
      <c r="C28" s="287"/>
      <c r="D28" s="285">
        <f>D23-D27</f>
        <v>14360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20AB-AA64-4DB0-9DA7-0640F88C9759}">
  <sheetPr codeName="Sheet11"/>
  <dimension ref="B1:M79"/>
  <sheetViews>
    <sheetView topLeftCell="A59" workbookViewId="0">
      <selection activeCell="D63" sqref="D63"/>
    </sheetView>
  </sheetViews>
  <sheetFormatPr defaultColWidth="9.109375" defaultRowHeight="14.4" x14ac:dyDescent="0.3"/>
  <cols>
    <col min="1" max="1" width="2.109375" style="1" customWidth="1"/>
    <col min="2" max="2" width="9.109375" style="1"/>
    <col min="3" max="3" width="59.44140625" style="1" bestFit="1" customWidth="1"/>
    <col min="4" max="4" width="34.5546875" style="12" customWidth="1"/>
    <col min="5" max="5" width="13.6640625" style="2" customWidth="1"/>
    <col min="6" max="6" width="22.44140625" style="2" bestFit="1" customWidth="1"/>
    <col min="7" max="7" width="15.6640625" style="17" customWidth="1"/>
    <col min="8" max="8" width="4.44140625" style="1" hidden="1" customWidth="1"/>
    <col min="9" max="9" width="2.44140625" style="1" hidden="1" customWidth="1"/>
    <col min="10" max="10" width="11.88671875" style="1" customWidth="1"/>
    <col min="11" max="11" width="0" style="1" hidden="1" customWidth="1"/>
    <col min="12" max="12" width="6.44140625" style="1" hidden="1" customWidth="1"/>
    <col min="13" max="16384" width="9.109375" style="1"/>
  </cols>
  <sheetData>
    <row r="1" spans="2:13" ht="15" thickBot="1" x14ac:dyDescent="0.35"/>
    <row r="2" spans="2:13" x14ac:dyDescent="0.3">
      <c r="B2" s="33"/>
      <c r="C2" s="34"/>
      <c r="D2" s="35"/>
      <c r="E2" s="36"/>
      <c r="F2" s="36"/>
      <c r="G2" s="37"/>
      <c r="H2" s="38"/>
      <c r="I2" s="34"/>
      <c r="J2" s="34"/>
      <c r="K2" s="34"/>
      <c r="L2" s="38"/>
      <c r="M2" s="38"/>
    </row>
    <row r="3" spans="2:13" s="7" customFormat="1" ht="18" x14ac:dyDescent="0.35">
      <c r="B3" s="39"/>
      <c r="C3" s="70" t="s">
        <v>41</v>
      </c>
      <c r="D3" s="71"/>
      <c r="E3" s="72"/>
      <c r="F3" s="73">
        <f ca="1">NOW()</f>
        <v>46115.503607523147</v>
      </c>
      <c r="G3" s="91"/>
      <c r="H3" s="40"/>
      <c r="L3" s="40"/>
      <c r="M3" s="40"/>
    </row>
    <row r="4" spans="2:13" s="7" customFormat="1" x14ac:dyDescent="0.3">
      <c r="B4" s="39"/>
      <c r="D4" s="30"/>
      <c r="E4" s="31"/>
      <c r="F4" s="92"/>
      <c r="G4" s="91"/>
      <c r="H4" s="40"/>
      <c r="L4" s="40"/>
      <c r="M4" s="40"/>
    </row>
    <row r="5" spans="2:13" s="7" customFormat="1" ht="18" x14ac:dyDescent="0.35">
      <c r="B5" s="39"/>
      <c r="C5" s="74" t="s">
        <v>42</v>
      </c>
      <c r="D5" s="30"/>
      <c r="E5" s="31"/>
      <c r="F5" s="92"/>
      <c r="G5" s="91"/>
      <c r="H5" s="40"/>
      <c r="L5" s="40"/>
      <c r="M5" s="40"/>
    </row>
    <row r="6" spans="2:13" s="7" customFormat="1" x14ac:dyDescent="0.3">
      <c r="B6" s="39"/>
      <c r="D6" s="30"/>
      <c r="E6" s="31"/>
      <c r="F6" s="92"/>
      <c r="G6" s="91"/>
      <c r="H6" s="40"/>
      <c r="L6" s="40"/>
      <c r="M6" s="40"/>
    </row>
    <row r="7" spans="2:13" x14ac:dyDescent="0.3">
      <c r="B7" s="41"/>
      <c r="D7" s="13"/>
      <c r="E7" s="8"/>
      <c r="F7" s="84" t="s">
        <v>13</v>
      </c>
      <c r="H7" s="42"/>
      <c r="L7" s="42"/>
      <c r="M7" s="42"/>
    </row>
    <row r="8" spans="2:13" x14ac:dyDescent="0.3">
      <c r="B8" s="41"/>
      <c r="C8" s="76" t="s">
        <v>27</v>
      </c>
      <c r="D8" s="77"/>
      <c r="E8" s="78"/>
      <c r="F8" s="78">
        <v>500000</v>
      </c>
      <c r="H8" s="42"/>
      <c r="L8" s="42"/>
      <c r="M8" s="42"/>
    </row>
    <row r="9" spans="2:13" x14ac:dyDescent="0.3">
      <c r="B9" s="41"/>
      <c r="C9" s="76" t="s">
        <v>119</v>
      </c>
      <c r="D9" s="77"/>
      <c r="E9" s="78"/>
      <c r="F9" s="78">
        <f>400000+200000</f>
        <v>600000</v>
      </c>
      <c r="H9" s="42"/>
      <c r="L9" s="42"/>
      <c r="M9" s="42"/>
    </row>
    <row r="10" spans="2:13" x14ac:dyDescent="0.3">
      <c r="B10" s="41"/>
      <c r="C10" s="76" t="s">
        <v>0</v>
      </c>
      <c r="D10" s="77"/>
      <c r="E10" s="78"/>
      <c r="F10" s="78">
        <v>200000</v>
      </c>
      <c r="H10" s="42"/>
      <c r="L10" s="42"/>
      <c r="M10" s="42"/>
    </row>
    <row r="11" spans="2:13" x14ac:dyDescent="0.3">
      <c r="B11" s="41"/>
      <c r="C11" s="76"/>
      <c r="D11" s="77"/>
      <c r="E11" s="78"/>
      <c r="F11" s="78"/>
      <c r="H11" s="42"/>
      <c r="L11" s="42"/>
      <c r="M11" s="42"/>
    </row>
    <row r="12" spans="2:13" x14ac:dyDescent="0.3">
      <c r="B12" s="41"/>
      <c r="C12" s="76"/>
      <c r="D12" s="77"/>
      <c r="E12" s="78"/>
      <c r="F12" s="78">
        <v>0</v>
      </c>
      <c r="H12" s="42"/>
      <c r="L12" s="42"/>
      <c r="M12" s="42"/>
    </row>
    <row r="13" spans="2:13" ht="15" thickBot="1" x14ac:dyDescent="0.35">
      <c r="B13" s="41"/>
      <c r="C13" s="7" t="s">
        <v>3</v>
      </c>
      <c r="D13" s="13"/>
      <c r="E13" s="8"/>
      <c r="F13" s="64">
        <f>SUM(F8:F12)</f>
        <v>1300000</v>
      </c>
      <c r="H13" s="42"/>
      <c r="L13" s="42"/>
      <c r="M13" s="42"/>
    </row>
    <row r="14" spans="2:13" ht="15.6" thickTop="1" thickBot="1" x14ac:dyDescent="0.35">
      <c r="B14" s="47"/>
      <c r="C14" s="69"/>
      <c r="D14" s="49"/>
      <c r="E14" s="50"/>
      <c r="F14" s="50"/>
      <c r="G14" s="51"/>
      <c r="H14" s="52"/>
      <c r="L14" s="42"/>
      <c r="M14" s="42"/>
    </row>
    <row r="15" spans="2:13" x14ac:dyDescent="0.3">
      <c r="B15" s="41"/>
      <c r="C15" s="3"/>
      <c r="D15" s="13"/>
      <c r="E15" s="8"/>
      <c r="F15" s="8"/>
      <c r="H15" s="42"/>
      <c r="L15" s="42"/>
      <c r="M15" s="42"/>
    </row>
    <row r="16" spans="2:13" ht="18" x14ac:dyDescent="0.35">
      <c r="B16" s="41"/>
      <c r="C16" s="75" t="s">
        <v>43</v>
      </c>
      <c r="D16" s="13"/>
      <c r="E16" s="8"/>
      <c r="F16" s="8"/>
      <c r="H16" s="42"/>
      <c r="L16" s="42"/>
      <c r="M16" s="42"/>
    </row>
    <row r="17" spans="2:13" s="5" customFormat="1" ht="19.5" customHeight="1" x14ac:dyDescent="0.3">
      <c r="B17" s="43"/>
      <c r="D17" s="6"/>
      <c r="E17" s="32"/>
      <c r="F17" s="32" t="s">
        <v>28</v>
      </c>
      <c r="G17" s="6"/>
      <c r="H17" s="44"/>
      <c r="L17" s="44"/>
      <c r="M17" s="44"/>
    </row>
    <row r="18" spans="2:13" s="16" customFormat="1" ht="15" hidden="1" customHeight="1" x14ac:dyDescent="0.3">
      <c r="B18" s="45"/>
      <c r="C18" s="28" t="s">
        <v>47</v>
      </c>
      <c r="D18" s="28" t="s">
        <v>48</v>
      </c>
      <c r="E18" s="19"/>
      <c r="F18" s="19">
        <v>0</v>
      </c>
      <c r="H18" s="46"/>
      <c r="I18" s="18"/>
      <c r="L18" s="138"/>
      <c r="M18" s="138"/>
    </row>
    <row r="19" spans="2:13" s="16" customFormat="1" hidden="1" x14ac:dyDescent="0.3">
      <c r="B19" s="45"/>
      <c r="C19" s="29" t="s">
        <v>32</v>
      </c>
      <c r="D19" s="28" t="s">
        <v>33</v>
      </c>
      <c r="E19" s="19"/>
      <c r="F19" s="55">
        <v>0</v>
      </c>
      <c r="G19" s="16" t="s">
        <v>34</v>
      </c>
      <c r="H19" s="46"/>
      <c r="I19" s="18"/>
      <c r="L19" s="138"/>
      <c r="M19" s="138"/>
    </row>
    <row r="20" spans="2:13" ht="15.6" hidden="1" x14ac:dyDescent="0.3">
      <c r="B20" s="41"/>
      <c r="C20" s="93" t="s">
        <v>29</v>
      </c>
      <c r="D20" s="1"/>
      <c r="E20" s="1"/>
      <c r="F20" s="90">
        <f>SUM(F19:F19)</f>
        <v>0</v>
      </c>
      <c r="G20" s="91" t="s">
        <v>17</v>
      </c>
      <c r="H20" s="42"/>
      <c r="L20" s="42"/>
      <c r="M20" s="42"/>
    </row>
    <row r="21" spans="2:13" ht="15.6" x14ac:dyDescent="0.3">
      <c r="B21" s="41"/>
      <c r="C21" s="93"/>
      <c r="D21" s="1"/>
      <c r="E21" s="1"/>
      <c r="F21" s="90"/>
      <c r="G21" s="91"/>
      <c r="H21" s="42"/>
      <c r="L21" s="42"/>
      <c r="M21" s="42"/>
    </row>
    <row r="22" spans="2:13" ht="15.6" x14ac:dyDescent="0.3">
      <c r="B22" s="41"/>
      <c r="C22" s="93"/>
      <c r="D22" s="89"/>
      <c r="E22" s="90">
        <v>0</v>
      </c>
      <c r="F22" s="90"/>
      <c r="G22" s="91"/>
      <c r="H22" s="42"/>
      <c r="L22" s="42"/>
      <c r="M22" s="42"/>
    </row>
    <row r="23" spans="2:13" ht="15" customHeight="1" x14ac:dyDescent="0.3">
      <c r="B23" s="41"/>
      <c r="C23" s="136" t="s">
        <v>29</v>
      </c>
      <c r="D23" s="111"/>
      <c r="E23" s="112"/>
      <c r="F23" s="90"/>
      <c r="G23" s="91"/>
      <c r="H23" s="42"/>
      <c r="L23" s="42"/>
      <c r="M23" s="42"/>
    </row>
    <row r="24" spans="2:13" ht="15.75" customHeight="1" x14ac:dyDescent="0.3">
      <c r="B24" s="41"/>
      <c r="C24" s="137" t="s">
        <v>133</v>
      </c>
      <c r="D24" s="147" t="s">
        <v>118</v>
      </c>
      <c r="E24" s="100"/>
      <c r="F24" s="80">
        <v>0</v>
      </c>
      <c r="G24" s="91" t="s">
        <v>17</v>
      </c>
      <c r="H24" s="42"/>
      <c r="L24" s="42"/>
      <c r="M24" s="42"/>
    </row>
    <row r="25" spans="2:13" ht="15.6" x14ac:dyDescent="0.3">
      <c r="B25" s="41"/>
      <c r="C25" s="93"/>
      <c r="D25" s="1"/>
      <c r="E25" s="1"/>
      <c r="F25" s="90"/>
      <c r="G25" s="91"/>
      <c r="H25" s="42"/>
      <c r="L25" s="42"/>
      <c r="M25" s="42"/>
    </row>
    <row r="26" spans="2:13" ht="15.6" x14ac:dyDescent="0.3">
      <c r="B26" s="41"/>
      <c r="C26" s="79" t="s">
        <v>44</v>
      </c>
      <c r="D26" s="76"/>
      <c r="E26" s="76"/>
      <c r="F26" s="80"/>
      <c r="G26" s="91" t="s">
        <v>18</v>
      </c>
      <c r="H26" s="40"/>
      <c r="J26" s="9"/>
      <c r="L26" s="42"/>
      <c r="M26" s="42"/>
    </row>
    <row r="27" spans="2:13" ht="15.6" x14ac:dyDescent="0.3">
      <c r="B27" s="41"/>
      <c r="C27" s="93"/>
      <c r="D27" s="1"/>
      <c r="E27" s="1"/>
      <c r="F27" s="90"/>
      <c r="G27" s="91"/>
      <c r="H27" s="40"/>
      <c r="J27" s="9"/>
      <c r="L27" s="42"/>
      <c r="M27" s="42"/>
    </row>
    <row r="28" spans="2:13" ht="15.6" x14ac:dyDescent="0.3">
      <c r="B28" s="41"/>
      <c r="C28" s="79" t="s">
        <v>131</v>
      </c>
      <c r="D28" s="149" t="s">
        <v>132</v>
      </c>
      <c r="E28" s="148"/>
      <c r="F28" s="80">
        <v>15000</v>
      </c>
      <c r="G28" s="91" t="s">
        <v>19</v>
      </c>
      <c r="H28" s="40"/>
      <c r="J28" s="9"/>
      <c r="L28" s="42"/>
      <c r="M28" s="42"/>
    </row>
    <row r="29" spans="2:13" ht="15.6" x14ac:dyDescent="0.3">
      <c r="B29" s="41"/>
      <c r="C29" s="93"/>
      <c r="D29" s="150"/>
      <c r="E29" s="7"/>
      <c r="F29" s="90"/>
      <c r="G29" s="91"/>
      <c r="H29" s="40"/>
      <c r="J29" s="9"/>
      <c r="L29" s="42"/>
      <c r="M29" s="42"/>
    </row>
    <row r="30" spans="2:13" ht="15.6" x14ac:dyDescent="0.3">
      <c r="B30" s="41"/>
      <c r="C30" s="93" t="s">
        <v>134</v>
      </c>
      <c r="D30" s="150"/>
      <c r="E30" s="7"/>
      <c r="F30" s="90"/>
      <c r="G30" s="91"/>
      <c r="H30" s="40"/>
      <c r="J30" s="9"/>
      <c r="L30" s="42"/>
      <c r="M30" s="42"/>
    </row>
    <row r="31" spans="2:13" ht="15.6" x14ac:dyDescent="0.3">
      <c r="B31" s="41"/>
      <c r="C31" s="93"/>
      <c r="D31" s="1"/>
      <c r="E31" s="1"/>
      <c r="F31" s="90"/>
      <c r="G31" s="91"/>
      <c r="H31" s="40"/>
      <c r="J31" s="9"/>
      <c r="L31" s="42"/>
      <c r="M31" s="42"/>
    </row>
    <row r="32" spans="2:13" ht="15.6" x14ac:dyDescent="0.3">
      <c r="B32" s="41"/>
      <c r="C32" s="93" t="s">
        <v>120</v>
      </c>
      <c r="D32" s="1"/>
      <c r="E32" s="1"/>
      <c r="F32" s="90">
        <v>413409</v>
      </c>
      <c r="G32" s="91" t="s">
        <v>20</v>
      </c>
      <c r="H32" s="40"/>
      <c r="L32" s="42"/>
      <c r="M32" s="42"/>
    </row>
    <row r="33" spans="2:13" ht="15.6" x14ac:dyDescent="0.3">
      <c r="B33" s="41"/>
      <c r="C33" s="93"/>
      <c r="D33" s="1"/>
      <c r="E33" s="1"/>
      <c r="F33" s="90"/>
      <c r="G33" s="91"/>
      <c r="H33" s="40"/>
      <c r="L33" s="42"/>
      <c r="M33" s="42"/>
    </row>
    <row r="34" spans="2:13" x14ac:dyDescent="0.3">
      <c r="B34" s="41"/>
      <c r="C34" s="139" t="s">
        <v>38</v>
      </c>
      <c r="D34" s="139" t="s">
        <v>121</v>
      </c>
      <c r="E34" s="139" t="s">
        <v>122</v>
      </c>
      <c r="F34" s="139" t="s">
        <v>3</v>
      </c>
      <c r="G34" s="139" t="s">
        <v>123</v>
      </c>
      <c r="H34" s="139" t="s">
        <v>124</v>
      </c>
      <c r="I34" s="139" t="s">
        <v>125</v>
      </c>
      <c r="J34" s="139" t="s">
        <v>130</v>
      </c>
      <c r="K34" s="139" t="s">
        <v>126</v>
      </c>
      <c r="L34" s="42"/>
      <c r="M34" s="42"/>
    </row>
    <row r="35" spans="2:13" x14ac:dyDescent="0.3">
      <c r="B35" s="41"/>
      <c r="D35" s="127"/>
      <c r="E35" s="128"/>
      <c r="F35" s="128"/>
      <c r="G35" s="140"/>
      <c r="H35" s="141"/>
      <c r="I35" s="129"/>
      <c r="J35" s="129"/>
      <c r="K35" s="142"/>
      <c r="L35" s="42"/>
      <c r="M35" s="42"/>
    </row>
    <row r="36" spans="2:13" x14ac:dyDescent="0.3">
      <c r="B36" s="41"/>
      <c r="D36" s="127"/>
      <c r="E36" s="128"/>
      <c r="F36" s="128"/>
      <c r="G36" s="140"/>
      <c r="H36" s="141"/>
      <c r="I36" s="129"/>
      <c r="J36" s="129"/>
      <c r="K36" s="142"/>
      <c r="L36" s="42"/>
      <c r="M36" s="42"/>
    </row>
    <row r="37" spans="2:13" x14ac:dyDescent="0.3">
      <c r="B37" s="41"/>
      <c r="D37" s="127"/>
      <c r="E37" s="128"/>
      <c r="F37" s="128"/>
      <c r="G37" s="140"/>
      <c r="H37" s="141"/>
      <c r="I37" s="129"/>
      <c r="J37" s="129"/>
      <c r="K37" s="142"/>
      <c r="L37" s="42"/>
      <c r="M37" s="42"/>
    </row>
    <row r="38" spans="2:13" x14ac:dyDescent="0.3">
      <c r="B38" s="41"/>
      <c r="D38" s="127"/>
      <c r="E38" s="128"/>
      <c r="F38" s="128"/>
      <c r="G38" s="140"/>
      <c r="H38" s="141"/>
      <c r="I38" s="129"/>
      <c r="J38" s="129"/>
      <c r="K38" s="142"/>
      <c r="L38" s="42"/>
      <c r="M38" s="42"/>
    </row>
    <row r="39" spans="2:13" x14ac:dyDescent="0.3">
      <c r="B39" s="41"/>
      <c r="D39" s="127"/>
      <c r="E39" s="128"/>
      <c r="F39" s="128"/>
      <c r="G39" s="140"/>
      <c r="H39" s="141"/>
      <c r="I39" s="129"/>
      <c r="J39" s="129"/>
      <c r="K39" s="142"/>
      <c r="L39" s="42"/>
      <c r="M39" s="42"/>
    </row>
    <row r="40" spans="2:13" x14ac:dyDescent="0.3">
      <c r="B40" s="41"/>
      <c r="D40" s="127"/>
      <c r="E40" s="128"/>
      <c r="F40" s="128"/>
      <c r="G40" s="140"/>
      <c r="H40" s="141"/>
      <c r="I40" s="129"/>
      <c r="J40" s="129"/>
      <c r="K40" s="142"/>
      <c r="L40" s="42"/>
      <c r="M40" s="42"/>
    </row>
    <row r="41" spans="2:13" x14ac:dyDescent="0.3">
      <c r="B41" s="41"/>
      <c r="D41" s="127"/>
      <c r="E41" s="128"/>
      <c r="F41" s="128"/>
      <c r="G41" s="140"/>
      <c r="H41" s="141"/>
      <c r="I41" s="129"/>
      <c r="J41" s="129"/>
      <c r="K41" s="142"/>
      <c r="L41" s="42"/>
      <c r="M41" s="42"/>
    </row>
    <row r="42" spans="2:13" x14ac:dyDescent="0.3">
      <c r="B42" s="41"/>
      <c r="D42" s="127"/>
      <c r="E42" s="128"/>
      <c r="F42" s="128"/>
      <c r="G42" s="140"/>
      <c r="H42" s="141"/>
      <c r="I42" s="129"/>
      <c r="J42" s="129"/>
      <c r="K42" s="142"/>
      <c r="L42" s="42"/>
      <c r="M42" s="42"/>
    </row>
    <row r="43" spans="2:13" x14ac:dyDescent="0.3">
      <c r="B43" s="41"/>
      <c r="D43" s="127"/>
      <c r="E43" s="128"/>
      <c r="F43" s="128"/>
      <c r="G43" s="140"/>
      <c r="H43" s="141"/>
      <c r="I43" s="129"/>
      <c r="J43" s="129"/>
      <c r="K43" s="142"/>
      <c r="L43" s="42"/>
      <c r="M43" s="42"/>
    </row>
    <row r="44" spans="2:13" x14ac:dyDescent="0.3">
      <c r="B44" s="41"/>
      <c r="D44" s="127"/>
      <c r="E44" s="128"/>
      <c r="F44" s="128"/>
      <c r="G44" s="140"/>
      <c r="H44" s="141"/>
      <c r="I44" s="129"/>
      <c r="J44" s="129"/>
      <c r="K44" s="142"/>
      <c r="L44" s="42"/>
      <c r="M44" s="42"/>
    </row>
    <row r="45" spans="2:13" x14ac:dyDescent="0.3">
      <c r="B45" s="41"/>
      <c r="D45" s="1"/>
      <c r="E45" s="9"/>
      <c r="F45" s="9"/>
      <c r="G45" s="1"/>
      <c r="H45" s="9"/>
      <c r="J45" s="8"/>
      <c r="K45"/>
      <c r="L45" s="42"/>
      <c r="M45" s="42"/>
    </row>
    <row r="46" spans="2:13" x14ac:dyDescent="0.3">
      <c r="B46" s="41"/>
      <c r="D46" s="1"/>
      <c r="E46" s="9"/>
      <c r="F46" s="9"/>
      <c r="G46" s="1"/>
      <c r="H46" s="9"/>
      <c r="J46" s="8"/>
      <c r="K46"/>
      <c r="L46" s="42"/>
      <c r="M46" s="42"/>
    </row>
    <row r="47" spans="2:13" x14ac:dyDescent="0.3">
      <c r="B47" s="41"/>
      <c r="D47" s="1"/>
      <c r="E47" s="1"/>
      <c r="F47" s="1"/>
      <c r="G47" s="1"/>
      <c r="L47" s="42"/>
      <c r="M47" s="42"/>
    </row>
    <row r="48" spans="2:13" x14ac:dyDescent="0.3">
      <c r="B48" s="41"/>
      <c r="D48" s="1"/>
      <c r="E48" s="1"/>
      <c r="F48" s="1"/>
      <c r="G48" s="1"/>
      <c r="L48" s="42"/>
      <c r="M48" s="42"/>
    </row>
    <row r="49" spans="2:13" ht="15.6" x14ac:dyDescent="0.3">
      <c r="B49" s="41"/>
      <c r="C49" s="124" t="s">
        <v>129</v>
      </c>
      <c r="D49" s="124"/>
      <c r="E49" s="132"/>
      <c r="F49" s="94"/>
      <c r="G49" s="1"/>
      <c r="L49" s="42"/>
      <c r="M49" s="42"/>
    </row>
    <row r="50" spans="2:13" s="131" customFormat="1" ht="15.6" x14ac:dyDescent="0.3">
      <c r="B50" s="130"/>
      <c r="C50" s="134" t="s">
        <v>127</v>
      </c>
      <c r="D50" s="134"/>
      <c r="E50" s="133"/>
      <c r="L50" s="143"/>
      <c r="M50" s="143"/>
    </row>
    <row r="51" spans="2:13" s="60" customFormat="1" ht="15.6" x14ac:dyDescent="0.3">
      <c r="B51" s="56"/>
      <c r="C51" s="239" t="s">
        <v>128</v>
      </c>
      <c r="D51" s="240"/>
      <c r="E51" s="135">
        <f>E49-E50</f>
        <v>0</v>
      </c>
      <c r="F51" s="60" t="s">
        <v>135</v>
      </c>
      <c r="L51" s="144"/>
      <c r="M51" s="144"/>
    </row>
    <row r="52" spans="2:13" s="60" customFormat="1" ht="15.6" x14ac:dyDescent="0.3">
      <c r="B52" s="56"/>
      <c r="C52" s="94"/>
      <c r="L52" s="144"/>
      <c r="M52" s="144"/>
    </row>
    <row r="53" spans="2:13" s="60" customFormat="1" ht="15.6" x14ac:dyDescent="0.3">
      <c r="B53" s="56"/>
      <c r="C53" s="94"/>
      <c r="L53" s="144"/>
      <c r="M53" s="144"/>
    </row>
    <row r="54" spans="2:13" x14ac:dyDescent="0.3">
      <c r="B54" s="41"/>
      <c r="C54" s="17"/>
      <c r="D54" s="1"/>
      <c r="E54" s="1"/>
      <c r="F54" s="1"/>
      <c r="G54" s="1"/>
      <c r="L54" s="42"/>
      <c r="M54" s="42"/>
    </row>
    <row r="55" spans="2:13" x14ac:dyDescent="0.3">
      <c r="B55" s="41"/>
      <c r="C55" s="17"/>
      <c r="D55" s="1"/>
      <c r="E55" s="1"/>
      <c r="F55" s="1"/>
      <c r="G55" s="1"/>
      <c r="L55" s="42"/>
      <c r="M55" s="42"/>
    </row>
    <row r="56" spans="2:13" ht="15.6" x14ac:dyDescent="0.3">
      <c r="B56" s="41"/>
      <c r="C56" s="93"/>
      <c r="D56" s="13"/>
      <c r="E56" s="8"/>
      <c r="F56" s="8"/>
      <c r="H56" s="40"/>
      <c r="L56" s="42"/>
      <c r="M56" s="42"/>
    </row>
    <row r="57" spans="2:13" ht="15.6" x14ac:dyDescent="0.3">
      <c r="B57" s="41"/>
      <c r="C57" s="93"/>
      <c r="D57" s="13"/>
      <c r="E57" s="8"/>
      <c r="F57" s="8"/>
      <c r="H57" s="40"/>
      <c r="L57" s="42"/>
      <c r="M57" s="42"/>
    </row>
    <row r="58" spans="2:13" s="60" customFormat="1" ht="15.6" x14ac:dyDescent="0.3">
      <c r="B58" s="56"/>
      <c r="C58" s="79" t="s">
        <v>1</v>
      </c>
      <c r="D58" s="81"/>
      <c r="E58" s="82"/>
      <c r="F58" s="82">
        <v>426945</v>
      </c>
      <c r="G58" s="94" t="s">
        <v>35</v>
      </c>
      <c r="H58" s="58"/>
      <c r="I58" s="59"/>
      <c r="L58" s="144"/>
      <c r="M58" s="144"/>
    </row>
    <row r="59" spans="2:13" x14ac:dyDescent="0.3">
      <c r="B59" s="41"/>
      <c r="C59" s="7"/>
      <c r="D59" s="13"/>
      <c r="E59" s="8"/>
      <c r="F59" s="8"/>
      <c r="H59" s="40"/>
      <c r="L59" s="42"/>
      <c r="M59" s="42"/>
    </row>
    <row r="60" spans="2:13" s="60" customFormat="1" ht="15.6" x14ac:dyDescent="0.3">
      <c r="B60" s="56"/>
      <c r="C60" s="79" t="s">
        <v>2</v>
      </c>
      <c r="D60" s="81"/>
      <c r="E60" s="82"/>
      <c r="F60" s="83"/>
      <c r="G60" s="94" t="s">
        <v>46</v>
      </c>
      <c r="H60" s="58"/>
      <c r="I60" s="59"/>
      <c r="J60" s="101"/>
      <c r="L60" s="144"/>
      <c r="M60" s="144"/>
    </row>
    <row r="61" spans="2:13" x14ac:dyDescent="0.3">
      <c r="B61" s="41"/>
      <c r="C61" s="7"/>
      <c r="D61" s="13"/>
      <c r="E61" s="8"/>
      <c r="F61" s="8"/>
      <c r="H61" s="40"/>
      <c r="L61" s="42"/>
      <c r="M61" s="42"/>
    </row>
    <row r="62" spans="2:13" s="60" customFormat="1" ht="16.2" thickBot="1" x14ac:dyDescent="0.35">
      <c r="B62" s="56"/>
      <c r="C62" s="93" t="s">
        <v>3</v>
      </c>
      <c r="D62" s="95"/>
      <c r="E62" s="57"/>
      <c r="F62" s="61"/>
      <c r="G62" s="96" t="s">
        <v>136</v>
      </c>
      <c r="H62" s="58"/>
      <c r="I62" s="59"/>
      <c r="L62" s="144"/>
      <c r="M62" s="144"/>
    </row>
    <row r="63" spans="2:13" ht="15.6" thickTop="1" thickBot="1" x14ac:dyDescent="0.35">
      <c r="B63" s="47"/>
      <c r="C63" s="48"/>
      <c r="D63" s="49"/>
      <c r="E63" s="50"/>
      <c r="F63" s="50"/>
      <c r="G63" s="51"/>
      <c r="H63" s="126"/>
      <c r="L63" s="42"/>
      <c r="M63" s="42"/>
    </row>
    <row r="64" spans="2:13" x14ac:dyDescent="0.3">
      <c r="B64" s="41"/>
      <c r="D64" s="13"/>
      <c r="E64" s="8"/>
      <c r="F64" s="8"/>
      <c r="L64" s="42"/>
      <c r="M64" s="42"/>
    </row>
    <row r="65" spans="2:13" x14ac:dyDescent="0.3">
      <c r="B65" s="41"/>
      <c r="D65" s="13"/>
      <c r="E65" s="8"/>
      <c r="F65" s="8"/>
      <c r="L65" s="42"/>
      <c r="M65" s="42"/>
    </row>
    <row r="66" spans="2:13" s="17" customFormat="1" x14ac:dyDescent="0.3">
      <c r="B66" s="145"/>
      <c r="C66" s="24" t="s">
        <v>21</v>
      </c>
      <c r="D66" s="24" t="s">
        <v>137</v>
      </c>
      <c r="E66" s="22" t="s">
        <v>15</v>
      </c>
      <c r="K66" s="146"/>
      <c r="L66" s="146"/>
    </row>
    <row r="67" spans="2:13" x14ac:dyDescent="0.3">
      <c r="B67" s="41"/>
      <c r="C67" s="24">
        <v>5000</v>
      </c>
      <c r="D67" s="24"/>
      <c r="E67" s="23"/>
      <c r="F67" s="17"/>
      <c r="G67" s="1"/>
      <c r="K67" s="42"/>
      <c r="L67" s="42"/>
    </row>
    <row r="68" spans="2:13" x14ac:dyDescent="0.3">
      <c r="B68" s="41"/>
      <c r="C68" s="24">
        <v>1000</v>
      </c>
      <c r="D68" s="24"/>
      <c r="E68" s="23"/>
      <c r="F68" s="17"/>
      <c r="G68" s="1"/>
      <c r="K68" s="42"/>
      <c r="L68" s="42"/>
    </row>
    <row r="69" spans="2:13" x14ac:dyDescent="0.3">
      <c r="B69" s="41"/>
      <c r="C69" s="24">
        <v>500</v>
      </c>
      <c r="D69" s="24"/>
      <c r="E69" s="23"/>
      <c r="F69" s="17"/>
      <c r="G69" s="1"/>
      <c r="K69" s="42"/>
      <c r="L69" s="42"/>
    </row>
    <row r="70" spans="2:13" x14ac:dyDescent="0.3">
      <c r="B70" s="41"/>
      <c r="C70" s="24">
        <v>100</v>
      </c>
      <c r="D70" s="24"/>
      <c r="E70" s="23"/>
      <c r="F70" s="17"/>
      <c r="G70" s="1"/>
      <c r="K70" s="42"/>
      <c r="L70" s="42"/>
    </row>
    <row r="71" spans="2:13" x14ac:dyDescent="0.3">
      <c r="B71" s="41"/>
      <c r="C71" s="24">
        <v>50</v>
      </c>
      <c r="D71" s="24"/>
      <c r="E71" s="23"/>
      <c r="F71" s="17"/>
      <c r="G71" s="1"/>
      <c r="K71" s="42"/>
      <c r="L71" s="42"/>
    </row>
    <row r="72" spans="2:13" x14ac:dyDescent="0.3">
      <c r="B72" s="41"/>
      <c r="C72" s="24">
        <v>20</v>
      </c>
      <c r="D72" s="24"/>
      <c r="E72" s="23"/>
      <c r="F72" s="17"/>
      <c r="G72" s="1"/>
      <c r="K72" s="42"/>
      <c r="L72" s="42"/>
    </row>
    <row r="73" spans="2:13" x14ac:dyDescent="0.3">
      <c r="B73" s="41"/>
      <c r="C73" s="24" t="s">
        <v>5</v>
      </c>
      <c r="D73" s="24"/>
      <c r="E73" s="23"/>
      <c r="F73" s="17"/>
      <c r="G73" s="1"/>
      <c r="K73" s="42"/>
      <c r="L73" s="42"/>
    </row>
    <row r="74" spans="2:13" ht="15" thickBot="1" x14ac:dyDescent="0.35">
      <c r="B74" s="41"/>
      <c r="D74" s="13"/>
      <c r="E74" s="8"/>
      <c r="F74" s="20">
        <f>E73+E72+E71+E70+E69+E67+E68</f>
        <v>0</v>
      </c>
      <c r="G74" s="109"/>
      <c r="L74" s="42"/>
      <c r="M74" s="42"/>
    </row>
    <row r="75" spans="2:13" ht="15" thickTop="1" x14ac:dyDescent="0.3">
      <c r="B75" s="41"/>
      <c r="D75" s="13"/>
      <c r="E75" s="8"/>
      <c r="F75" s="8"/>
      <c r="L75" s="42"/>
      <c r="M75" s="42"/>
    </row>
    <row r="76" spans="2:13" ht="15" thickBot="1" x14ac:dyDescent="0.35">
      <c r="B76" s="47"/>
      <c r="C76" s="48"/>
      <c r="D76" s="49"/>
      <c r="E76" s="50"/>
      <c r="F76" s="50"/>
      <c r="G76" s="51"/>
      <c r="H76" s="48"/>
      <c r="I76" s="48"/>
      <c r="J76" s="48"/>
      <c r="K76" s="48"/>
      <c r="L76" s="52"/>
      <c r="M76" s="52"/>
    </row>
    <row r="77" spans="2:13" x14ac:dyDescent="0.3">
      <c r="G77" s="109"/>
    </row>
    <row r="79" spans="2:13" x14ac:dyDescent="0.3">
      <c r="G79" s="109"/>
    </row>
  </sheetData>
  <mergeCells count="1">
    <mergeCell ref="C51:D51"/>
  </mergeCells>
  <phoneticPr fontId="23" type="noConversion"/>
  <pageMargins left="0.7" right="0.7" top="0.75" bottom="0.75" header="0.3" footer="0.3"/>
  <pageSetup orientation="portrait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37A9A-8F58-4287-AB67-9EC22F504D41}">
  <sheetPr codeName="Sheet9"/>
  <dimension ref="A1:C5"/>
  <sheetViews>
    <sheetView workbookViewId="0">
      <selection activeCell="I21" sqref="I21"/>
    </sheetView>
  </sheetViews>
  <sheetFormatPr defaultRowHeight="14.4" x14ac:dyDescent="0.3"/>
  <sheetData>
    <row r="1" spans="1:3" x14ac:dyDescent="0.3">
      <c r="A1">
        <v>15000</v>
      </c>
      <c r="B1">
        <v>15230</v>
      </c>
      <c r="C1">
        <f>A1-B1</f>
        <v>-230</v>
      </c>
    </row>
    <row r="2" spans="1:3" x14ac:dyDescent="0.3">
      <c r="A2">
        <v>25000</v>
      </c>
      <c r="B2">
        <v>24680</v>
      </c>
      <c r="C2">
        <f>A2-B2</f>
        <v>320</v>
      </c>
    </row>
    <row r="3" spans="1:3" x14ac:dyDescent="0.3">
      <c r="A3">
        <v>25000</v>
      </c>
      <c r="B3">
        <v>24640</v>
      </c>
      <c r="C3">
        <f>A3-B3</f>
        <v>360</v>
      </c>
    </row>
    <row r="4" spans="1:3" ht="15" thickBot="1" x14ac:dyDescent="0.35">
      <c r="C4" s="110">
        <f>SUM(C1:C3)</f>
        <v>450</v>
      </c>
    </row>
    <row r="5" spans="1:3" ht="15" thickTop="1" x14ac:dyDescent="0.3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40FC-9931-4E8A-A384-F559FE0D442C}">
  <sheetPr codeName="Sheet10"/>
  <dimension ref="A1:D19"/>
  <sheetViews>
    <sheetView workbookViewId="0">
      <selection sqref="A1:D16"/>
    </sheetView>
  </sheetViews>
  <sheetFormatPr defaultRowHeight="14.4" x14ac:dyDescent="0.3"/>
  <cols>
    <col min="1" max="1" width="20.109375" customWidth="1"/>
    <col min="2" max="2" width="81.33203125" bestFit="1" customWidth="1"/>
    <col min="3" max="3" width="10.88671875" bestFit="1" customWidth="1"/>
    <col min="4" max="4" width="11.44140625" bestFit="1" customWidth="1"/>
  </cols>
  <sheetData>
    <row r="1" spans="1:4" x14ac:dyDescent="0.3">
      <c r="D1" t="s">
        <v>28</v>
      </c>
    </row>
    <row r="2" spans="1:4" x14ac:dyDescent="0.3">
      <c r="A2" s="97" t="s">
        <v>40</v>
      </c>
      <c r="B2" s="97" t="s">
        <v>67</v>
      </c>
      <c r="C2" s="97" t="s">
        <v>68</v>
      </c>
      <c r="D2" s="86">
        <v>8500</v>
      </c>
    </row>
    <row r="3" spans="1:4" x14ac:dyDescent="0.3">
      <c r="A3" s="98" t="s">
        <v>40</v>
      </c>
      <c r="B3" s="98" t="s">
        <v>69</v>
      </c>
      <c r="C3" s="98" t="s">
        <v>70</v>
      </c>
      <c r="D3" s="85">
        <v>53010</v>
      </c>
    </row>
    <row r="4" spans="1:4" x14ac:dyDescent="0.3">
      <c r="A4" s="98" t="s">
        <v>40</v>
      </c>
      <c r="B4" s="98" t="s">
        <v>71</v>
      </c>
      <c r="C4" s="98" t="s">
        <v>72</v>
      </c>
      <c r="D4" s="85">
        <v>29250</v>
      </c>
    </row>
    <row r="5" spans="1:4" x14ac:dyDescent="0.3">
      <c r="A5" s="98" t="s">
        <v>40</v>
      </c>
      <c r="B5" s="98" t="s">
        <v>66</v>
      </c>
      <c r="C5" s="98" t="s">
        <v>73</v>
      </c>
      <c r="D5" s="85">
        <v>3400</v>
      </c>
    </row>
    <row r="6" spans="1:4" x14ac:dyDescent="0.3">
      <c r="A6" s="98" t="s">
        <v>40</v>
      </c>
      <c r="B6" s="98" t="s">
        <v>66</v>
      </c>
      <c r="C6" s="98" t="s">
        <v>74</v>
      </c>
      <c r="D6" s="85">
        <v>3400</v>
      </c>
    </row>
    <row r="7" spans="1:4" x14ac:dyDescent="0.3">
      <c r="A7" s="98" t="s">
        <v>40</v>
      </c>
      <c r="B7" s="98" t="s">
        <v>75</v>
      </c>
      <c r="C7" s="98" t="s">
        <v>76</v>
      </c>
      <c r="D7" s="85">
        <v>22325</v>
      </c>
    </row>
    <row r="8" spans="1:4" x14ac:dyDescent="0.3">
      <c r="A8" s="98" t="s">
        <v>40</v>
      </c>
      <c r="B8" s="98" t="s">
        <v>77</v>
      </c>
      <c r="C8" s="98" t="s">
        <v>76</v>
      </c>
      <c r="D8" s="85">
        <v>6700</v>
      </c>
    </row>
    <row r="9" spans="1:4" x14ac:dyDescent="0.3">
      <c r="A9" s="98" t="s">
        <v>40</v>
      </c>
      <c r="B9" s="98" t="s">
        <v>78</v>
      </c>
      <c r="C9" s="98" t="s">
        <v>76</v>
      </c>
      <c r="D9" s="85">
        <v>7850</v>
      </c>
    </row>
    <row r="10" spans="1:4" x14ac:dyDescent="0.3">
      <c r="A10" s="98" t="s">
        <v>40</v>
      </c>
      <c r="B10" s="98" t="s">
        <v>69</v>
      </c>
      <c r="C10" s="98" t="s">
        <v>79</v>
      </c>
      <c r="D10" s="85">
        <v>33940</v>
      </c>
    </row>
    <row r="11" spans="1:4" x14ac:dyDescent="0.3">
      <c r="A11" s="98" t="s">
        <v>40</v>
      </c>
      <c r="B11" s="98" t="s">
        <v>80</v>
      </c>
      <c r="C11" s="98" t="s">
        <v>81</v>
      </c>
      <c r="D11" s="85">
        <v>12000</v>
      </c>
    </row>
    <row r="12" spans="1:4" x14ac:dyDescent="0.3">
      <c r="A12" s="98" t="s">
        <v>40</v>
      </c>
      <c r="B12" s="98" t="s">
        <v>82</v>
      </c>
      <c r="C12" s="98" t="s">
        <v>83</v>
      </c>
      <c r="D12" s="85">
        <v>12000</v>
      </c>
    </row>
    <row r="13" spans="1:4" x14ac:dyDescent="0.3">
      <c r="A13" s="98" t="s">
        <v>40</v>
      </c>
      <c r="B13" s="98" t="s">
        <v>84</v>
      </c>
      <c r="C13" s="98" t="s">
        <v>85</v>
      </c>
      <c r="D13" s="85">
        <v>12000</v>
      </c>
    </row>
    <row r="14" spans="1:4" x14ac:dyDescent="0.3">
      <c r="A14" s="98" t="s">
        <v>40</v>
      </c>
      <c r="B14" s="98" t="s">
        <v>86</v>
      </c>
      <c r="C14" s="98" t="s">
        <v>87</v>
      </c>
      <c r="D14" s="85">
        <v>60750</v>
      </c>
    </row>
    <row r="15" spans="1:4" x14ac:dyDescent="0.3">
      <c r="A15" s="99"/>
      <c r="B15" s="99"/>
      <c r="C15" s="99"/>
      <c r="D15" s="87"/>
    </row>
    <row r="16" spans="1:4" ht="15.6" x14ac:dyDescent="0.3">
      <c r="A16" s="79"/>
      <c r="B16" s="76"/>
      <c r="C16" s="76"/>
      <c r="D16" s="80">
        <f>SUM(D2:D15)</f>
        <v>265125</v>
      </c>
    </row>
    <row r="19" spans="4:4" x14ac:dyDescent="0.3">
      <c r="D19">
        <v>265125</v>
      </c>
    </row>
  </sheetData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BDAF-E342-4264-98AF-A668127E57EA}">
  <sheetPr codeName="Sheet3"/>
  <dimension ref="B1:E17"/>
  <sheetViews>
    <sheetView workbookViewId="0">
      <selection activeCell="E15" sqref="E15"/>
    </sheetView>
  </sheetViews>
  <sheetFormatPr defaultColWidth="8.88671875" defaultRowHeight="14.4" x14ac:dyDescent="0.3"/>
  <cols>
    <col min="1" max="1" width="8.88671875" style="1"/>
    <col min="2" max="2" width="57.33203125" style="1" bestFit="1" customWidth="1"/>
    <col min="3" max="3" width="19.33203125" style="1" bestFit="1" customWidth="1"/>
    <col min="4" max="4" width="8.88671875" style="1"/>
    <col min="5" max="5" width="12.5546875" style="17" bestFit="1" customWidth="1"/>
    <col min="6" max="16384" width="8.88671875" style="1"/>
  </cols>
  <sheetData>
    <row r="1" spans="2:5" x14ac:dyDescent="0.3">
      <c r="E1" s="17" t="s">
        <v>13</v>
      </c>
    </row>
    <row r="2" spans="2:5" x14ac:dyDescent="0.3">
      <c r="B2" s="76" t="s">
        <v>0</v>
      </c>
      <c r="C2" s="77" t="s">
        <v>57</v>
      </c>
      <c r="D2" s="78"/>
      <c r="E2" s="104">
        <v>100000</v>
      </c>
    </row>
    <row r="3" spans="2:5" x14ac:dyDescent="0.3">
      <c r="B3" s="76" t="s">
        <v>60</v>
      </c>
      <c r="C3" s="77" t="s">
        <v>57</v>
      </c>
      <c r="D3" s="78"/>
      <c r="E3" s="104">
        <v>500000</v>
      </c>
    </row>
    <row r="4" spans="2:5" x14ac:dyDescent="0.3">
      <c r="B4" s="76" t="s">
        <v>61</v>
      </c>
      <c r="C4" s="77" t="s">
        <v>58</v>
      </c>
      <c r="D4" s="78"/>
      <c r="E4" s="104">
        <v>450000</v>
      </c>
    </row>
    <row r="5" spans="2:5" ht="15" thickBot="1" x14ac:dyDescent="0.35">
      <c r="B5" s="1" t="s">
        <v>59</v>
      </c>
      <c r="E5" s="105">
        <f>SUM(E2:E4)</f>
        <v>1050000</v>
      </c>
    </row>
    <row r="6" spans="2:5" ht="15" thickTop="1" x14ac:dyDescent="0.3"/>
    <row r="9" spans="2:5" s="7" customFormat="1" x14ac:dyDescent="0.3">
      <c r="B9" s="106" t="s">
        <v>65</v>
      </c>
      <c r="C9" s="107" t="s">
        <v>13</v>
      </c>
      <c r="D9" s="106"/>
      <c r="E9" s="91"/>
    </row>
    <row r="10" spans="2:5" ht="14.4" customHeight="1" x14ac:dyDescent="0.3">
      <c r="B10" s="2" t="s">
        <v>62</v>
      </c>
      <c r="C10" s="106">
        <f>'SUMMERY (2)'!F23</f>
        <v>988319</v>
      </c>
      <c r="D10" s="2"/>
    </row>
    <row r="11" spans="2:5" ht="14.4" customHeight="1" x14ac:dyDescent="0.3">
      <c r="B11" s="2" t="s">
        <v>44</v>
      </c>
      <c r="C11" s="106">
        <f>'SUMMERY (2)'!F25</f>
        <v>141745</v>
      </c>
      <c r="D11" s="2"/>
    </row>
    <row r="12" spans="2:5" x14ac:dyDescent="0.3">
      <c r="B12" s="2" t="s">
        <v>30</v>
      </c>
      <c r="C12" s="106">
        <f>'SUMMERY (2)'!F43</f>
        <v>201</v>
      </c>
      <c r="D12" s="2"/>
    </row>
    <row r="13" spans="2:5" x14ac:dyDescent="0.3">
      <c r="B13" s="2" t="s">
        <v>63</v>
      </c>
      <c r="C13" s="106">
        <f>'SUMMERY (2)'!F49</f>
        <v>0</v>
      </c>
      <c r="D13" s="2"/>
    </row>
    <row r="14" spans="2:5" x14ac:dyDescent="0.3">
      <c r="B14" s="2" t="s">
        <v>64</v>
      </c>
      <c r="C14" s="106" t="e">
        <f>'SUMMERY (2)'!F54</f>
        <v>#REF!</v>
      </c>
      <c r="D14" s="2"/>
    </row>
    <row r="15" spans="2:5" x14ac:dyDescent="0.3">
      <c r="B15" s="2" t="s">
        <v>2</v>
      </c>
      <c r="C15" s="106" t="e">
        <f>'SUMMERY (2)'!F56</f>
        <v>#REF!</v>
      </c>
      <c r="D15" s="2"/>
    </row>
    <row r="16" spans="2:5" ht="15" thickBot="1" x14ac:dyDescent="0.35">
      <c r="B16" s="2" t="s">
        <v>3</v>
      </c>
      <c r="C16" s="108" t="e">
        <f>SUM(C10:C15)</f>
        <v>#REF!</v>
      </c>
      <c r="D16" s="2"/>
    </row>
    <row r="17" spans="2:4" ht="15" thickTop="1" x14ac:dyDescent="0.3">
      <c r="B17" s="2"/>
      <c r="C17" s="106"/>
      <c r="D17" s="2"/>
    </row>
  </sheetData>
  <pageMargins left="0.7" right="0.7" top="0.75" bottom="0.75" header="0.3" footer="0.3"/>
  <pageSetup paperSize="9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F1FEF-8ED0-4E2B-BB5C-C632725CE702}">
  <sheetPr codeName="Sheet4"/>
  <dimension ref="A1"/>
  <sheetViews>
    <sheetView workbookViewId="0">
      <selection activeCell="K15" sqref="K15"/>
    </sheetView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10E6C-5A71-4070-8E1C-606BF5BBE7A1}">
  <sheetPr codeName="Sheet5"/>
  <dimension ref="B2:J10"/>
  <sheetViews>
    <sheetView workbookViewId="0">
      <selection activeCell="B18" sqref="B18"/>
    </sheetView>
  </sheetViews>
  <sheetFormatPr defaultColWidth="9.109375" defaultRowHeight="14.4" x14ac:dyDescent="0.3"/>
  <cols>
    <col min="1" max="1" width="1.6640625" style="1" customWidth="1"/>
    <col min="2" max="2" width="11.5546875" style="17" customWidth="1"/>
    <col min="3" max="3" width="28" style="1" customWidth="1"/>
    <col min="4" max="4" width="11.5546875" style="1" bestFit="1" customWidth="1"/>
    <col min="5" max="5" width="15.5546875" style="1" bestFit="1" customWidth="1"/>
    <col min="6" max="6" width="38.6640625" style="1" customWidth="1"/>
    <col min="7" max="7" width="0.5546875" style="1" customWidth="1"/>
    <col min="8" max="9" width="9.109375" style="1" hidden="1" customWidth="1"/>
    <col min="10" max="10" width="24.88671875" style="1" bestFit="1" customWidth="1"/>
    <col min="11" max="16384" width="9.109375" style="1"/>
  </cols>
  <sheetData>
    <row r="2" spans="2:10" ht="15" thickBot="1" x14ac:dyDescent="0.35">
      <c r="B2" s="62" t="s">
        <v>6</v>
      </c>
      <c r="C2" s="63" t="s">
        <v>7</v>
      </c>
      <c r="D2" s="64" t="s">
        <v>8</v>
      </c>
      <c r="E2" s="63" t="s">
        <v>9</v>
      </c>
      <c r="F2" s="63" t="s">
        <v>16</v>
      </c>
      <c r="G2" s="63"/>
      <c r="H2" s="65"/>
      <c r="I2" s="63"/>
      <c r="J2" s="63" t="s">
        <v>31</v>
      </c>
    </row>
    <row r="3" spans="2:10" ht="15" thickTop="1" x14ac:dyDescent="0.3">
      <c r="B3" s="17">
        <v>618</v>
      </c>
      <c r="C3" s="1" t="s">
        <v>12</v>
      </c>
      <c r="D3" s="8">
        <v>50000</v>
      </c>
      <c r="E3" s="54">
        <v>44758</v>
      </c>
      <c r="F3" s="1" t="s">
        <v>22</v>
      </c>
      <c r="H3" s="26"/>
      <c r="J3" s="27">
        <v>31</v>
      </c>
    </row>
    <row r="4" spans="2:10" x14ac:dyDescent="0.3">
      <c r="B4" s="17">
        <v>619</v>
      </c>
      <c r="C4" s="1" t="s">
        <v>23</v>
      </c>
      <c r="D4" s="8">
        <v>96600</v>
      </c>
      <c r="E4" s="54">
        <v>44758</v>
      </c>
      <c r="F4" s="1" t="s">
        <v>25</v>
      </c>
      <c r="H4" s="26"/>
      <c r="J4" s="27">
        <v>31</v>
      </c>
    </row>
    <row r="5" spans="2:10" x14ac:dyDescent="0.3">
      <c r="B5" s="17">
        <v>620</v>
      </c>
      <c r="C5" s="1" t="s">
        <v>26</v>
      </c>
      <c r="D5" s="8">
        <v>107200</v>
      </c>
      <c r="E5" s="54">
        <v>44758</v>
      </c>
      <c r="F5" s="1" t="s">
        <v>24</v>
      </c>
      <c r="H5" s="26"/>
      <c r="J5" s="27">
        <v>31</v>
      </c>
    </row>
    <row r="6" spans="2:10" x14ac:dyDescent="0.3">
      <c r="B6" s="17">
        <v>622</v>
      </c>
      <c r="C6" s="1" t="s">
        <v>11</v>
      </c>
      <c r="D6" s="8">
        <v>38000</v>
      </c>
      <c r="E6" s="54">
        <v>44760</v>
      </c>
      <c r="F6" s="1" t="s">
        <v>24</v>
      </c>
      <c r="H6" s="26"/>
      <c r="J6" s="27">
        <v>29</v>
      </c>
    </row>
    <row r="7" spans="2:10" x14ac:dyDescent="0.3">
      <c r="D7" s="66">
        <f>SUM(D3:D6)</f>
        <v>291800</v>
      </c>
    </row>
    <row r="8" spans="2:10" x14ac:dyDescent="0.3">
      <c r="C8" s="1" t="s">
        <v>4</v>
      </c>
      <c r="D8" s="9">
        <f>D9-D7</f>
        <v>108200</v>
      </c>
    </row>
    <row r="9" spans="2:10" ht="15" thickBot="1" x14ac:dyDescent="0.35">
      <c r="D9" s="67">
        <v>400000</v>
      </c>
    </row>
    <row r="10" spans="2:10" ht="15" thickTop="1" x14ac:dyDescent="0.3"/>
  </sheetData>
  <conditionalFormatting sqref="J3:J6">
    <cfRule type="cellIs" dxfId="0" priority="1" operator="greaterThan">
      <formula>4</formula>
    </cfRule>
  </conditionalFormatting>
  <pageMargins left="0.7" right="0.7" top="0.75" bottom="0.75" header="0.3" footer="0.3"/>
  <pageSetup paperSize="9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52E59-9953-48BB-B1DF-0917CE049D18}">
  <sheetPr codeName="Sheet6"/>
  <dimension ref="A2:B34"/>
  <sheetViews>
    <sheetView topLeftCell="A16" workbookViewId="0">
      <selection activeCell="B37" sqref="B37"/>
    </sheetView>
  </sheetViews>
  <sheetFormatPr defaultRowHeight="14.4" x14ac:dyDescent="0.3"/>
  <cols>
    <col min="1" max="1" width="10.6640625" bestFit="1" customWidth="1"/>
    <col min="2" max="2" width="10.5546875" style="10" bestFit="1" customWidth="1"/>
  </cols>
  <sheetData>
    <row r="2" spans="1:2" x14ac:dyDescent="0.3">
      <c r="A2" s="11">
        <v>44525</v>
      </c>
      <c r="B2" s="10">
        <v>582.5</v>
      </c>
    </row>
    <row r="3" spans="1:2" x14ac:dyDescent="0.3">
      <c r="B3" s="10">
        <v>350</v>
      </c>
    </row>
    <row r="4" spans="1:2" x14ac:dyDescent="0.3">
      <c r="B4" s="10">
        <v>661.3</v>
      </c>
    </row>
    <row r="5" spans="1:2" x14ac:dyDescent="0.3">
      <c r="B5" s="10">
        <v>1985</v>
      </c>
    </row>
    <row r="6" spans="1:2" x14ac:dyDescent="0.3">
      <c r="B6" s="10">
        <v>155</v>
      </c>
    </row>
    <row r="7" spans="1:2" s="4" customFormat="1" x14ac:dyDescent="0.3">
      <c r="B7" s="14">
        <v>308</v>
      </c>
    </row>
    <row r="8" spans="1:2" x14ac:dyDescent="0.3">
      <c r="B8" s="10">
        <v>440</v>
      </c>
    </row>
    <row r="9" spans="1:2" x14ac:dyDescent="0.3">
      <c r="B9" s="10">
        <v>2787</v>
      </c>
    </row>
    <row r="10" spans="1:2" x14ac:dyDescent="0.3">
      <c r="B10" s="10">
        <v>220</v>
      </c>
    </row>
    <row r="11" spans="1:2" x14ac:dyDescent="0.3">
      <c r="B11" s="10">
        <v>1132</v>
      </c>
    </row>
    <row r="12" spans="1:2" x14ac:dyDescent="0.3">
      <c r="B12" s="10">
        <v>2263</v>
      </c>
    </row>
    <row r="13" spans="1:2" x14ac:dyDescent="0.3">
      <c r="B13" s="10">
        <v>1361</v>
      </c>
    </row>
    <row r="14" spans="1:2" x14ac:dyDescent="0.3">
      <c r="B14" s="10">
        <v>530</v>
      </c>
    </row>
    <row r="15" spans="1:2" x14ac:dyDescent="0.3">
      <c r="B15" s="10">
        <v>1663.2</v>
      </c>
    </row>
    <row r="16" spans="1:2" s="4" customFormat="1" x14ac:dyDescent="0.3">
      <c r="B16" s="14">
        <v>270</v>
      </c>
    </row>
    <row r="17" spans="2:2" s="4" customFormat="1" x14ac:dyDescent="0.3">
      <c r="B17" s="14">
        <v>119</v>
      </c>
    </row>
    <row r="18" spans="2:2" x14ac:dyDescent="0.3">
      <c r="B18" s="10">
        <v>440</v>
      </c>
    </row>
    <row r="19" spans="2:2" x14ac:dyDescent="0.3">
      <c r="B19" s="10">
        <v>653</v>
      </c>
    </row>
    <row r="20" spans="2:2" x14ac:dyDescent="0.3">
      <c r="B20" s="10">
        <v>453</v>
      </c>
    </row>
    <row r="21" spans="2:2" x14ac:dyDescent="0.3">
      <c r="B21" s="10">
        <v>3016</v>
      </c>
    </row>
    <row r="22" spans="2:2" x14ac:dyDescent="0.3">
      <c r="B22" s="10">
        <v>262</v>
      </c>
    </row>
    <row r="23" spans="2:2" s="4" customFormat="1" x14ac:dyDescent="0.3">
      <c r="B23" s="14">
        <v>90</v>
      </c>
    </row>
    <row r="24" spans="2:2" x14ac:dyDescent="0.3">
      <c r="B24" s="10">
        <v>420</v>
      </c>
    </row>
    <row r="25" spans="2:2" s="4" customFormat="1" x14ac:dyDescent="0.3">
      <c r="B25" s="14">
        <v>70</v>
      </c>
    </row>
    <row r="26" spans="2:2" x14ac:dyDescent="0.3">
      <c r="B26" s="10">
        <v>380</v>
      </c>
    </row>
    <row r="27" spans="2:2" x14ac:dyDescent="0.3">
      <c r="B27" s="15">
        <v>150</v>
      </c>
    </row>
    <row r="28" spans="2:2" x14ac:dyDescent="0.3">
      <c r="B28" s="15">
        <v>320</v>
      </c>
    </row>
    <row r="29" spans="2:2" x14ac:dyDescent="0.3">
      <c r="B29" s="15">
        <v>440</v>
      </c>
    </row>
    <row r="30" spans="2:2" x14ac:dyDescent="0.3">
      <c r="B30" s="15">
        <v>5292</v>
      </c>
    </row>
    <row r="31" spans="2:2" x14ac:dyDescent="0.3">
      <c r="B31" s="15">
        <v>884</v>
      </c>
    </row>
    <row r="32" spans="2:2" x14ac:dyDescent="0.3">
      <c r="B32" s="15">
        <v>1254</v>
      </c>
    </row>
    <row r="33" spans="2:2" x14ac:dyDescent="0.3">
      <c r="B33" s="15">
        <v>734</v>
      </c>
    </row>
    <row r="34" spans="2:2" x14ac:dyDescent="0.3">
      <c r="B34" s="10">
        <f>SUM(B2:B33)</f>
        <v>29685</v>
      </c>
    </row>
  </sheetData>
  <autoFilter ref="A1:B34" xr:uid="{B9152E59-9953-48BB-B1DF-0917CE049D1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SUMMERY (2)</vt:lpstr>
      <vt:lpstr>IOU-Petty Cash</vt:lpstr>
      <vt:lpstr>IOU-Project Adv</vt:lpstr>
      <vt:lpstr>Summary </vt:lpstr>
      <vt:lpstr>03.04.2026</vt:lpstr>
      <vt:lpstr>Summary 01</vt:lpstr>
      <vt:lpstr>Sheet6</vt:lpstr>
      <vt:lpstr>Sheet5</vt:lpstr>
      <vt:lpstr>Sheet4</vt:lpstr>
      <vt:lpstr>Sheet3</vt:lpstr>
      <vt:lpstr>Sheet2</vt:lpstr>
      <vt:lpstr>Sheet1</vt:lpstr>
      <vt:lpstr>'IOU-Petty Cash'!Print_Area</vt:lpstr>
      <vt:lpstr>'IOU-Project Adv'!Print_Area</vt:lpstr>
      <vt:lpstr>'SUMMERY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Janaka</dc:creator>
  <cp:lastModifiedBy>Iresha Ravihari</cp:lastModifiedBy>
  <cp:lastPrinted>2025-10-01T09:00:01Z</cp:lastPrinted>
  <dcterms:created xsi:type="dcterms:W3CDTF">2021-07-22T10:03:44Z</dcterms:created>
  <dcterms:modified xsi:type="dcterms:W3CDTF">2026-04-03T07:20:04Z</dcterms:modified>
</cp:coreProperties>
</file>