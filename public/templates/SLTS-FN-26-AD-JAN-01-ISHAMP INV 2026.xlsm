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026 FTTH INVOICES\01.Mr Mishara-2026\AD\1.SLTS-FN-26-AD-JAN-01-INV 2026- Ishamp\"/>
    </mc:Choice>
  </mc:AlternateContent>
  <xr:revisionPtr revIDLastSave="0" documentId="13_ncr:1_{F017577C-F927-4753-BC6E-81EB17D26C07}" xr6:coauthVersionLast="47" xr6:coauthVersionMax="47" xr10:uidLastSave="{00000000-0000-0000-0000-000000000000}"/>
  <bookViews>
    <workbookView xWindow="-108" yWindow="-108" windowWidth="23256" windowHeight="12456" tabRatio="933" firstSheet="1" activeTab="7" xr2:uid="{00000000-000D-0000-FFFF-FFFF00000000}"/>
  </bookViews>
  <sheets>
    <sheet name="KEY" sheetId="422" state="hidden" r:id="rId1"/>
    <sheet name="COVER PAGE" sheetId="441" r:id="rId2"/>
    <sheet name="REF DOC" sheetId="411" r:id="rId3"/>
    <sheet name="SUMMARY" sheetId="454" r:id="rId4"/>
    <sheet name="BOM" sheetId="450" r:id="rId5"/>
    <sheet name="ALLOCATION" sheetId="443" r:id="rId6"/>
    <sheet name="FDW" sheetId="453" r:id="rId7"/>
    <sheet name="POLE SHEET" sheetId="440" r:id="rId8"/>
  </sheets>
  <functionGroups builtInGroupCount="19"/>
  <definedNames>
    <definedName name="_1_4_2013" localSheetId="5">#REF!</definedName>
    <definedName name="_xlnm._FilterDatabase" localSheetId="4" hidden="1">BOM!$A$6:$AC$175</definedName>
    <definedName name="_xlnm.Print_Area" localSheetId="5">ALLOCATION!$A$1:$O$184</definedName>
    <definedName name="_xlnm.Print_Area" localSheetId="4">BOM!$A$1:$AC$182</definedName>
    <definedName name="_xlnm.Print_Area" localSheetId="1">'COVER PAGE'!$A$1:$N$48</definedName>
    <definedName name="_xlnm.Print_Area" localSheetId="6">FDW!$A$1:$D$174</definedName>
    <definedName name="_xlnm.Print_Area" localSheetId="7">'POLE SHEET'!$A$1:$I$56</definedName>
    <definedName name="_xlnm.Print_Area" localSheetId="2">'REF DOC'!$A$3:$H$53</definedName>
    <definedName name="_xlnm.Print_Area" localSheetId="3">SUMMARY!$A$1:$K$23</definedName>
    <definedName name="_xlnm.Print_Titles" localSheetId="5">ALLOCATION!$1:$10</definedName>
    <definedName name="_xlnm.Print_Titles" localSheetId="4">BOM!$1:$5</definedName>
    <definedName name="_xlnm.Print_Titles" localSheetId="6">FDW!$1:$3</definedName>
    <definedName name="_xlnm.Print_Titles" localSheetId="7">'POLE SHEET'!$1:$7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1" i="440" l="1"/>
  <c r="L51" i="440"/>
  <c r="M51" i="440"/>
  <c r="N51" i="440"/>
  <c r="K51" i="440"/>
  <c r="D31" i="440"/>
  <c r="D30" i="440"/>
  <c r="D29" i="440"/>
  <c r="D28" i="440"/>
  <c r="D27" i="440"/>
  <c r="D26" i="440"/>
  <c r="D25" i="440"/>
  <c r="D24" i="440"/>
  <c r="D23" i="440"/>
  <c r="D22" i="440"/>
  <c r="D21" i="440"/>
  <c r="D20" i="440"/>
  <c r="D19" i="440"/>
  <c r="D18" i="440"/>
  <c r="D17" i="440"/>
  <c r="D16" i="440"/>
  <c r="D15" i="440"/>
  <c r="D14" i="440"/>
  <c r="D13" i="440"/>
  <c r="D12" i="440"/>
  <c r="D11" i="440"/>
  <c r="D10" i="440"/>
  <c r="D9" i="440"/>
  <c r="D8" i="440"/>
  <c r="B5" i="453"/>
  <c r="C5" i="453"/>
  <c r="B6" i="453"/>
  <c r="C6" i="453"/>
  <c r="B7" i="453"/>
  <c r="C7" i="453"/>
  <c r="B8" i="453"/>
  <c r="C8" i="453"/>
  <c r="B9" i="453"/>
  <c r="C9" i="453"/>
  <c r="B10" i="453"/>
  <c r="C10" i="453"/>
  <c r="B11" i="453"/>
  <c r="C11" i="453"/>
  <c r="B12" i="453"/>
  <c r="C12" i="453"/>
  <c r="B13" i="453"/>
  <c r="C13" i="453"/>
  <c r="B14" i="453"/>
  <c r="C14" i="453"/>
  <c r="B15" i="453"/>
  <c r="C15" i="453"/>
  <c r="B16" i="453"/>
  <c r="C16" i="453"/>
  <c r="B17" i="453"/>
  <c r="C17" i="453"/>
  <c r="B18" i="453"/>
  <c r="C18" i="453"/>
  <c r="B19" i="453"/>
  <c r="C19" i="453"/>
  <c r="B20" i="453"/>
  <c r="C20" i="453"/>
  <c r="B21" i="453"/>
  <c r="C21" i="453"/>
  <c r="B22" i="453"/>
  <c r="C22" i="453"/>
  <c r="B23" i="453"/>
  <c r="C23" i="453"/>
  <c r="B24" i="453"/>
  <c r="C24" i="453"/>
  <c r="B25" i="453"/>
  <c r="C25" i="453"/>
  <c r="B26" i="453"/>
  <c r="C26" i="453"/>
  <c r="B27" i="453"/>
  <c r="C27" i="453"/>
  <c r="B28" i="453"/>
  <c r="C28" i="453"/>
  <c r="B29" i="453"/>
  <c r="C29" i="453"/>
  <c r="B30" i="453"/>
  <c r="C30" i="453"/>
  <c r="B31" i="453"/>
  <c r="C31" i="453"/>
  <c r="B32" i="453"/>
  <c r="C32" i="453"/>
  <c r="B33" i="453"/>
  <c r="C33" i="453"/>
  <c r="B34" i="453"/>
  <c r="C34" i="453"/>
  <c r="B35" i="453"/>
  <c r="C35" i="453"/>
  <c r="B36" i="453"/>
  <c r="C36" i="453"/>
  <c r="B37" i="453"/>
  <c r="C37" i="453"/>
  <c r="B38" i="453"/>
  <c r="C38" i="453"/>
  <c r="B39" i="453"/>
  <c r="C39" i="453"/>
  <c r="B40" i="453"/>
  <c r="C40" i="453"/>
  <c r="B41" i="453"/>
  <c r="C41" i="453"/>
  <c r="B42" i="453"/>
  <c r="C42" i="453"/>
  <c r="B43" i="453"/>
  <c r="C43" i="453"/>
  <c r="B44" i="453"/>
  <c r="C44" i="453"/>
  <c r="B45" i="453"/>
  <c r="C45" i="453"/>
  <c r="B46" i="453"/>
  <c r="C46" i="453"/>
  <c r="B47" i="453"/>
  <c r="C47" i="453"/>
  <c r="B48" i="453"/>
  <c r="C48" i="453"/>
  <c r="B49" i="453"/>
  <c r="C49" i="453"/>
  <c r="B50" i="453"/>
  <c r="C50" i="453"/>
  <c r="B51" i="453"/>
  <c r="C51" i="453"/>
  <c r="B52" i="453"/>
  <c r="C52" i="453"/>
  <c r="B53" i="453"/>
  <c r="C53" i="453"/>
  <c r="B54" i="453"/>
  <c r="C54" i="453"/>
  <c r="B55" i="453"/>
  <c r="C55" i="453"/>
  <c r="B56" i="453"/>
  <c r="C56" i="453"/>
  <c r="B57" i="453"/>
  <c r="C57" i="453"/>
  <c r="B58" i="453"/>
  <c r="C58" i="453"/>
  <c r="B59" i="453"/>
  <c r="C59" i="453"/>
  <c r="B60" i="453"/>
  <c r="C60" i="453"/>
  <c r="B61" i="453"/>
  <c r="C61" i="453"/>
  <c r="B62" i="453"/>
  <c r="C62" i="453"/>
  <c r="B63" i="453"/>
  <c r="C63" i="453"/>
  <c r="B64" i="453"/>
  <c r="C64" i="453"/>
  <c r="B65" i="453"/>
  <c r="C65" i="453"/>
  <c r="B66" i="453"/>
  <c r="C66" i="453"/>
  <c r="B67" i="453"/>
  <c r="C67" i="453"/>
  <c r="B68" i="453"/>
  <c r="C68" i="453"/>
  <c r="B69" i="453"/>
  <c r="C69" i="453"/>
  <c r="B70" i="453"/>
  <c r="C70" i="453"/>
  <c r="B71" i="453"/>
  <c r="C71" i="453"/>
  <c r="B72" i="453"/>
  <c r="C72" i="453"/>
  <c r="B73" i="453"/>
  <c r="C73" i="453"/>
  <c r="B74" i="453"/>
  <c r="C74" i="453"/>
  <c r="B75" i="453"/>
  <c r="C75" i="453"/>
  <c r="B76" i="453"/>
  <c r="C76" i="453"/>
  <c r="B77" i="453"/>
  <c r="C77" i="453"/>
  <c r="B78" i="453"/>
  <c r="C78" i="453"/>
  <c r="B79" i="453"/>
  <c r="C79" i="453"/>
  <c r="B80" i="453"/>
  <c r="C80" i="453"/>
  <c r="B81" i="453"/>
  <c r="C81" i="453"/>
  <c r="B82" i="453"/>
  <c r="C82" i="453"/>
  <c r="B83" i="453"/>
  <c r="C83" i="453"/>
  <c r="B84" i="453"/>
  <c r="C84" i="453"/>
  <c r="B85" i="453"/>
  <c r="C85" i="453"/>
  <c r="B86" i="453"/>
  <c r="C86" i="453"/>
  <c r="B87" i="453"/>
  <c r="C87" i="453"/>
  <c r="B88" i="453"/>
  <c r="C88" i="453"/>
  <c r="B89" i="453"/>
  <c r="C89" i="453"/>
  <c r="B90" i="453"/>
  <c r="C90" i="453"/>
  <c r="B91" i="453"/>
  <c r="C91" i="453"/>
  <c r="B92" i="453"/>
  <c r="C92" i="453"/>
  <c r="B93" i="453"/>
  <c r="C93" i="453"/>
  <c r="B94" i="453"/>
  <c r="C94" i="453"/>
  <c r="B95" i="453"/>
  <c r="C95" i="453"/>
  <c r="B96" i="453"/>
  <c r="C96" i="453"/>
  <c r="B97" i="453"/>
  <c r="C97" i="453"/>
  <c r="B98" i="453"/>
  <c r="C98" i="453"/>
  <c r="B99" i="453"/>
  <c r="C99" i="453"/>
  <c r="B100" i="453"/>
  <c r="C100" i="453"/>
  <c r="B101" i="453"/>
  <c r="C101" i="453"/>
  <c r="B102" i="453"/>
  <c r="C102" i="453"/>
  <c r="B103" i="453"/>
  <c r="C103" i="453"/>
  <c r="B104" i="453"/>
  <c r="C104" i="453"/>
  <c r="B105" i="453"/>
  <c r="C105" i="453"/>
  <c r="B106" i="453"/>
  <c r="C106" i="453"/>
  <c r="B107" i="453"/>
  <c r="C107" i="453"/>
  <c r="B108" i="453"/>
  <c r="C108" i="453"/>
  <c r="B109" i="453"/>
  <c r="C109" i="453"/>
  <c r="B110" i="453"/>
  <c r="C110" i="453"/>
  <c r="B111" i="453"/>
  <c r="C111" i="453"/>
  <c r="B112" i="453"/>
  <c r="C112" i="453"/>
  <c r="B113" i="453"/>
  <c r="C113" i="453"/>
  <c r="B114" i="453"/>
  <c r="C114" i="453"/>
  <c r="B115" i="453"/>
  <c r="C115" i="453"/>
  <c r="B116" i="453"/>
  <c r="C116" i="453"/>
  <c r="B117" i="453"/>
  <c r="C117" i="453"/>
  <c r="B118" i="453"/>
  <c r="C118" i="453"/>
  <c r="B119" i="453"/>
  <c r="C119" i="453"/>
  <c r="B120" i="453"/>
  <c r="C120" i="453"/>
  <c r="B121" i="453"/>
  <c r="C121" i="453"/>
  <c r="B122" i="453"/>
  <c r="C122" i="453"/>
  <c r="B123" i="453"/>
  <c r="C123" i="453"/>
  <c r="B124" i="453"/>
  <c r="C124" i="453"/>
  <c r="B125" i="453"/>
  <c r="C125" i="453"/>
  <c r="B126" i="453"/>
  <c r="C126" i="453"/>
  <c r="B127" i="453"/>
  <c r="C127" i="453"/>
  <c r="B128" i="453"/>
  <c r="C128" i="453"/>
  <c r="B129" i="453"/>
  <c r="C129" i="453"/>
  <c r="B130" i="453"/>
  <c r="C130" i="453"/>
  <c r="B131" i="453"/>
  <c r="C131" i="453"/>
  <c r="B132" i="453"/>
  <c r="C132" i="453"/>
  <c r="B133" i="453"/>
  <c r="C133" i="453"/>
  <c r="B134" i="453"/>
  <c r="C134" i="453"/>
  <c r="B135" i="453"/>
  <c r="C135" i="453"/>
  <c r="B136" i="453"/>
  <c r="C136" i="453"/>
  <c r="B137" i="453"/>
  <c r="C137" i="453"/>
  <c r="B138" i="453"/>
  <c r="C138" i="453"/>
  <c r="B139" i="453"/>
  <c r="C139" i="453"/>
  <c r="B140" i="453"/>
  <c r="C140" i="453"/>
  <c r="B141" i="453"/>
  <c r="C141" i="453"/>
  <c r="B142" i="453"/>
  <c r="C142" i="453"/>
  <c r="B143" i="453"/>
  <c r="C143" i="453"/>
  <c r="B144" i="453"/>
  <c r="C144" i="453"/>
  <c r="B145" i="453"/>
  <c r="C145" i="453"/>
  <c r="B146" i="453"/>
  <c r="C146" i="453"/>
  <c r="B147" i="453"/>
  <c r="C147" i="453"/>
  <c r="B148" i="453"/>
  <c r="C148" i="453"/>
  <c r="B149" i="453"/>
  <c r="C149" i="453"/>
  <c r="B150" i="453"/>
  <c r="C150" i="453"/>
  <c r="B151" i="453"/>
  <c r="C151" i="453"/>
  <c r="B152" i="453"/>
  <c r="C152" i="453"/>
  <c r="B153" i="453"/>
  <c r="C153" i="453"/>
  <c r="B154" i="453"/>
  <c r="C154" i="453"/>
  <c r="B155" i="453"/>
  <c r="C155" i="453"/>
  <c r="B156" i="453"/>
  <c r="C156" i="453"/>
  <c r="B157" i="453"/>
  <c r="C157" i="453"/>
  <c r="B158" i="453"/>
  <c r="C158" i="453"/>
  <c r="B159" i="453"/>
  <c r="C159" i="453"/>
  <c r="B160" i="453"/>
  <c r="C160" i="453"/>
  <c r="B161" i="453"/>
  <c r="C161" i="453"/>
  <c r="B162" i="453"/>
  <c r="C162" i="453"/>
  <c r="B163" i="453"/>
  <c r="C163" i="453"/>
  <c r="B164" i="453"/>
  <c r="C164" i="453"/>
  <c r="B165" i="453"/>
  <c r="C165" i="453"/>
  <c r="B166" i="453"/>
  <c r="C166" i="453"/>
  <c r="B167" i="453"/>
  <c r="C167" i="453"/>
  <c r="B168" i="453"/>
  <c r="C168" i="453"/>
  <c r="B169" i="453"/>
  <c r="C169" i="453"/>
  <c r="B170" i="453"/>
  <c r="C170" i="453"/>
  <c r="B171" i="453"/>
  <c r="C171" i="453"/>
  <c r="B172" i="453"/>
  <c r="C172" i="453"/>
  <c r="J13" i="454"/>
  <c r="F9" i="454"/>
  <c r="J9" i="454" s="1"/>
  <c r="J5" i="454"/>
  <c r="I5" i="454"/>
  <c r="D6" i="454"/>
  <c r="D4" i="454"/>
  <c r="D3" i="454"/>
  <c r="D2" i="454"/>
  <c r="D1" i="454"/>
  <c r="J10" i="454" l="1"/>
  <c r="I10" i="454"/>
  <c r="J7" i="422"/>
  <c r="J6" i="454" s="1"/>
  <c r="J12" i="454" l="1"/>
  <c r="H29" i="411" s="1"/>
  <c r="C4" i="453"/>
  <c r="B4" i="453"/>
  <c r="J14" i="454" l="1"/>
  <c r="J15" i="454" s="1"/>
  <c r="J16" i="454" s="1"/>
  <c r="J17" i="454" s="1"/>
  <c r="J18" i="454" s="1"/>
  <c r="D43" i="440"/>
  <c r="D42" i="440"/>
  <c r="D41" i="440"/>
  <c r="D40" i="440"/>
  <c r="D39" i="440"/>
  <c r="D38" i="440"/>
  <c r="D37" i="440"/>
  <c r="D36" i="440"/>
  <c r="D35" i="440"/>
  <c r="D34" i="440"/>
  <c r="D33" i="440"/>
  <c r="D32" i="440"/>
  <c r="L175" i="450"/>
  <c r="T175" i="450"/>
  <c r="S175" i="450"/>
  <c r="R175" i="450"/>
  <c r="Q175" i="450"/>
  <c r="P175" i="450"/>
  <c r="O175" i="450"/>
  <c r="N175" i="450"/>
  <c r="M175" i="450"/>
  <c r="K175" i="450"/>
  <c r="J175" i="450"/>
  <c r="I175" i="450"/>
  <c r="H51" i="440" s="1"/>
  <c r="H175" i="450"/>
  <c r="G51" i="440" s="1"/>
  <c r="G175" i="450"/>
  <c r="F51" i="440" s="1"/>
  <c r="C2" i="440"/>
  <c r="A6" i="411"/>
  <c r="O51" i="440" l="1"/>
  <c r="C6" i="422"/>
  <c r="D5" i="454" s="1"/>
  <c r="D7" i="422"/>
  <c r="C7" i="422"/>
  <c r="D6" i="422"/>
  <c r="C2" i="450" l="1"/>
  <c r="C1" i="453"/>
  <c r="C173" i="453"/>
  <c r="C5" i="440" l="1"/>
  <c r="C4" i="440"/>
  <c r="A4" i="450"/>
  <c r="C18" i="411"/>
  <c r="Z175" i="450" l="1"/>
  <c r="U175" i="450"/>
  <c r="V175" i="450"/>
  <c r="W175" i="450"/>
  <c r="X175" i="450"/>
  <c r="Y175" i="450"/>
  <c r="AA175" i="450"/>
  <c r="AB175" i="450"/>
  <c r="AC175" i="450"/>
  <c r="F175" i="450"/>
  <c r="D45" i="440" l="1"/>
  <c r="D46" i="440"/>
  <c r="D47" i="440"/>
  <c r="D48" i="440"/>
  <c r="D49" i="440"/>
  <c r="D50" i="440"/>
  <c r="D44" i="440"/>
  <c r="C7" i="443" l="1"/>
  <c r="J6" i="422" l="1"/>
  <c r="M7" i="443" l="1"/>
  <c r="C8" i="443"/>
  <c r="C6" i="443"/>
  <c r="C5" i="443"/>
  <c r="C4" i="443"/>
  <c r="I5" i="440" l="1"/>
  <c r="B23" i="441" l="1"/>
  <c r="H20" i="441"/>
  <c r="H16" i="441"/>
  <c r="B8" i="411"/>
  <c r="C3" i="440"/>
  <c r="H11" i="411" l="1"/>
  <c r="G9" i="411"/>
  <c r="G8" i="411"/>
  <c r="G11" i="411" l="1"/>
  <c r="H5" i="440"/>
  <c r="G6" i="422"/>
  <c r="I7" i="443" l="1"/>
  <c r="G10" i="411" l="1"/>
  <c r="H31" i="411"/>
  <c r="H32" i="411" s="1"/>
  <c r="H33" i="411" l="1"/>
  <c r="H34" i="411" s="1"/>
  <c r="H35" i="411" s="1"/>
</calcChain>
</file>

<file path=xl/sharedStrings.xml><?xml version="1.0" encoding="utf-8"?>
<sst xmlns="http://schemas.openxmlformats.org/spreadsheetml/2006/main" count="1890" uniqueCount="793">
  <si>
    <t>Contract</t>
  </si>
  <si>
    <t>Tender No</t>
  </si>
  <si>
    <t>RTOM Area</t>
  </si>
  <si>
    <t>Unit</t>
  </si>
  <si>
    <t>Prepared By</t>
  </si>
  <si>
    <t>Checked By</t>
  </si>
  <si>
    <t>OPMC Manager</t>
  </si>
  <si>
    <t>EAE / AE / TTO</t>
  </si>
  <si>
    <t>Exchange</t>
  </si>
  <si>
    <t>PROVISIONAL ACCEPTANCE CERTIFICATE</t>
  </si>
  <si>
    <t>Address</t>
  </si>
  <si>
    <t>DP No</t>
  </si>
  <si>
    <t>NEW POLES INSTALLED</t>
  </si>
  <si>
    <t>Plant Unit</t>
  </si>
  <si>
    <t>Project No</t>
  </si>
  <si>
    <t>Project Manager</t>
  </si>
  <si>
    <t>Sri Lanka Telecom PLC</t>
  </si>
  <si>
    <t>Loop No</t>
  </si>
  <si>
    <t>CAB No</t>
  </si>
  <si>
    <t>Test No</t>
  </si>
  <si>
    <t>HP</t>
  </si>
  <si>
    <t>Pole Numbers 8.0m</t>
  </si>
  <si>
    <t>Checked by</t>
  </si>
  <si>
    <t>Rs.</t>
  </si>
  <si>
    <t>Date</t>
  </si>
  <si>
    <t>:</t>
  </si>
  <si>
    <t>Sri Lanka Telecom (Services) Limited</t>
  </si>
  <si>
    <t>Amount</t>
  </si>
  <si>
    <t>Recommended by</t>
  </si>
  <si>
    <t>Approved by</t>
  </si>
  <si>
    <t>INVOICE SUMMARY</t>
  </si>
  <si>
    <t>Description</t>
  </si>
  <si>
    <t xml:space="preserve">Amount </t>
  </si>
  <si>
    <t>Net Amount</t>
  </si>
  <si>
    <t>Sri Lanka Telecom</t>
  </si>
  <si>
    <t>Contract Name:</t>
  </si>
  <si>
    <t>Tender No:</t>
  </si>
  <si>
    <t xml:space="preserve">RTOM Area </t>
  </si>
  <si>
    <t>Period</t>
  </si>
  <si>
    <t>Customer Referance</t>
  </si>
  <si>
    <t>Contact</t>
  </si>
  <si>
    <t xml:space="preserve">           :</t>
  </si>
  <si>
    <t>Supplier</t>
  </si>
  <si>
    <t>Receipent</t>
  </si>
  <si>
    <t>V.A.T. Reg No</t>
  </si>
  <si>
    <t>134004169 7000</t>
  </si>
  <si>
    <t>294001727 7000</t>
  </si>
  <si>
    <t>Lotus Road, Colombo 01.</t>
  </si>
  <si>
    <t>Add/Deduct</t>
  </si>
  <si>
    <t>Net Payable</t>
  </si>
  <si>
    <t>Singed By:</t>
  </si>
  <si>
    <t>………………………………………………………</t>
  </si>
  <si>
    <t>(Project Manager)</t>
  </si>
  <si>
    <t>Seal:</t>
  </si>
  <si>
    <t>No of Connections</t>
  </si>
  <si>
    <t>S/N</t>
  </si>
  <si>
    <t xml:space="preserve">Amount in figures:  </t>
  </si>
  <si>
    <t>PLC-CON</t>
  </si>
  <si>
    <t>No: 148/15, Lesley Ranagala Mw,  Colombo 08</t>
  </si>
  <si>
    <t>Reference No</t>
  </si>
  <si>
    <t>REFERENCE DOCUMENT TO THE INVOICE</t>
  </si>
  <si>
    <t>Attachment: 3</t>
  </si>
  <si>
    <t xml:space="preserve">Agrement No:  </t>
  </si>
  <si>
    <t>We certify that the above Poles have been Installed according to the quality standards.</t>
  </si>
  <si>
    <t>Contractor Name: Sri Lanka Telecom ( Services) Limited</t>
  </si>
  <si>
    <t>RECEIVED INFORMATION</t>
  </si>
  <si>
    <t>NC &amp; FSP SECTION</t>
  </si>
  <si>
    <t>QA SECTION</t>
  </si>
  <si>
    <t>NC &amp; FSP Ref.  No:</t>
  </si>
  <si>
    <t xml:space="preserve">Project No: </t>
  </si>
  <si>
    <t>RTOM Area:</t>
  </si>
  <si>
    <t>Service Type:</t>
  </si>
  <si>
    <t>FTTH Connections</t>
  </si>
  <si>
    <t xml:space="preserve">Invoice Date </t>
  </si>
  <si>
    <t>Pole Numbers 5.6CE</t>
  </si>
  <si>
    <t>Pole Numbers 6.7CE</t>
  </si>
  <si>
    <t>Sri Lanka Telecom (Services) Ltd</t>
  </si>
  <si>
    <t>Invoice No</t>
  </si>
  <si>
    <t xml:space="preserve">Invoice Date: </t>
  </si>
  <si>
    <t>Gross Invoice Value:</t>
  </si>
  <si>
    <t>SSCL 2.5%</t>
  </si>
  <si>
    <t xml:space="preserve">Gross Invoice Value with SSCL 2.5% </t>
  </si>
  <si>
    <t xml:space="preserve">Reference No </t>
  </si>
  <si>
    <t>TP No</t>
  </si>
  <si>
    <t xml:space="preserve">Name </t>
  </si>
  <si>
    <t>RTOM</t>
  </si>
  <si>
    <t>EX Area (LEA)</t>
  </si>
  <si>
    <t>T.P</t>
  </si>
  <si>
    <t>Service order Type (Create, Migration,Modify)</t>
  </si>
  <si>
    <t>Customer Contact No (Mobile)</t>
  </si>
  <si>
    <t>S.O. Received Date</t>
  </si>
  <si>
    <t>Wired Date (Test Date)</t>
  </si>
  <si>
    <t>Remark</t>
  </si>
  <si>
    <t>Network Resource Allocation Report</t>
  </si>
  <si>
    <t>Mr. W.G.G Gunatunga</t>
  </si>
  <si>
    <t>PLC-5_6-CE</t>
  </si>
  <si>
    <t>PLC-6_7-CE</t>
  </si>
  <si>
    <t>PLC-8</t>
  </si>
  <si>
    <t>We certify that the above works have been completed according to the specifications and the quantities claimed are correct as per the contract</t>
  </si>
  <si>
    <t>Deduction</t>
  </si>
  <si>
    <t xml:space="preserve">BOM No </t>
  </si>
  <si>
    <t xml:space="preserve">SOD </t>
  </si>
  <si>
    <t>Circuit</t>
  </si>
  <si>
    <t>CONTRACTOR</t>
  </si>
  <si>
    <t>FTTH-DW (m)</t>
  </si>
  <si>
    <t>PL-C-5.6-CE (Pcs)</t>
  </si>
  <si>
    <t>PL-C-8 (Pcs)</t>
  </si>
  <si>
    <t>PLC-CON (Pcs)</t>
  </si>
  <si>
    <t>DW-LH (Nos.)</t>
  </si>
  <si>
    <t>FT-DP-VB-ID (Nos.)</t>
  </si>
  <si>
    <t>FT-DP-VP-ID (Nos.)</t>
  </si>
  <si>
    <t>FT-DP-V2P-ID (Nos.)</t>
  </si>
  <si>
    <t>FT-DP-V3P-ID (Nos.)</t>
  </si>
  <si>
    <t>FT-SP-PO-ID (Nos.)</t>
  </si>
  <si>
    <t>FT-3P-BP-ID (Nos.)</t>
  </si>
  <si>
    <t>Gross Invoice Value after Deduction</t>
  </si>
  <si>
    <t>Gross Invoice Value After Deduction:</t>
  </si>
  <si>
    <t>VAT 18%</t>
  </si>
  <si>
    <t xml:space="preserve">VAT 18% </t>
  </si>
  <si>
    <t xml:space="preserve">SSCL 2.5% </t>
  </si>
  <si>
    <t>Total No of Connections</t>
  </si>
  <si>
    <t>TP Number</t>
  </si>
  <si>
    <t>FDW Details</t>
  </si>
  <si>
    <t>Total Amount</t>
  </si>
  <si>
    <t>SLTS</t>
  </si>
  <si>
    <t>FN</t>
  </si>
  <si>
    <t>Month</t>
  </si>
  <si>
    <t>Deputy General Manager [ DGM-ANP ]</t>
  </si>
  <si>
    <t>PL-C6.7CE (Pcs)</t>
  </si>
  <si>
    <t xml:space="preserve">FT-3P-B2P-ID (Nos.) </t>
  </si>
  <si>
    <t>FAC-1 (Nos.)</t>
  </si>
  <si>
    <t>FWS-1 (Nos.)</t>
  </si>
  <si>
    <t>OSPACC018 (Nos.)</t>
  </si>
  <si>
    <t>SC-C5 (m)</t>
  </si>
  <si>
    <t>OSPACC011 (Nos.)</t>
  </si>
  <si>
    <t>DW-RT (Nos.)</t>
  </si>
  <si>
    <t>UTP-TER (Nos.)</t>
  </si>
  <si>
    <t>OSPWIR011 (m)</t>
  </si>
  <si>
    <t>OSPACC004 (Nos.)</t>
  </si>
  <si>
    <t>OSPACC005 (Nos.)</t>
  </si>
  <si>
    <t xml:space="preserve">OSPACC070 (m) </t>
  </si>
  <si>
    <t>Prepared by</t>
  </si>
  <si>
    <t>Certified by</t>
  </si>
  <si>
    <t>01</t>
  </si>
  <si>
    <t>L/0733/2025</t>
  </si>
  <si>
    <t>From: 1-Jan-2026</t>
  </si>
  <si>
    <t>To: 31-Jan-2026</t>
  </si>
  <si>
    <t>JAN</t>
  </si>
  <si>
    <t>FTTH &amp; PeoTV Connections 2026</t>
  </si>
  <si>
    <t>Designator</t>
  </si>
  <si>
    <t>SLTM-1</t>
  </si>
  <si>
    <t>Quantity</t>
  </si>
  <si>
    <t>Unit Rate</t>
  </si>
  <si>
    <t>Material</t>
  </si>
  <si>
    <t>Service</t>
  </si>
  <si>
    <t>Nos</t>
  </si>
  <si>
    <t>Model No</t>
  </si>
  <si>
    <t>1A</t>
  </si>
  <si>
    <t>FTTH Provisioning Service Cost</t>
  </si>
  <si>
    <t>AD</t>
  </si>
  <si>
    <t>Anuradhapura</t>
  </si>
  <si>
    <t>BOM-R-AD-2026-03-24-291729108</t>
  </si>
  <si>
    <t>TWO MILLION TWO HUNDRED FORTY NINE THOUSAND SEVEN HUNDRED SEVENTY SIX RUPEES AND SIXTY SEVEN CENTS ONLY</t>
  </si>
  <si>
    <t>AD202512200092600</t>
  </si>
  <si>
    <t>R-AD</t>
  </si>
  <si>
    <t>AD202512260002555</t>
  </si>
  <si>
    <t>AD202512260098640</t>
  </si>
  <si>
    <t>AD202512260098813</t>
  </si>
  <si>
    <t>AD202512290047312</t>
  </si>
  <si>
    <t>AD202512290051754</t>
  </si>
  <si>
    <t>AD202512290051761</t>
  </si>
  <si>
    <t>AD202512290051774</t>
  </si>
  <si>
    <t>AD202512290052144</t>
  </si>
  <si>
    <t>AD202512290052775</t>
  </si>
  <si>
    <t>AD202512290056004</t>
  </si>
  <si>
    <t>AD202512290058485</t>
  </si>
  <si>
    <t>AD202512300000167</t>
  </si>
  <si>
    <t>AD202512300003622</t>
  </si>
  <si>
    <t>AD202512300007163</t>
  </si>
  <si>
    <t>AD202512300009105</t>
  </si>
  <si>
    <t>AD202512300009882</t>
  </si>
  <si>
    <t>AD202512310050729</t>
  </si>
  <si>
    <t>AD202601010075033</t>
  </si>
  <si>
    <t>AD202601010075078</t>
  </si>
  <si>
    <t>AD202601020005200</t>
  </si>
  <si>
    <t>AD202601020099348</t>
  </si>
  <si>
    <t>AD202601050025015</t>
  </si>
  <si>
    <t>AD202601050025617</t>
  </si>
  <si>
    <t>AD202601050026337</t>
  </si>
  <si>
    <t>AD202601050026344</t>
  </si>
  <si>
    <t>AD202601050026349</t>
  </si>
  <si>
    <t>AD202601050028144</t>
  </si>
  <si>
    <t>AD202601050034274</t>
  </si>
  <si>
    <t>AD202601060045651</t>
  </si>
  <si>
    <t>AD202601060051729</t>
  </si>
  <si>
    <t>AD202601060052600</t>
  </si>
  <si>
    <t>AD202601070080357</t>
  </si>
  <si>
    <t>AD202601070081608</t>
  </si>
  <si>
    <t>AD202601070081644</t>
  </si>
  <si>
    <t>AD202601080015623</t>
  </si>
  <si>
    <t>AD202601080015929</t>
  </si>
  <si>
    <t>AD202601080019040</t>
  </si>
  <si>
    <t>AD202601110093507</t>
  </si>
  <si>
    <t>AD202601120008284</t>
  </si>
  <si>
    <t>AD202601120008884</t>
  </si>
  <si>
    <t>AD202601120013343</t>
  </si>
  <si>
    <t>AD202601130033184</t>
  </si>
  <si>
    <t>AD202601130034159</t>
  </si>
  <si>
    <t>AD202601130036612</t>
  </si>
  <si>
    <t>AD202601130041683</t>
  </si>
  <si>
    <t>AD202601130042360</t>
  </si>
  <si>
    <t>AD202601130042785</t>
  </si>
  <si>
    <t>AD202601130043541</t>
  </si>
  <si>
    <t>AD202601130044079</t>
  </si>
  <si>
    <t>AD202601130046661</t>
  </si>
  <si>
    <t>AD202601130048627</t>
  </si>
  <si>
    <t>AD202601140071832</t>
  </si>
  <si>
    <t>AD202601140074632</t>
  </si>
  <si>
    <t>AD202601140074691</t>
  </si>
  <si>
    <t>AD202601140074699</t>
  </si>
  <si>
    <t>AD202601140074709</t>
  </si>
  <si>
    <t>AD202601140075788</t>
  </si>
  <si>
    <t>AD202601140075805</t>
  </si>
  <si>
    <t>AD202601140075813</t>
  </si>
  <si>
    <t>AD202601140076009</t>
  </si>
  <si>
    <t>AD202601140084893</t>
  </si>
  <si>
    <t>AD202601140084897</t>
  </si>
  <si>
    <t>AD202601160042824</t>
  </si>
  <si>
    <t>AD202601160050747</t>
  </si>
  <si>
    <t>AD202601160055684</t>
  </si>
  <si>
    <t>AD202601190000443</t>
  </si>
  <si>
    <t>AD202601190095596</t>
  </si>
  <si>
    <t>AD202601190096938</t>
  </si>
  <si>
    <t>AD202601190099633</t>
  </si>
  <si>
    <t>AD202601200023571</t>
  </si>
  <si>
    <t>AD202601200023945</t>
  </si>
  <si>
    <t>AD202601200031004</t>
  </si>
  <si>
    <t>AD202601200032928</t>
  </si>
  <si>
    <t>AD202601210050127</t>
  </si>
  <si>
    <t>AD202601210050150</t>
  </si>
  <si>
    <t>AD202601210059672</t>
  </si>
  <si>
    <t>AD202601210060182</t>
  </si>
  <si>
    <t>AD202601210061503</t>
  </si>
  <si>
    <t>AD202601220089444</t>
  </si>
  <si>
    <t>AD202601220098076</t>
  </si>
  <si>
    <t>AD202601230011922</t>
  </si>
  <si>
    <t>AD202601230023318</t>
  </si>
  <si>
    <t>AD202601230028729</t>
  </si>
  <si>
    <t>AD202601240056449</t>
  </si>
  <si>
    <t>AD202601240058482</t>
  </si>
  <si>
    <t>AD202601260000010</t>
  </si>
  <si>
    <t>AD202601260002340</t>
  </si>
  <si>
    <t>AD202601260006551</t>
  </si>
  <si>
    <t>AD202601260099977</t>
  </si>
  <si>
    <t>AD202601270017372</t>
  </si>
  <si>
    <t>AD202601270017874</t>
  </si>
  <si>
    <t>AD202601280032535</t>
  </si>
  <si>
    <t>EPA202601050026215</t>
  </si>
  <si>
    <t>EPA202601050026277</t>
  </si>
  <si>
    <t>EPA202601050026938</t>
  </si>
  <si>
    <t>EPA202601050028136</t>
  </si>
  <si>
    <t>EPA202601060045373</t>
  </si>
  <si>
    <t>EPA202601060045569</t>
  </si>
  <si>
    <t>EPA202601060046373</t>
  </si>
  <si>
    <t>EPA202601060046547</t>
  </si>
  <si>
    <t>EPA202601140071716</t>
  </si>
  <si>
    <t>EPA202601140071733</t>
  </si>
  <si>
    <t>EPA202601140071763</t>
  </si>
  <si>
    <t>EPA202601140071825</t>
  </si>
  <si>
    <t>EPA202601140071847</t>
  </si>
  <si>
    <t>EPA202601140071874</t>
  </si>
  <si>
    <t>EPA202601240054837</t>
  </si>
  <si>
    <t>GLE202601190094432</t>
  </si>
  <si>
    <t>GLE202601190095202</t>
  </si>
  <si>
    <t>GLN202601070079997</t>
  </si>
  <si>
    <t>GLN202601080014189</t>
  </si>
  <si>
    <t>GLN202601130032988</t>
  </si>
  <si>
    <t>KWA202601060049683</t>
  </si>
  <si>
    <t>KWA202601080021137</t>
  </si>
  <si>
    <t>KWA202601080025645</t>
  </si>
  <si>
    <t>KWA202601090055368</t>
  </si>
  <si>
    <t>KWA202601130042520</t>
  </si>
  <si>
    <t>KWA202601140081731</t>
  </si>
  <si>
    <t>KWA202601200030100</t>
  </si>
  <si>
    <t>KWA202601220094306</t>
  </si>
  <si>
    <t>KWA202601260005143</t>
  </si>
  <si>
    <t>MTE202512260095561</t>
  </si>
  <si>
    <t>MTE202512290052572</t>
  </si>
  <si>
    <t>MTE202512300002536</t>
  </si>
  <si>
    <t>MTE202512310054730</t>
  </si>
  <si>
    <t>MTE202601060054965</t>
  </si>
  <si>
    <t>MTE202601120002004</t>
  </si>
  <si>
    <t>MTE202601130034119</t>
  </si>
  <si>
    <t>MTE202601130037564</t>
  </si>
  <si>
    <t>MTE202601190095584</t>
  </si>
  <si>
    <t>MWI202512150060311</t>
  </si>
  <si>
    <t>MWI202512290052492</t>
  </si>
  <si>
    <t>MWI202601240063185</t>
  </si>
  <si>
    <t>NCH202601090045463</t>
  </si>
  <si>
    <t>NCH202601140074348</t>
  </si>
  <si>
    <t>NCH202601140082710</t>
  </si>
  <si>
    <t>NCH202601140082741</t>
  </si>
  <si>
    <t>NCH202601140083093</t>
  </si>
  <si>
    <t>NCH202601140086622</t>
  </si>
  <si>
    <t>NCH202601200024094</t>
  </si>
  <si>
    <t>NCH202601220097779</t>
  </si>
  <si>
    <t>NCH202601230027890</t>
  </si>
  <si>
    <t>NGP202601130034230</t>
  </si>
  <si>
    <t>NGP202601140084196</t>
  </si>
  <si>
    <t>NGP202601140084197</t>
  </si>
  <si>
    <t>NGP202601140084215</t>
  </si>
  <si>
    <t>NGP202601160044717</t>
  </si>
  <si>
    <t>PDY202601210049902</t>
  </si>
  <si>
    <t>TBT202512290051202</t>
  </si>
  <si>
    <t>TBT202512290058675</t>
  </si>
  <si>
    <t>TBT202512300012294</t>
  </si>
  <si>
    <t>TBT202601020010474</t>
  </si>
  <si>
    <t>TBT202601060044780</t>
  </si>
  <si>
    <t>TBT202601060044817</t>
  </si>
  <si>
    <t>TBT202601090041863</t>
  </si>
  <si>
    <t>TBT202601120011285</t>
  </si>
  <si>
    <t>TBT202601130045354</t>
  </si>
  <si>
    <t>TBT202601140071439</t>
  </si>
  <si>
    <t>TBT202601140071531</t>
  </si>
  <si>
    <t>TBT202601140083643</t>
  </si>
  <si>
    <t>TBT202601160053402</t>
  </si>
  <si>
    <t>TBT202601160060286</t>
  </si>
  <si>
    <t>TBT202601190095616</t>
  </si>
  <si>
    <t>TBT202601200032282</t>
  </si>
  <si>
    <t>TBT202601210056742</t>
  </si>
  <si>
    <t>TBT202601210058248</t>
  </si>
  <si>
    <t>TBT202601220087084</t>
  </si>
  <si>
    <t>TBT202601230020275</t>
  </si>
  <si>
    <t>Mr . M A L L Dewmina</t>
  </si>
  <si>
    <t>Gagana Resort Nagadeepa Mawatha Jaffna Junction, Anuradhapura</t>
  </si>
  <si>
    <t>CREATE</t>
  </si>
  <si>
    <t>AD-JFJ-0566</t>
  </si>
  <si>
    <t>Mrs P. Kumari</t>
  </si>
  <si>
    <t>466/B  Godage Mawatha  2nd Stage  Anuradhapura</t>
  </si>
  <si>
    <t>AD-NBS-0514</t>
  </si>
  <si>
    <t>VU HARSHANI ANURADHA</t>
  </si>
  <si>
    <t>Growinar Salon    Unagaswewa Junction  Kandy Road  Anuradhapura</t>
  </si>
  <si>
    <t>MODIFY-LOCATION</t>
  </si>
  <si>
    <t>AD-APR-0596</t>
  </si>
  <si>
    <t>Ms W. A. P. Pabasara</t>
  </si>
  <si>
    <t>No 562/133A  Technical Side  Dahaiyagama  Anuradhapura</t>
  </si>
  <si>
    <t>AD-JYM-0593</t>
  </si>
  <si>
    <t>Mr P. H. T. Udaya Priyantha</t>
  </si>
  <si>
    <t>Wadakada Sravasthipura</t>
  </si>
  <si>
    <t>AD-FCJ-0589</t>
  </si>
  <si>
    <t>MR C K ILANGASINGHE</t>
  </si>
  <si>
    <t>No:1041 Stage 2  Anuradhapura</t>
  </si>
  <si>
    <t>AD-SGB-0615</t>
  </si>
  <si>
    <t>Mr G. Premasiri</t>
  </si>
  <si>
    <t>88 Wewa Road Thannayamkulama Anuradhapura</t>
  </si>
  <si>
    <t>AD-YHM-0563</t>
  </si>
  <si>
    <t>Mr G. L. A. G. S. D. Wijerathna</t>
  </si>
  <si>
    <t>No:2762 Stage 2  Anuradhapura</t>
  </si>
  <si>
    <t>AD-TLK-0614</t>
  </si>
  <si>
    <t>MR S H A N LAKMAL</t>
  </si>
  <si>
    <t>239 Jayasiripura  Anuradhapura</t>
  </si>
  <si>
    <t>CREATE-UPGRD SAME NO</t>
  </si>
  <si>
    <t>AD-PBR-0528</t>
  </si>
  <si>
    <t>Mr.A.U.Dayananda</t>
  </si>
  <si>
    <t>No. 238 Thammanapura  Anuradhapura</t>
  </si>
  <si>
    <t>TBT-JMJ-0507</t>
  </si>
  <si>
    <t>Mr S. Dharma Sri</t>
  </si>
  <si>
    <t>Prime North Star 04 Jaffna Junction Anuradhapura</t>
  </si>
  <si>
    <t>MR S S S SOMAPALA</t>
  </si>
  <si>
    <t>S N S Motors  Anuradhapura Road Rambewa</t>
  </si>
  <si>
    <t>MTE-RWJ-0504</t>
  </si>
  <si>
    <t>Regional Commissioner Of Revenue</t>
  </si>
  <si>
    <t>Department Of Provincila Revenue, 78 Darmapala Mawatha Anuradhapura</t>
  </si>
  <si>
    <t>AD-WBJ-0509</t>
  </si>
  <si>
    <t>Ms H. T. K. D. Silva</t>
  </si>
  <si>
    <t>No 375  II Stage  Bodhirajapura  Mihinthala Road  Kurundankulama</t>
  </si>
  <si>
    <t>AD-MTJ-0562</t>
  </si>
  <si>
    <t>MINISRTY OF H C &amp; S - NCPC</t>
  </si>
  <si>
    <t>AD-DFA-0500</t>
  </si>
  <si>
    <t>Mr . K.A Sisira Jayantha</t>
  </si>
  <si>
    <t>561/87 N 3rd Lane New Town  Anuradhapura</t>
  </si>
  <si>
    <t>AD-NBS-0621</t>
  </si>
  <si>
    <t>MR I S AMARASINGHA</t>
  </si>
  <si>
    <t>632/259 Wanniyankulama Anuradhapura</t>
  </si>
  <si>
    <t>AD-NNP-0610</t>
  </si>
  <si>
    <t>Mr.D.M.S.Bandara</t>
  </si>
  <si>
    <t>Vijerama Road - Perimiyankulama Anuradhapura</t>
  </si>
  <si>
    <t>AD-SMM-0568</t>
  </si>
  <si>
    <t xml:space="preserve"> Anuradhapura</t>
  </si>
  <si>
    <t>TAGMA MOTOR ENTERPRISES</t>
  </si>
  <si>
    <t>512-5 Freeman Street  Anuradhapura</t>
  </si>
  <si>
    <t xml:space="preserve">Mr H M L Bandara </t>
  </si>
  <si>
    <t>365/D Nagasena Mawatha  Anuradhapura</t>
  </si>
  <si>
    <t>AD-MIJ-0618</t>
  </si>
  <si>
    <t>Mr N. S. P. Nipun Shantha</t>
  </si>
  <si>
    <t>Doramadalawa Road Gonewa Rambewa</t>
  </si>
  <si>
    <t>MTE</t>
  </si>
  <si>
    <t>MTE-GNJ-0553</t>
  </si>
  <si>
    <t>M/S. Pelwatte Dairy Industries Ltd</t>
  </si>
  <si>
    <t>Hela Mithuru Business Forum, Kekirawa Town Kekirawa</t>
  </si>
  <si>
    <t>KWA</t>
  </si>
  <si>
    <t>KWA-DFA-0500</t>
  </si>
  <si>
    <t>MR K M DILSHAN</t>
  </si>
  <si>
    <t>In Front Of Filling Station Galnewa</t>
  </si>
  <si>
    <t>GLN</t>
  </si>
  <si>
    <t>GLN-DFA-0500</t>
  </si>
  <si>
    <t>Mr A R S Amarathunga</t>
  </si>
  <si>
    <t>Oshaka Stores - Jaffna Road Rambewa</t>
  </si>
  <si>
    <t>Mr K. Silva</t>
  </si>
  <si>
    <t>Kannattiya Mihintala Road Mihintale</t>
  </si>
  <si>
    <t>MTE-RUH-0503</t>
  </si>
  <si>
    <t>Saranga Senevirathne</t>
  </si>
  <si>
    <t>No 29 - Abathalagama Mihintale</t>
  </si>
  <si>
    <t>R.J.N.C.Priyadharshana</t>
  </si>
  <si>
    <t>No 102 - Trincomale Road Mihintale</t>
  </si>
  <si>
    <t>AD-KRK-0561</t>
  </si>
  <si>
    <t>Mr.A.D.S.Ekanayake</t>
  </si>
  <si>
    <t>"Ekanayaka" - Sirimapura Tambuttegama</t>
  </si>
  <si>
    <t>TBT</t>
  </si>
  <si>
    <t>TBT-SPJ-0504</t>
  </si>
  <si>
    <t>Mr.T.M.S.K.Thilakarathne</t>
  </si>
  <si>
    <t>No - 177 - Thibirikadawala Anuradhapura</t>
  </si>
  <si>
    <t>DR MS. H.D.P.FERNANDO</t>
  </si>
  <si>
    <t>516/49 - Udaya Mawatha Anuradhapura</t>
  </si>
  <si>
    <t>AD-TCR-0517</t>
  </si>
  <si>
    <t>Sobaya Agro (PVT) LTD</t>
  </si>
  <si>
    <t>Second Mile Post Puttalam Road Anuradhapura</t>
  </si>
  <si>
    <t>AD-PTJ-0591</t>
  </si>
  <si>
    <t>Ms D. D. K. Sugathadasa</t>
  </si>
  <si>
    <t>3133 Pubudu Mawatha  Anuradhapura</t>
  </si>
  <si>
    <t>AD-MUJ-0616</t>
  </si>
  <si>
    <t>Ms J. J. Fhirnas</t>
  </si>
  <si>
    <t>No- 342/1 Temple Rd  Medawachchiya</t>
  </si>
  <si>
    <t>MWI</t>
  </si>
  <si>
    <t>MWI-MST-0502</t>
  </si>
  <si>
    <t>MR D U D WICKRAMARACHCHI</t>
  </si>
  <si>
    <t>539/1  Wanniyamkulama  Airport Road  Anuradhapura</t>
  </si>
  <si>
    <t>AD-NAC-0597</t>
  </si>
  <si>
    <t>Ms N. L. Sirisena</t>
  </si>
  <si>
    <t>No 69A - Police Road Eppawala</t>
  </si>
  <si>
    <t>EPA</t>
  </si>
  <si>
    <t>EPA-DFA-0500</t>
  </si>
  <si>
    <t>Mr.E M A M K Jayasundara</t>
  </si>
  <si>
    <t>Ayurweda Road Galawewa Galadiulwewa Nochchiyagama</t>
  </si>
  <si>
    <t>NCH</t>
  </si>
  <si>
    <t>TBT-GDW-0571</t>
  </si>
  <si>
    <t>Mr W. M. P. I. T. Wickramasingha</t>
  </si>
  <si>
    <t>Nabadawewa Rd Morogoda Talawa</t>
  </si>
  <si>
    <t>TBT-NWJ-0557</t>
  </si>
  <si>
    <t>Mr G L Gunawardana</t>
  </si>
  <si>
    <t>99 - Kawarakkulama Junction Anuradhapura</t>
  </si>
  <si>
    <t>AD-KLW-0529</t>
  </si>
  <si>
    <t>Director</t>
  </si>
  <si>
    <t>Elite Travels (Pvt)  Ltd  523/13  D S Senanayake Mawatha  Stage 2  Anuradhapura</t>
  </si>
  <si>
    <t>Mr K. P. M. D. S. Karunanayake</t>
  </si>
  <si>
    <t>No 533  Janahitha Mawatha Pothunegama Anuradhapura</t>
  </si>
  <si>
    <t>CREATE-OR</t>
  </si>
  <si>
    <t>Ms T L Nayana Preethi Kumari</t>
  </si>
  <si>
    <t>Endagala Eppawala</t>
  </si>
  <si>
    <t>EPA-SSV-0521</t>
  </si>
  <si>
    <t>Sajee Foreign Employment Agency</t>
  </si>
  <si>
    <t>No 561/45 Near The Public Fair, 1st Lane Stage 02 Anuradhapura</t>
  </si>
  <si>
    <t>Divisional Secretariat</t>
  </si>
  <si>
    <t xml:space="preserve">DS Office Medawachchiya </t>
  </si>
  <si>
    <t>MWI-DFA-0500</t>
  </si>
  <si>
    <t>Ms A. W. N. N. Wijayarathna</t>
  </si>
  <si>
    <t>Nadeeshani Stores - Endagala Junction Eppawala</t>
  </si>
  <si>
    <t>Education Office</t>
  </si>
  <si>
    <t>Tambuttegama</t>
  </si>
  <si>
    <t>TBT-DFA-0500</t>
  </si>
  <si>
    <t>MRS.L.B.A.PEIRIS</t>
  </si>
  <si>
    <t>Ratnawila Endagala Eppawala</t>
  </si>
  <si>
    <t>Ms K G Siriseelee</t>
  </si>
  <si>
    <t>5th Mile Post Tambuttegama</t>
  </si>
  <si>
    <t>TBT-FMP-0503</t>
  </si>
  <si>
    <t>Ms P. J. Rathnayake</t>
  </si>
  <si>
    <t>Galawewa Galadivulwewa</t>
  </si>
  <si>
    <t>Mr W G S Manjula Kumara</t>
  </si>
  <si>
    <t>No 08  Buddagaya Mw Gewal 55  Anuradhapura</t>
  </si>
  <si>
    <t>Ms T. W. G. S. U. Chandrasiri</t>
  </si>
  <si>
    <t>No 404/2/219 - Kothmalpura Tambuttegama</t>
  </si>
  <si>
    <t>TBT-NLT-0587</t>
  </si>
  <si>
    <t>Ceylon Electricity Board</t>
  </si>
  <si>
    <t>Circuit Bunglow - Dharmapala Mawatha Anuradhapura</t>
  </si>
  <si>
    <t>MR H M T WIJESENA</t>
  </si>
  <si>
    <t>57 Koonwewa Road Eppawala</t>
  </si>
  <si>
    <t>Tech Gallery(PVT) Ltd</t>
  </si>
  <si>
    <t>No 561/71/3 Ist Lane New Bus Stand Anuradhapura</t>
  </si>
  <si>
    <t>TASW KUMARA</t>
  </si>
  <si>
    <t>194/4 A Police Junction Eppawala</t>
  </si>
  <si>
    <t>Ms S. R. W. M. N. Priyadarshani</t>
  </si>
  <si>
    <t>155  Jaffna Road  Bandarapuliyankulama  Anuradhapura</t>
  </si>
  <si>
    <t>AD-AFR-0559</t>
  </si>
  <si>
    <t>Mr R. M. W. P. Rajapaksha</t>
  </si>
  <si>
    <t>Pathum Rice Mill Mihidupura Endagala Eppawala</t>
  </si>
  <si>
    <t>Miss S. M. Dinesha Lakmali</t>
  </si>
  <si>
    <t>No 413/2 Udunuwara Janapadaya Mihiripura Nochchiyagama</t>
  </si>
  <si>
    <t>TBT-MHP-0572</t>
  </si>
  <si>
    <t>G S D Eco Lodge</t>
  </si>
  <si>
    <t>21/A, Water Tank Road Puliyankulama Saliyapura</t>
  </si>
  <si>
    <t>AD-PKJ-0558</t>
  </si>
  <si>
    <t>Mrs L . Liyanage</t>
  </si>
  <si>
    <t>07 Temple Road Galnewa</t>
  </si>
  <si>
    <t>Mr B T J Perera</t>
  </si>
  <si>
    <t>Galkadawala Road Katukeliyawa Anuradhapura</t>
  </si>
  <si>
    <t>AD-KTR-0571</t>
  </si>
  <si>
    <t>Mr . P A W Ruwan Sameera</t>
  </si>
  <si>
    <t>127/7A - Market Side Anuradhapura</t>
  </si>
  <si>
    <t>AD-OBS-0515</t>
  </si>
  <si>
    <t>Mr D. T. Jayasinghe</t>
  </si>
  <si>
    <t>03 Mile Post - Vilchchi Road Elayapattuwa</t>
  </si>
  <si>
    <t>AD-SPD-0578</t>
  </si>
  <si>
    <t>A/Periyakulama Maha Vidyalaya</t>
  </si>
  <si>
    <t>Periyakulama Maradankadawala</t>
  </si>
  <si>
    <t>TRP-UKM-0556</t>
  </si>
  <si>
    <t>MR M T M S SADATH</t>
  </si>
  <si>
    <t>Ramul Icram Koatnana Muslim Colony Nochchiyagama</t>
  </si>
  <si>
    <t>NCH-DFA-0500</t>
  </si>
  <si>
    <t>Mr D G Chandrasekara</t>
  </si>
  <si>
    <t>Indunila Mega Centre - Jaffna Road Rambewa</t>
  </si>
  <si>
    <t>NEW VICTORIAS (PRIVATE) LIMITED</t>
  </si>
  <si>
    <t>K.B Wine City No: 14 Dambulla Road Kekirawa</t>
  </si>
  <si>
    <t>KWA-GWR-0508</t>
  </si>
  <si>
    <t>Mr . A G H L Sri Kantha</t>
  </si>
  <si>
    <t>Lankarama Road - Bandarabulankulama Anuradhapura</t>
  </si>
  <si>
    <t>Ms T. C. R. Kusumalatha</t>
  </si>
  <si>
    <t>No: 03 - Yaya 01 Rajanganaya</t>
  </si>
  <si>
    <t>TBT-DSR-0594</t>
  </si>
  <si>
    <t>Ms S. M. S. Senavirathna</t>
  </si>
  <si>
    <t>No 19 - Deepthigama Galkadawala</t>
  </si>
  <si>
    <t>AD-KTJ-0570</t>
  </si>
  <si>
    <t>Mr S. M. Fiyas</t>
  </si>
  <si>
    <t>No.624/A Godage Mawatha Stage 2 Anuradhapura</t>
  </si>
  <si>
    <t>AD-GDM-0620</t>
  </si>
  <si>
    <t>MR P F L N NANDASINGHA</t>
  </si>
  <si>
    <t>NO 03 Ranketha 03 Rd Mile Post Sravasthipura</t>
  </si>
  <si>
    <t>Ms P S Dharshani</t>
  </si>
  <si>
    <t>24 Economic Centre Tambuttegama</t>
  </si>
  <si>
    <t>Mr G R Chandimal</t>
  </si>
  <si>
    <t>338/12 2nd Floor, Pan Asia Bank Upper Floor Main Street Anuradhapura</t>
  </si>
  <si>
    <t>Mr.Y K G L K Premawansha</t>
  </si>
  <si>
    <t>Anuradhapura Rd - Thalawa Anuradhapura</t>
  </si>
  <si>
    <t>TBT-TLJ-0558</t>
  </si>
  <si>
    <t>Mrs P. Aththanayake</t>
  </si>
  <si>
    <t>Kada 12 - Court Place Anuradhapura</t>
  </si>
  <si>
    <t>Mr J. Chandimal</t>
  </si>
  <si>
    <t>No 272/2 - Nawagaththegama Road Tambuttegama</t>
  </si>
  <si>
    <t>Indunil Niwasa, Jaffna Road Rambewa</t>
  </si>
  <si>
    <t>Mrs J. H. A. Wasanthi Chathurani</t>
  </si>
  <si>
    <t>No 6 1/4 Mile Post Moragoda Talawa</t>
  </si>
  <si>
    <t>Ms H. M. D. D. Herath</t>
  </si>
  <si>
    <t>72 Police Rd Eppawala</t>
  </si>
  <si>
    <t>Mr H. S. B. Hewapathirana</t>
  </si>
  <si>
    <t>04 Behind The Police Rd, Eppawala</t>
  </si>
  <si>
    <t>Mr D. S. S. Senanayake</t>
  </si>
  <si>
    <t>Endhagala Junction Anuradhapura</t>
  </si>
  <si>
    <t>Mr N. S. Kulathunga</t>
  </si>
  <si>
    <t>1191/199B Upper Floor Mailagas Junction Anuradhapura</t>
  </si>
  <si>
    <t>AD-MIJ-0512</t>
  </si>
  <si>
    <t>Mr Y S.Kevitiyagala</t>
  </si>
  <si>
    <t>Singer Showroom 561/16 New Bus Stand Anuradhapura</t>
  </si>
  <si>
    <t>Mr H M Wickramasinghe</t>
  </si>
  <si>
    <t>Wickramasinghe Stores, Nedinnoruwa Meegalawa</t>
  </si>
  <si>
    <t>EPA-MGL-0502</t>
  </si>
  <si>
    <t>DR MS H. D. P. FERNANDO</t>
  </si>
  <si>
    <t>No 516/49 - Udaya Mawatha Anuradhapura</t>
  </si>
  <si>
    <t>Ms K. A. N. Perera</t>
  </si>
  <si>
    <t>Kudapaladikulama Anuradhapura</t>
  </si>
  <si>
    <t>Mr S. D. R. S. Premarathna</t>
  </si>
  <si>
    <t>Kahatagollewa Kebithigollewa</t>
  </si>
  <si>
    <t>PDY</t>
  </si>
  <si>
    <t>PDY-KHG-0508</t>
  </si>
  <si>
    <t>Ms A. M. L. K. Wijethunga</t>
  </si>
  <si>
    <t>Maha Yaya Road - Karambewa Kalakarambewa</t>
  </si>
  <si>
    <t>GLN-KRB-0501</t>
  </si>
  <si>
    <t>Mr I. G. T. D. W. B. Jayawardhana</t>
  </si>
  <si>
    <t>South Light Line - Abathalagama Mihintale</t>
  </si>
  <si>
    <t>Mr K A Nihal</t>
  </si>
  <si>
    <t>No 170 Rejina Junction Tambuttegama</t>
  </si>
  <si>
    <t>D.M.N.M. BANDARA</t>
  </si>
  <si>
    <t>Jaya Sevana - Galmediyawa Negampaha</t>
  </si>
  <si>
    <t>NGP</t>
  </si>
  <si>
    <t>NGP-NGP-0502</t>
  </si>
  <si>
    <t>Mr Divisional Officer</t>
  </si>
  <si>
    <t>Agrain Service Centre Negampaha</t>
  </si>
  <si>
    <t>Ms W. G. A. P. Bandara</t>
  </si>
  <si>
    <t>259/640C Bandaranayaka Mv Wijayapura Anuradhapura</t>
  </si>
  <si>
    <t>AD-BNM-0611</t>
  </si>
  <si>
    <t>Mr A. D. M. Abeykoon</t>
  </si>
  <si>
    <t>52/12 - Abhayawewa Anuradhapura</t>
  </si>
  <si>
    <t>AD-ABW-0580</t>
  </si>
  <si>
    <t>Mr K S D Kumarasingha</t>
  </si>
  <si>
    <t>4th Lane - Bodirajapura, Kurundankulama</t>
  </si>
  <si>
    <t>Herath Agri Service Center</t>
  </si>
  <si>
    <t>Medinnoruwa Junction Meegalewa</t>
  </si>
  <si>
    <t>Mrs S D Abeyrathna Bandara</t>
  </si>
  <si>
    <t>4th Mile Resort 4th Post Saliyapura Saliyapura</t>
  </si>
  <si>
    <t>Ms H. M. W. P. Karunanayaka</t>
  </si>
  <si>
    <t>Andarawewa Nochchiyagama</t>
  </si>
  <si>
    <t>NCH-GLJ-0505</t>
  </si>
  <si>
    <t>Principal - Mazenod College</t>
  </si>
  <si>
    <t>Mazenod College - 5th Canal Sravasthipura</t>
  </si>
  <si>
    <t>Mr R. K. Senarathna</t>
  </si>
  <si>
    <t>No 319 Nuwarawewa Estate Jaffna Junction Anuradhapura</t>
  </si>
  <si>
    <t>AD-JFJ-0502</t>
  </si>
  <si>
    <t>Ms R. H. M. Nadeeka Shyamali Herath</t>
  </si>
  <si>
    <t>99 - Medinnoruwa Junction Road Meegalawa</t>
  </si>
  <si>
    <t>Ms S. A. R. K. Lanka</t>
  </si>
  <si>
    <t>Mr A. H. T. S. Priyankara</t>
  </si>
  <si>
    <t>Andarawewa - Adampane Nochchiyagama</t>
  </si>
  <si>
    <t>Mr W. M. WIJESINGHA</t>
  </si>
  <si>
    <t>104 - Medinnoruwa Junction Meegalawa</t>
  </si>
  <si>
    <t>Inland Revenu Department - NCP</t>
  </si>
  <si>
    <t>Regional Office - Inland Revenue Department Anuradhapura</t>
  </si>
  <si>
    <t>Ms R. A. Chanika Preethi Ranasingha</t>
  </si>
  <si>
    <t>G S Mart Weliyawa Madinnoruwa Meegalawa</t>
  </si>
  <si>
    <t>Upul Construction</t>
  </si>
  <si>
    <t>396/1 Matale Road Kurundankulama</t>
  </si>
  <si>
    <t>AD-SVK-0560</t>
  </si>
  <si>
    <t>Ms W. P. G. S. K. Wijerathna</t>
  </si>
  <si>
    <t>103 - Madinnoruwa Junction Meegalawa</t>
  </si>
  <si>
    <t>Mr A. H. T. P. Dharshana</t>
  </si>
  <si>
    <t>"Muthumal" - Andarawewa Nochchiyagama</t>
  </si>
  <si>
    <t>KSA KARUNADASA</t>
  </si>
  <si>
    <t>409/01/66 - Kongollewa Talawa</t>
  </si>
  <si>
    <t>TBT-KML-0503</t>
  </si>
  <si>
    <t>Mr M A R Jayawardena</t>
  </si>
  <si>
    <t>Andarawewaa Nochchiyagama</t>
  </si>
  <si>
    <t>Mr R Jagoda Arachchi</t>
  </si>
  <si>
    <t>287M Mihinthala Road Anuradhapura</t>
  </si>
  <si>
    <t>Ms N. P. Chandrasekara</t>
  </si>
  <si>
    <t>School Road Wahamalgollewa</t>
  </si>
  <si>
    <t>MWI-WMJ-0506</t>
  </si>
  <si>
    <t>Aggabrew Pvt Ltd</t>
  </si>
  <si>
    <t>Barista Coffee 519/G 23 Jayanthia Mawatha Anuradhapura</t>
  </si>
  <si>
    <t>Mr E M S I T Ekanayake</t>
  </si>
  <si>
    <t>Kala-Medawachchiya Negampaha</t>
  </si>
  <si>
    <t>Mr K. D. M. P. Ekanayake</t>
  </si>
  <si>
    <t>Kala Medawachchiya - Negampaha</t>
  </si>
  <si>
    <t>Rev Viharadhipathi</t>
  </si>
  <si>
    <t>Shailabimbaramaya - Andarawewa Nochchiyagama</t>
  </si>
  <si>
    <t>Mr E. M. R. Ekanayake</t>
  </si>
  <si>
    <t>ABC Capital &amp; Investment (PVT) Ltd</t>
  </si>
  <si>
    <t>No 1191/203B Stage 02 Mailagas Juntion Anuradhapura</t>
  </si>
  <si>
    <t>Ms A. Eshani</t>
  </si>
  <si>
    <t>Pothanegama,anuradhapuara, Thissa Mawatha Anuradhapura</t>
  </si>
  <si>
    <t>Mr T. Jayasooriya</t>
  </si>
  <si>
    <t>New Town - Kurunegala Road Tambuttegama</t>
  </si>
  <si>
    <t>TBT-MPT-0506</t>
  </si>
  <si>
    <t>Mr K R Dissanayaka</t>
  </si>
  <si>
    <t>No 395/15A/1/A Mudhitha Mawatha Stage I Anuradhapura</t>
  </si>
  <si>
    <t>AD-KDP-0510</t>
  </si>
  <si>
    <t>Mr S. M. R. Y. Senadeera</t>
  </si>
  <si>
    <t>645 - Near Tample Wahamalgollewa</t>
  </si>
  <si>
    <t>Mr H. W. Srimath Aluwihare</t>
  </si>
  <si>
    <t>25.1A Gammanaya, Adhiranigama Ihalahalmillewa Eppawala</t>
  </si>
  <si>
    <t>TBT-ADJ-0583</t>
  </si>
  <si>
    <t>Mr K R A N Suji Perera</t>
  </si>
  <si>
    <t>83/2 - Puliyan Kulama Saliyapura</t>
  </si>
  <si>
    <t>Mr V. DHAMMIKA</t>
  </si>
  <si>
    <t>76 - POLICE ROAD Eppawala</t>
  </si>
  <si>
    <t>Mr . D C Chathuranga Kaluarachchi</t>
  </si>
  <si>
    <t>Maha Viharaya Bomaluwa Temple Anuradhapura</t>
  </si>
  <si>
    <t>AD-ITJ-0622</t>
  </si>
  <si>
    <t>SK Munasinghe Motors</t>
  </si>
  <si>
    <t>No 521/72 6th Lane, New Bustand New Town Anuradhapura</t>
  </si>
  <si>
    <t>AD-DAJ-0507</t>
  </si>
  <si>
    <t>Mr H. R. Arukgoda</t>
  </si>
  <si>
    <t>No 7 - Dambulla Road Kekirawa</t>
  </si>
  <si>
    <t>KWA-TBT-0565</t>
  </si>
  <si>
    <t>Mr S. A. S. Perera</t>
  </si>
  <si>
    <t>Baladaksha MV - Galkadawala Anuradhapura</t>
  </si>
  <si>
    <t>NIL MANEL TOURISTS</t>
  </si>
  <si>
    <t>No 600 A1 - Air Port Roard Anuradhapura</t>
  </si>
  <si>
    <t>AD-TKR-0600</t>
  </si>
  <si>
    <t>Mr D M Ariyarathna</t>
  </si>
  <si>
    <t>Naveen Yodaela Road Alankulama,Srawasthipura Anuradhapura</t>
  </si>
  <si>
    <t>AD-PLJ-0590</t>
  </si>
  <si>
    <t>Mr R. W. M. Shashika</t>
  </si>
  <si>
    <t>Nuwana Educational Center, Kandy Road Medawachchiya</t>
  </si>
  <si>
    <t>Ms H. M. R. P. Karunarathne</t>
  </si>
  <si>
    <t>No 10 1 Gammanaya Adiranigama Eppawala</t>
  </si>
  <si>
    <t>Mr A N M Sahid</t>
  </si>
  <si>
    <t>167 Maradankadawa Road Kekirawa</t>
  </si>
  <si>
    <t>KWA-MWJ-0506</t>
  </si>
  <si>
    <t>Mr H . A . L . Prasad</t>
  </si>
  <si>
    <t>39 Jaffna Junction Anuradhapura</t>
  </si>
  <si>
    <t>Mr W. G. Rohana</t>
  </si>
  <si>
    <t>Andarawewa - Adampane Junction Nochchiyagama</t>
  </si>
  <si>
    <t>MR H A C PRASAD</t>
  </si>
  <si>
    <t>Opposite Veterinary Office Ihala Wetiyawa Nochchiyagama</t>
  </si>
  <si>
    <t>NCH-NBT-0502</t>
  </si>
  <si>
    <t>Ms S A Premalatha</t>
  </si>
  <si>
    <t>Gramaprodha Mawatha - Vilachchi Road Anuradhapura</t>
  </si>
  <si>
    <t>Mr Officer Incharge</t>
  </si>
  <si>
    <t>Police Cct Bungalow The Centuary Metta Mawatha Kadapanaha Anuradhapura</t>
  </si>
  <si>
    <t>AD-KDP-0603</t>
  </si>
  <si>
    <t>Mr . H.G.C.Jayampathi</t>
  </si>
  <si>
    <t>65 Junction - Maradankadawala Maradankadawala</t>
  </si>
  <si>
    <t>KWA-MRJ-0581</t>
  </si>
  <si>
    <t>Mr P. B. A. Senewirathna</t>
  </si>
  <si>
    <t>No - 157 Track 02 Left Bank Mahakanadarawa Rambewa</t>
  </si>
  <si>
    <t>MTE-MKW-0557</t>
  </si>
  <si>
    <t>Medicx Medical Laboratory</t>
  </si>
  <si>
    <t>Opposite Base Hospital, Hospital Road Tambuttegama</t>
  </si>
  <si>
    <t>Mr S M M H Premarathna</t>
  </si>
  <si>
    <t>Thawalanhalmillewa - Kandy Road Maradankadawala</t>
  </si>
  <si>
    <t>Ms K. A. Rasika Sandamali</t>
  </si>
  <si>
    <t>3 - Alankulama Anuradhapura</t>
  </si>
  <si>
    <t>Mr R. M. Pramod Dananjaya</t>
  </si>
  <si>
    <t>No.127 Bandaanayaka Mw Vijayapura Anuradhapura</t>
  </si>
  <si>
    <t>AD-WJA-0595</t>
  </si>
  <si>
    <t>DEV TARINING UNIT</t>
  </si>
  <si>
    <t>05 Arippu Road Anuradhapura</t>
  </si>
  <si>
    <t>AD-SAR-0585</t>
  </si>
  <si>
    <t>MR D A KAHINGALA</t>
  </si>
  <si>
    <t>9/488 The Eiffel Complex Maithripala Senanayaka Mawatha Anuradhapura</t>
  </si>
  <si>
    <t>Mr . M A Herath</t>
  </si>
  <si>
    <t>164/1 Dewalaya Road, Wijaya Mawatha Isurup[ura Anuradhapura</t>
  </si>
  <si>
    <t>AD-JMW-0601</t>
  </si>
  <si>
    <t>Sri Lanka Mahaweli Authority</t>
  </si>
  <si>
    <t>Elahera Project - Mahaweli Authority Madatugama</t>
  </si>
  <si>
    <t>KWA-KGJ-0557</t>
  </si>
  <si>
    <t>Ms C. A. Kulathunga</t>
  </si>
  <si>
    <t>No 616/A Galenbidunuwewa Road Kanadara Rathmale Upuldeniya</t>
  </si>
  <si>
    <t>GLE</t>
  </si>
  <si>
    <t>GLE-UPJ-0502</t>
  </si>
  <si>
    <t>Mr G. N. Gunawardana</t>
  </si>
  <si>
    <t>Skyline Book Shop - Horawila Palugaswewa</t>
  </si>
  <si>
    <t>KWA-HWG-0588</t>
  </si>
  <si>
    <t>Mr S. Drashana Kumara</t>
  </si>
  <si>
    <t>506 Nuwara Wewa Road Jaffana Road Anuradhapura</t>
  </si>
  <si>
    <t>REV M. A. Thero</t>
  </si>
  <si>
    <t>Infront Cemetry Galkadawala Road Galkadawala</t>
  </si>
  <si>
    <t>AD-GKW-0567</t>
  </si>
  <si>
    <t>Mr W. S. Gihan</t>
  </si>
  <si>
    <t>Studio Saaraa - Puttalam Road Saliyawewa Junction</t>
  </si>
  <si>
    <t>NCH-SWJ-0503</t>
  </si>
  <si>
    <t>Ms D. G. Somalatha</t>
  </si>
  <si>
    <t>Infront Of Cemetery - Galkadawala Road Galkadawala</t>
  </si>
  <si>
    <t>Mrs D. Pathmawathi</t>
  </si>
  <si>
    <t>Tract 08 - Ali Wanguwa Angamuwa</t>
  </si>
  <si>
    <t>TBT-TSA-0592</t>
  </si>
  <si>
    <t>Mr E. D. A. K. Ariyarathne</t>
  </si>
  <si>
    <t>Kanadara Rathmale - Upuldeniya</t>
  </si>
  <si>
    <t>POLE NUMBER</t>
  </si>
  <si>
    <t>NES-2199, 2227</t>
  </si>
  <si>
    <t>NES-2269</t>
  </si>
  <si>
    <t>NES-2193, 2201</t>
  </si>
  <si>
    <t>NES-2243, 2246</t>
  </si>
  <si>
    <t>GCE-996</t>
  </si>
  <si>
    <t>NES-2252, 2256</t>
  </si>
  <si>
    <t>NES-2261</t>
  </si>
  <si>
    <t>GCE-995</t>
  </si>
  <si>
    <t>NES-2266</t>
  </si>
  <si>
    <t>NES-2251, 2254</t>
  </si>
  <si>
    <t>NES-2198</t>
  </si>
  <si>
    <t>GCE-2518</t>
  </si>
  <si>
    <t>GCE-2509, 2561</t>
  </si>
  <si>
    <t>GCE-2462, 2463</t>
  </si>
  <si>
    <t>GCE-2347, 2358, 2368</t>
  </si>
  <si>
    <t>BEC-2393, 2433</t>
  </si>
  <si>
    <t>BEC-2334, 2359, 2369, 2448</t>
  </si>
  <si>
    <t>BEC-2488, 2489</t>
  </si>
  <si>
    <t>BEC-2357, 2436</t>
  </si>
  <si>
    <t>BEC-2341, 2434</t>
  </si>
  <si>
    <t>BEC- 2356, 2427</t>
  </si>
  <si>
    <t>BEC-2362, 2520</t>
  </si>
  <si>
    <t>BEC-2349</t>
  </si>
  <si>
    <t>BEC-2346, 2380</t>
  </si>
  <si>
    <t>6.7-BEC-2376, 8.0-AGGA-1521</t>
  </si>
  <si>
    <t>AGGA-1493</t>
  </si>
  <si>
    <t>BEC-2361, 2373</t>
  </si>
  <si>
    <t>BEC-2348, 2435</t>
  </si>
  <si>
    <t>BEC-2335, 2345</t>
  </si>
  <si>
    <t>BEC-2502</t>
  </si>
  <si>
    <t>AGGA-1523</t>
  </si>
  <si>
    <t>BEC-2394, 137</t>
  </si>
  <si>
    <t>BEC-2426, 2428</t>
  </si>
  <si>
    <t>BEC-136</t>
  </si>
  <si>
    <t>BEC-2490, 2516, 2523</t>
  </si>
  <si>
    <t>BEC-2374</t>
  </si>
  <si>
    <t>GCE-2450</t>
  </si>
  <si>
    <t>GCE-940</t>
  </si>
  <si>
    <t>GCE-2453, BEC-2342</t>
  </si>
  <si>
    <t>AGGA 1489</t>
  </si>
  <si>
    <t>AGGA-1521</t>
  </si>
  <si>
    <t>BEC-2376</t>
  </si>
  <si>
    <t>NES 2238</t>
  </si>
  <si>
    <t>BEC 2372</t>
  </si>
  <si>
    <t>BEC 135</t>
  </si>
  <si>
    <t>5.6-BEC 3370  , 8.0-AGGA 1489</t>
  </si>
  <si>
    <t xml:space="preserve">BEC 3370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</si>
</sst>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(* #,##0_);_(* \(#,##0\);_(* &quot;-&quot;_);_(@_)"/>
    <numFmt numFmtId="43" formatCode="_(* #,##0.00_);_(* \(#,##0.00\);_(* &quot;-&quot;??_);_(@_)"/>
    <numFmt numFmtId="164" formatCode="[$-409]d\-mmm\-yyyy;@"/>
    <numFmt numFmtId="165" formatCode="[$-409]d\-mmm\-yy;@"/>
    <numFmt numFmtId="166" formatCode="_(* #,##0_);_(* \(#,##0\);_(* &quot;-&quot;??_);_(@_)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Times New Roman"/>
      <family val="1"/>
    </font>
    <font>
      <b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indexed="8"/>
      <name val="Calibri"/>
      <family val="2"/>
      <charset val="134"/>
    </font>
    <font>
      <sz val="12"/>
      <color theme="1"/>
      <name val="Times New Roman"/>
      <family val="1"/>
    </font>
    <font>
      <sz val="14"/>
      <color theme="1"/>
      <name val="Times New Roman"/>
      <family val="1"/>
    </font>
    <font>
      <sz val="16"/>
      <color theme="1"/>
      <name val="Times New Roman"/>
      <family val="1"/>
    </font>
    <font>
      <sz val="16"/>
      <color theme="1"/>
      <name val="Calibri"/>
      <family val="2"/>
      <scheme val="minor"/>
    </font>
    <font>
      <b/>
      <sz val="16"/>
      <color theme="1"/>
      <name val="Times New Roman"/>
      <family val="1"/>
    </font>
    <font>
      <b/>
      <sz val="10"/>
      <color theme="1"/>
      <name val="Times New Roman"/>
      <family val="1"/>
    </font>
    <font>
      <sz val="36"/>
      <color theme="1"/>
      <name val="Times New Roman"/>
      <family val="1"/>
    </font>
    <font>
      <sz val="22"/>
      <color theme="1"/>
      <name val="Times New Roman"/>
      <family val="1"/>
    </font>
    <font>
      <sz val="24"/>
      <color theme="1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12"/>
      <color theme="1"/>
      <name val="Times New Roman"/>
      <family val="1"/>
    </font>
    <font>
      <b/>
      <sz val="2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sz val="20"/>
      <color theme="1"/>
      <name val="Times New Roman"/>
      <family val="1"/>
    </font>
    <font>
      <sz val="12"/>
      <color indexed="8"/>
      <name val="Times New Roman"/>
      <family val="1"/>
    </font>
    <font>
      <b/>
      <sz val="12"/>
      <color indexed="8"/>
      <name val="Times New Roman"/>
      <family val="1"/>
    </font>
    <font>
      <sz val="14"/>
      <name val="Times New Roman"/>
      <family val="1"/>
    </font>
    <font>
      <b/>
      <sz val="14"/>
      <name val="Times New Roman"/>
      <family val="1"/>
    </font>
    <font>
      <b/>
      <sz val="14"/>
      <color indexed="8"/>
      <name val="Times New Roman"/>
      <family val="1"/>
    </font>
    <font>
      <b/>
      <sz val="22"/>
      <color theme="1"/>
      <name val="Times New Roman"/>
      <family val="1"/>
    </font>
    <font>
      <sz val="11"/>
      <name val="Times New Roman"/>
      <family val="1"/>
    </font>
    <font>
      <i/>
      <sz val="14"/>
      <color theme="1"/>
      <name val="Times New Roman"/>
      <family val="1"/>
    </font>
    <font>
      <b/>
      <i/>
      <sz val="16"/>
      <name val="Times New Roman"/>
      <family val="1"/>
    </font>
    <font>
      <b/>
      <sz val="16"/>
      <name val="Times New Roman"/>
      <family val="1"/>
    </font>
    <font>
      <b/>
      <sz val="12"/>
      <color rgb="FF000000"/>
      <name val="Times New Roman"/>
      <family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theme="1"/>
      <name val="Times New Roman"/>
      <family val="1"/>
    </font>
    <font>
      <b/>
      <u/>
      <sz val="16"/>
      <color theme="1"/>
      <name val="Times New Roman"/>
      <family val="1"/>
    </font>
    <font>
      <b/>
      <sz val="18"/>
      <name val="Times New Roman"/>
      <family val="1"/>
    </font>
    <font>
      <b/>
      <sz val="20"/>
      <name val="Times New Roman"/>
      <family val="1"/>
    </font>
    <font>
      <sz val="18"/>
      <color theme="1"/>
      <name val="Times New Roman"/>
      <family val="1"/>
    </font>
    <font>
      <b/>
      <i/>
      <sz val="18"/>
      <name val="Times New Roman"/>
      <family val="1"/>
    </font>
    <font>
      <sz val="18"/>
      <name val="Times New Roman"/>
      <family val="1"/>
    </font>
    <font>
      <sz val="14"/>
      <color indexed="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FFFDFB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D99694"/>
        <bgColor rgb="FFFF99CC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5">
    <xf numFmtId="0" fontId="0" fillId="0" borderId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2" fillId="0" borderId="0"/>
    <xf numFmtId="0" fontId="2" fillId="0" borderId="0"/>
    <xf numFmtId="164" fontId="1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/>
    <xf numFmtId="0" fontId="6" fillId="0" borderId="0">
      <alignment vertical="center"/>
    </xf>
    <xf numFmtId="0" fontId="6" fillId="0" borderId="0">
      <alignment vertical="center"/>
    </xf>
    <xf numFmtId="43" fontId="6" fillId="0" borderId="0" applyFont="0" applyFill="0" applyBorder="0" applyAlignment="0" applyProtection="0"/>
    <xf numFmtId="0" fontId="6" fillId="0" borderId="0">
      <alignment vertical="center"/>
    </xf>
    <xf numFmtId="0" fontId="1" fillId="0" borderId="0"/>
    <xf numFmtId="0" fontId="1" fillId="0" borderId="0"/>
    <xf numFmtId="0" fontId="1" fillId="0" borderId="0"/>
    <xf numFmtId="0" fontId="2" fillId="0" borderId="0">
      <alignment vertical="center"/>
    </xf>
    <xf numFmtId="0" fontId="17" fillId="0" borderId="0"/>
    <xf numFmtId="0" fontId="1" fillId="0" borderId="0"/>
  </cellStyleXfs>
  <cellXfs count="345">
    <xf numFmtId="0" fontId="0" fillId="0" borderId="0" xfId="0"/>
    <xf numFmtId="0" fontId="3" fillId="2" borderId="0" xfId="0" applyFont="1" applyFill="1" applyAlignment="1">
      <alignment vertical="center"/>
    </xf>
    <xf numFmtId="0" fontId="3" fillId="2" borderId="6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2" borderId="7" xfId="0" applyFont="1" applyFill="1" applyBorder="1" applyAlignment="1">
      <alignment vertical="center"/>
    </xf>
    <xf numFmtId="0" fontId="3" fillId="2" borderId="8" xfId="0" applyFont="1" applyFill="1" applyBorder="1" applyAlignment="1">
      <alignment vertical="center"/>
    </xf>
    <xf numFmtId="0" fontId="3" fillId="2" borderId="9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7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left" vertical="center" wrapText="1"/>
    </xf>
    <xf numFmtId="0" fontId="8" fillId="2" borderId="5" xfId="0" applyFont="1" applyFill="1" applyBorder="1" applyAlignment="1">
      <alignment vertical="center"/>
    </xf>
    <xf numFmtId="0" fontId="8" fillId="2" borderId="0" xfId="0" applyFont="1" applyFill="1" applyAlignment="1">
      <alignment vertical="center"/>
    </xf>
    <xf numFmtId="0" fontId="8" fillId="2" borderId="6" xfId="0" applyFont="1" applyFill="1" applyBorder="1" applyAlignment="1">
      <alignment vertical="center"/>
    </xf>
    <xf numFmtId="0" fontId="8" fillId="2" borderId="0" xfId="0" applyFont="1" applyFill="1" applyAlignment="1">
      <alignment horizontal="right" vertical="center"/>
    </xf>
    <xf numFmtId="0" fontId="8" fillId="2" borderId="7" xfId="0" applyFont="1" applyFill="1" applyBorder="1" applyAlignment="1">
      <alignment vertical="center"/>
    </xf>
    <xf numFmtId="0" fontId="8" fillId="2" borderId="8" xfId="0" applyFont="1" applyFill="1" applyBorder="1" applyAlignment="1">
      <alignment vertical="center"/>
    </xf>
    <xf numFmtId="0" fontId="8" fillId="2" borderId="9" xfId="0" applyFont="1" applyFill="1" applyBorder="1" applyAlignment="1">
      <alignment vertical="center"/>
    </xf>
    <xf numFmtId="0" fontId="8" fillId="2" borderId="2" xfId="0" applyFont="1" applyFill="1" applyBorder="1" applyAlignment="1">
      <alignment vertical="center"/>
    </xf>
    <xf numFmtId="0" fontId="8" fillId="2" borderId="3" xfId="0" applyFont="1" applyFill="1" applyBorder="1" applyAlignment="1">
      <alignment vertical="center"/>
    </xf>
    <xf numFmtId="0" fontId="8" fillId="2" borderId="4" xfId="0" applyFont="1" applyFill="1" applyBorder="1" applyAlignment="1">
      <alignment vertical="center"/>
    </xf>
    <xf numFmtId="0" fontId="8" fillId="2" borderId="0" xfId="0" quotePrefix="1" applyFont="1" applyFill="1" applyAlignment="1">
      <alignment horizontal="left" vertical="center"/>
    </xf>
    <xf numFmtId="0" fontId="8" fillId="2" borderId="0" xfId="0" applyFont="1" applyFill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/>
    </xf>
    <xf numFmtId="0" fontId="10" fillId="2" borderId="0" xfId="0" applyFont="1" applyFill="1"/>
    <xf numFmtId="164" fontId="8" fillId="2" borderId="0" xfId="0" applyNumberFormat="1" applyFont="1" applyFill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12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 vertical="center" wrapText="1"/>
    </xf>
    <xf numFmtId="0" fontId="13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center" vertical="center" wrapText="1"/>
    </xf>
    <xf numFmtId="0" fontId="10" fillId="2" borderId="0" xfId="0" applyFont="1" applyFill="1" applyAlignment="1">
      <alignment horizontal="center"/>
    </xf>
    <xf numFmtId="43" fontId="8" fillId="2" borderId="1" xfId="8" applyFont="1" applyFill="1" applyBorder="1" applyAlignment="1">
      <alignment vertical="center"/>
    </xf>
    <xf numFmtId="43" fontId="4" fillId="2" borderId="1" xfId="8" applyFont="1" applyFill="1" applyBorder="1" applyAlignment="1">
      <alignment vertical="center"/>
    </xf>
    <xf numFmtId="0" fontId="7" fillId="0" borderId="1" xfId="0" applyFont="1" applyBorder="1" applyAlignment="1">
      <alignment vertical="center"/>
    </xf>
    <xf numFmtId="0" fontId="7" fillId="0" borderId="0" xfId="0" applyFont="1" applyAlignment="1">
      <alignment vertical="center"/>
    </xf>
    <xf numFmtId="164" fontId="7" fillId="0" borderId="23" xfId="0" applyNumberFormat="1" applyFont="1" applyBorder="1" applyAlignment="1">
      <alignment horizontal="left" vertical="center"/>
    </xf>
    <xf numFmtId="0" fontId="7" fillId="0" borderId="1" xfId="0" applyFont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3" fillId="2" borderId="0" xfId="0" applyFont="1" applyFill="1"/>
    <xf numFmtId="43" fontId="22" fillId="2" borderId="0" xfId="0" applyNumberFormat="1" applyFont="1" applyFill="1" applyAlignment="1">
      <alignment horizontal="right" vertical="center"/>
    </xf>
    <xf numFmtId="0" fontId="7" fillId="2" borderId="0" xfId="0" applyFont="1" applyFill="1" applyAlignment="1">
      <alignment vertical="center"/>
    </xf>
    <xf numFmtId="166" fontId="21" fillId="2" borderId="0" xfId="8" applyNumberFormat="1" applyFont="1" applyFill="1" applyBorder="1" applyAlignment="1">
      <alignment vertical="center"/>
    </xf>
    <xf numFmtId="2" fontId="7" fillId="2" borderId="0" xfId="0" applyNumberFormat="1" applyFont="1" applyFill="1" applyAlignment="1">
      <alignment horizontal="center" vertical="center" wrapText="1"/>
    </xf>
    <xf numFmtId="0" fontId="21" fillId="2" borderId="0" xfId="0" applyFont="1" applyFill="1" applyAlignment="1">
      <alignment vertical="center"/>
    </xf>
    <xf numFmtId="0" fontId="21" fillId="2" borderId="0" xfId="0" applyFont="1" applyFill="1" applyAlignment="1">
      <alignment horizontal="left" vertical="center" wrapText="1"/>
    </xf>
    <xf numFmtId="43" fontId="22" fillId="2" borderId="0" xfId="0" applyNumberFormat="1" applyFont="1" applyFill="1" applyAlignment="1">
      <alignment horizontal="center" vertical="center"/>
    </xf>
    <xf numFmtId="166" fontId="23" fillId="2" borderId="0" xfId="8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wrapText="1"/>
    </xf>
    <xf numFmtId="0" fontId="3" fillId="0" borderId="0" xfId="0" applyFont="1"/>
    <xf numFmtId="0" fontId="18" fillId="0" borderId="21" xfId="25" applyFont="1" applyBorder="1" applyAlignment="1">
      <alignment horizontal="left" vertical="center"/>
    </xf>
    <xf numFmtId="0" fontId="18" fillId="0" borderId="19" xfId="25" applyFont="1" applyBorder="1" applyAlignment="1">
      <alignment horizontal="left"/>
    </xf>
    <xf numFmtId="0" fontId="7" fillId="0" borderId="26" xfId="25" applyFont="1" applyBorder="1" applyAlignment="1"/>
    <xf numFmtId="0" fontId="18" fillId="0" borderId="25" xfId="25" applyFont="1" applyBorder="1" applyAlignment="1">
      <alignment horizontal="center"/>
    </xf>
    <xf numFmtId="0" fontId="7" fillId="0" borderId="27" xfId="25" applyFont="1" applyBorder="1" applyAlignment="1"/>
    <xf numFmtId="0" fontId="18" fillId="0" borderId="28" xfId="25" applyFont="1" applyBorder="1" applyAlignment="1">
      <alignment horizontal="center"/>
    </xf>
    <xf numFmtId="0" fontId="18" fillId="0" borderId="30" xfId="25" applyFont="1" applyBorder="1" applyAlignment="1">
      <alignment horizontal="left"/>
    </xf>
    <xf numFmtId="0" fontId="25" fillId="0" borderId="31" xfId="25" applyFont="1" applyBorder="1" applyAlignment="1">
      <alignment horizontal="left"/>
    </xf>
    <xf numFmtId="0" fontId="18" fillId="0" borderId="32" xfId="25" applyFont="1" applyBorder="1" applyAlignment="1">
      <alignment horizontal="center"/>
    </xf>
    <xf numFmtId="0" fontId="18" fillId="0" borderId="33" xfId="25" applyFont="1" applyBorder="1" applyAlignment="1">
      <alignment horizontal="center"/>
    </xf>
    <xf numFmtId="0" fontId="7" fillId="2" borderId="1" xfId="0" applyFont="1" applyFill="1" applyBorder="1" applyAlignment="1">
      <alignment vertical="center" wrapText="1"/>
    </xf>
    <xf numFmtId="0" fontId="27" fillId="2" borderId="0" xfId="0" applyFont="1" applyFill="1" applyAlignment="1">
      <alignment vertical="center"/>
    </xf>
    <xf numFmtId="43" fontId="28" fillId="2" borderId="0" xfId="0" applyNumberFormat="1" applyFont="1" applyFill="1" applyAlignment="1">
      <alignment horizontal="center" vertical="center"/>
    </xf>
    <xf numFmtId="43" fontId="27" fillId="2" borderId="0" xfId="0" applyNumberFormat="1" applyFont="1" applyFill="1" applyAlignment="1">
      <alignment horizontal="center" vertical="center"/>
    </xf>
    <xf numFmtId="0" fontId="27" fillId="2" borderId="0" xfId="0" applyFont="1" applyFill="1" applyAlignment="1">
      <alignment horizontal="center" vertical="center" wrapText="1"/>
    </xf>
    <xf numFmtId="0" fontId="8" fillId="2" borderId="0" xfId="0" applyFont="1" applyFill="1"/>
    <xf numFmtId="0" fontId="28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29" fillId="2" borderId="1" xfId="32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vertical="center" wrapText="1"/>
    </xf>
    <xf numFmtId="0" fontId="8" fillId="0" borderId="0" xfId="0" applyFont="1" applyAlignment="1">
      <alignment vertical="center" wrapText="1"/>
    </xf>
    <xf numFmtId="0" fontId="8" fillId="2" borderId="1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vertical="center" wrapText="1"/>
    </xf>
    <xf numFmtId="0" fontId="18" fillId="2" borderId="0" xfId="0" applyFont="1" applyFill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1" fillId="2" borderId="1" xfId="0" applyFont="1" applyFill="1" applyBorder="1" applyAlignment="1">
      <alignment horizontal="center" vertical="center"/>
    </xf>
    <xf numFmtId="0" fontId="20" fillId="2" borderId="0" xfId="0" applyFont="1" applyFill="1" applyAlignment="1">
      <alignment vertical="center"/>
    </xf>
    <xf numFmtId="0" fontId="20" fillId="2" borderId="0" xfId="0" applyFont="1" applyFill="1" applyAlignment="1">
      <alignment horizontal="center" vertical="center"/>
    </xf>
    <xf numFmtId="165" fontId="7" fillId="2" borderId="1" xfId="0" applyNumberFormat="1" applyFont="1" applyFill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1" xfId="32" applyFont="1" applyBorder="1" applyAlignment="1">
      <alignment horizontal="center" vertical="center"/>
    </xf>
    <xf numFmtId="0" fontId="27" fillId="0" borderId="1" xfId="33" applyFont="1" applyBorder="1" applyAlignment="1">
      <alignment horizontal="center" vertical="center"/>
    </xf>
    <xf numFmtId="0" fontId="8" fillId="2" borderId="1" xfId="0" applyFont="1" applyFill="1" applyBorder="1" applyAlignment="1">
      <alignment vertical="center"/>
    </xf>
    <xf numFmtId="0" fontId="4" fillId="2" borderId="13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32" fillId="2" borderId="0" xfId="0" applyFont="1" applyFill="1" applyAlignment="1">
      <alignment vertical="center"/>
    </xf>
    <xf numFmtId="0" fontId="32" fillId="2" borderId="0" xfId="0" applyFont="1" applyFill="1" applyAlignment="1">
      <alignment horizontal="center" vertical="center"/>
    </xf>
    <xf numFmtId="0" fontId="31" fillId="2" borderId="0" xfId="0" applyFont="1" applyFill="1" applyAlignment="1">
      <alignment horizontal="center" vertical="center"/>
    </xf>
    <xf numFmtId="0" fontId="35" fillId="5" borderId="1" xfId="32" applyFont="1" applyFill="1" applyBorder="1" applyAlignment="1">
      <alignment horizontal="center" vertical="center" wrapText="1"/>
    </xf>
    <xf numFmtId="0" fontId="35" fillId="5" borderId="1" xfId="0" applyFont="1" applyFill="1" applyBorder="1" applyAlignment="1">
      <alignment horizontal="center" vertical="center" wrapText="1"/>
    </xf>
    <xf numFmtId="0" fontId="35" fillId="6" borderId="1" xfId="0" applyFont="1" applyFill="1" applyBorder="1" applyAlignment="1">
      <alignment horizontal="center" vertical="center" wrapText="1"/>
    </xf>
    <xf numFmtId="0" fontId="26" fillId="0" borderId="38" xfId="25" applyFont="1" applyBorder="1" applyAlignment="1"/>
    <xf numFmtId="0" fontId="18" fillId="0" borderId="33" xfId="0" applyFont="1" applyBorder="1"/>
    <xf numFmtId="0" fontId="9" fillId="2" borderId="0" xfId="0" applyFont="1" applyFill="1" applyAlignment="1">
      <alignment vertical="center"/>
    </xf>
    <xf numFmtId="0" fontId="18" fillId="2" borderId="0" xfId="0" applyFont="1" applyFill="1" applyAlignment="1">
      <alignment horizontal="center" vertical="center"/>
    </xf>
    <xf numFmtId="0" fontId="5" fillId="2" borderId="1" xfId="34" applyFont="1" applyFill="1" applyBorder="1" applyAlignment="1">
      <alignment horizontal="center" vertical="center" wrapText="1"/>
    </xf>
    <xf numFmtId="0" fontId="5" fillId="2" borderId="11" xfId="34" applyFont="1" applyFill="1" applyBorder="1" applyAlignment="1">
      <alignment horizontal="center" vertical="center" wrapText="1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center" vertical="center"/>
    </xf>
    <xf numFmtId="0" fontId="8" fillId="2" borderId="5" xfId="0" applyFont="1" applyFill="1" applyBorder="1" applyAlignment="1">
      <alignment horizontal="left" vertical="center"/>
    </xf>
    <xf numFmtId="0" fontId="33" fillId="2" borderId="0" xfId="0" applyFont="1" applyFill="1" applyAlignment="1">
      <alignment horizontal="center" vertical="center"/>
    </xf>
    <xf numFmtId="0" fontId="33" fillId="2" borderId="0" xfId="0" applyFont="1" applyFill="1" applyAlignment="1">
      <alignment vertical="center" wrapText="1"/>
    </xf>
    <xf numFmtId="0" fontId="5" fillId="0" borderId="1" xfId="0" applyFont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3" fillId="4" borderId="1" xfId="0" quotePrefix="1" applyFont="1" applyFill="1" applyBorder="1" applyAlignment="1">
      <alignment horizontal="center"/>
    </xf>
    <xf numFmtId="0" fontId="5" fillId="2" borderId="1" xfId="34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26" fillId="2" borderId="1" xfId="32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 indent="1"/>
    </xf>
    <xf numFmtId="0" fontId="30" fillId="2" borderId="0" xfId="0" applyFont="1" applyFill="1" applyAlignment="1">
      <alignment horizontal="right" vertical="center" indent="1"/>
    </xf>
    <xf numFmtId="0" fontId="7" fillId="2" borderId="0" xfId="0" applyFont="1" applyFill="1" applyAlignment="1">
      <alignment horizontal="right" vertical="center" indent="1"/>
    </xf>
    <xf numFmtId="0" fontId="3" fillId="2" borderId="0" xfId="0" applyFont="1" applyFill="1" applyAlignment="1">
      <alignment horizontal="right" indent="1"/>
    </xf>
    <xf numFmtId="0" fontId="31" fillId="2" borderId="1" xfId="32" applyFont="1" applyFill="1" applyBorder="1" applyAlignment="1">
      <alignment horizontal="right" vertical="center" indent="1"/>
    </xf>
    <xf numFmtId="0" fontId="3" fillId="2" borderId="1" xfId="0" applyFont="1" applyFill="1" applyBorder="1" applyAlignment="1">
      <alignment horizontal="right" vertical="center" indent="1"/>
    </xf>
    <xf numFmtId="1" fontId="31" fillId="2" borderId="1" xfId="0" applyNumberFormat="1" applyFont="1" applyFill="1" applyBorder="1" applyAlignment="1">
      <alignment horizontal="right" vertical="center" indent="1"/>
    </xf>
    <xf numFmtId="0" fontId="31" fillId="3" borderId="1" xfId="32" applyFont="1" applyFill="1" applyBorder="1" applyAlignment="1">
      <alignment horizontal="right" vertical="center" indent="1"/>
    </xf>
    <xf numFmtId="0" fontId="31" fillId="2" borderId="1" xfId="0" applyFont="1" applyFill="1" applyBorder="1" applyAlignment="1">
      <alignment horizontal="right" vertical="center" indent="1"/>
    </xf>
    <xf numFmtId="0" fontId="31" fillId="2" borderId="1" xfId="0" applyFont="1" applyFill="1" applyBorder="1" applyAlignment="1">
      <alignment horizontal="right" vertical="center" wrapText="1" indent="1"/>
    </xf>
    <xf numFmtId="0" fontId="3" fillId="2" borderId="1" xfId="0" applyFont="1" applyFill="1" applyBorder="1" applyAlignment="1">
      <alignment horizontal="right" vertical="center" wrapText="1" indent="1"/>
    </xf>
    <xf numFmtId="0" fontId="7" fillId="2" borderId="1" xfId="0" applyFont="1" applyFill="1" applyBorder="1" applyAlignment="1">
      <alignment horizontal="right" vertical="center" indent="1"/>
    </xf>
    <xf numFmtId="0" fontId="18" fillId="2" borderId="40" xfId="0" applyFont="1" applyFill="1" applyBorder="1" applyAlignment="1">
      <alignment horizontal="right" vertical="center" wrapText="1" indent="1"/>
    </xf>
    <xf numFmtId="0" fontId="18" fillId="2" borderId="0" xfId="0" applyFont="1" applyFill="1" applyAlignment="1">
      <alignment horizontal="right" vertical="center" indent="1"/>
    </xf>
    <xf numFmtId="0" fontId="11" fillId="2" borderId="0" xfId="0" applyFont="1" applyFill="1" applyAlignment="1">
      <alignment horizontal="right" vertical="center" indent="1"/>
    </xf>
    <xf numFmtId="0" fontId="5" fillId="2" borderId="13" xfId="0" applyFont="1" applyFill="1" applyBorder="1" applyAlignment="1">
      <alignment horizontal="right" vertical="center" indent="1"/>
    </xf>
    <xf numFmtId="0" fontId="18" fillId="4" borderId="33" xfId="0" applyFont="1" applyFill="1" applyBorder="1" applyAlignment="1">
      <alignment horizontal="center" vertical="center"/>
    </xf>
    <xf numFmtId="0" fontId="18" fillId="4" borderId="20" xfId="0" applyFont="1" applyFill="1" applyBorder="1" applyAlignment="1">
      <alignment horizontal="center" vertical="center"/>
    </xf>
    <xf numFmtId="0" fontId="18" fillId="2" borderId="8" xfId="0" applyFont="1" applyFill="1" applyBorder="1" applyAlignment="1">
      <alignment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11" xfId="0" applyFont="1" applyFill="1" applyBorder="1" applyAlignment="1">
      <alignment horizontal="center" vertical="center"/>
    </xf>
    <xf numFmtId="43" fontId="9" fillId="2" borderId="11" xfId="8" applyFont="1" applyFill="1" applyBorder="1" applyAlignment="1">
      <alignment horizontal="center" vertical="center"/>
    </xf>
    <xf numFmtId="43" fontId="9" fillId="2" borderId="1" xfId="8" applyFont="1" applyFill="1" applyBorder="1" applyAlignment="1">
      <alignment horizontal="center" vertical="center"/>
    </xf>
    <xf numFmtId="43" fontId="34" fillId="2" borderId="1" xfId="0" applyNumberFormat="1" applyFont="1" applyFill="1" applyBorder="1" applyAlignment="1">
      <alignment horizontal="right"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9" fillId="2" borderId="0" xfId="0" applyFont="1" applyFill="1"/>
    <xf numFmtId="0" fontId="7" fillId="2" borderId="5" xfId="0" applyFont="1" applyFill="1" applyBorder="1" applyAlignment="1">
      <alignment horizontal="center" vertical="center" wrapText="1"/>
    </xf>
    <xf numFmtId="2" fontId="7" fillId="2" borderId="12" xfId="0" applyNumberFormat="1" applyFont="1" applyFill="1" applyBorder="1" applyAlignment="1">
      <alignment horizontal="center" vertical="center" wrapText="1"/>
    </xf>
    <xf numFmtId="0" fontId="27" fillId="2" borderId="5" xfId="0" applyFont="1" applyFill="1" applyBorder="1" applyAlignment="1">
      <alignment vertical="center"/>
    </xf>
    <xf numFmtId="0" fontId="21" fillId="2" borderId="5" xfId="0" applyFont="1" applyFill="1" applyBorder="1" applyAlignment="1">
      <alignment vertical="center"/>
    </xf>
    <xf numFmtId="43" fontId="22" fillId="2" borderId="6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left" vertical="center"/>
    </xf>
    <xf numFmtId="0" fontId="8" fillId="2" borderId="15" xfId="0" applyFont="1" applyFill="1" applyBorder="1"/>
    <xf numFmtId="0" fontId="3" fillId="2" borderId="15" xfId="0" applyFont="1" applyFill="1" applyBorder="1"/>
    <xf numFmtId="0" fontId="9" fillId="2" borderId="11" xfId="0" applyFont="1" applyFill="1" applyBorder="1" applyAlignment="1">
      <alignment horizontal="center" vertical="center"/>
    </xf>
    <xf numFmtId="43" fontId="11" fillId="2" borderId="1" xfId="8" applyFont="1" applyFill="1" applyBorder="1" applyAlignment="1">
      <alignment horizontal="center" vertical="center"/>
    </xf>
    <xf numFmtId="43" fontId="41" fillId="2" borderId="14" xfId="8" applyFont="1" applyFill="1" applyBorder="1" applyAlignment="1">
      <alignment vertical="center"/>
    </xf>
    <xf numFmtId="43" fontId="44" fillId="2" borderId="1" xfId="0" applyNumberFormat="1" applyFont="1" applyFill="1" applyBorder="1" applyAlignment="1">
      <alignment horizontal="center" vertical="center"/>
    </xf>
    <xf numFmtId="43" fontId="40" fillId="2" borderId="1" xfId="0" applyNumberFormat="1" applyFont="1" applyFill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11" fillId="2" borderId="2" xfId="0" applyFont="1" applyFill="1" applyBorder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2" borderId="3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left" vertical="center" wrapText="1"/>
    </xf>
    <xf numFmtId="0" fontId="11" fillId="2" borderId="4" xfId="0" applyFont="1" applyFill="1" applyBorder="1" applyAlignment="1">
      <alignment horizontal="left" vertical="center" wrapText="1"/>
    </xf>
    <xf numFmtId="0" fontId="11" fillId="2" borderId="5" xfId="0" applyFont="1" applyFill="1" applyBorder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 wrapText="1"/>
    </xf>
    <xf numFmtId="0" fontId="11" fillId="2" borderId="6" xfId="0" applyFont="1" applyFill="1" applyBorder="1" applyAlignment="1">
      <alignment horizontal="left" vertical="center" wrapText="1"/>
    </xf>
    <xf numFmtId="0" fontId="11" fillId="2" borderId="0" xfId="0" applyFont="1" applyFill="1" applyAlignment="1">
      <alignment vertical="center" wrapText="1"/>
    </xf>
    <xf numFmtId="0" fontId="11" fillId="2" borderId="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left" vertical="center"/>
    </xf>
    <xf numFmtId="0" fontId="11" fillId="2" borderId="8" xfId="0" applyFont="1" applyFill="1" applyBorder="1" applyAlignment="1">
      <alignment horizontal="left" vertical="center"/>
    </xf>
    <xf numFmtId="0" fontId="11" fillId="2" borderId="8" xfId="0" applyFont="1" applyFill="1" applyBorder="1" applyAlignment="1">
      <alignment horizontal="center" vertical="center"/>
    </xf>
    <xf numFmtId="0" fontId="11" fillId="2" borderId="8" xfId="0" applyFont="1" applyFill="1" applyBorder="1" applyAlignment="1">
      <alignment horizontal="left" vertical="center" wrapText="1"/>
    </xf>
    <xf numFmtId="0" fontId="11" fillId="2" borderId="8" xfId="0" applyFont="1" applyFill="1" applyBorder="1" applyAlignment="1">
      <alignment vertical="center"/>
    </xf>
    <xf numFmtId="0" fontId="11" fillId="2" borderId="9" xfId="0" applyFont="1" applyFill="1" applyBorder="1" applyAlignment="1">
      <alignment vertical="center"/>
    </xf>
    <xf numFmtId="164" fontId="11" fillId="2" borderId="1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 wrapText="1"/>
    </xf>
    <xf numFmtId="0" fontId="45" fillId="0" borderId="1" xfId="32" applyFont="1" applyBorder="1" applyAlignment="1">
      <alignment horizontal="left" vertical="center" wrapText="1"/>
    </xf>
    <xf numFmtId="0" fontId="8" fillId="0" borderId="42" xfId="32" applyFont="1" applyBorder="1" applyAlignment="1">
      <alignment horizontal="center" vertical="center" wrapText="1"/>
    </xf>
    <xf numFmtId="0" fontId="45" fillId="0" borderId="12" xfId="32" applyFont="1" applyBorder="1" applyAlignment="1">
      <alignment horizontal="center" vertical="center" wrapText="1"/>
    </xf>
    <xf numFmtId="0" fontId="45" fillId="0" borderId="1" xfId="32" applyFont="1" applyBorder="1" applyAlignment="1">
      <alignment horizontal="center" vertical="center" wrapText="1"/>
    </xf>
    <xf numFmtId="164" fontId="45" fillId="0" borderId="1" xfId="32" applyNumberFormat="1" applyFont="1" applyBorder="1" applyAlignment="1">
      <alignment horizontal="center" vertical="center" wrapText="1"/>
    </xf>
    <xf numFmtId="0" fontId="27" fillId="0" borderId="0" xfId="0" applyFont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0" fontId="8" fillId="0" borderId="1" xfId="32" applyFont="1" applyBorder="1" applyAlignment="1">
      <alignment horizontal="center" vertical="center" wrapText="1"/>
    </xf>
    <xf numFmtId="164" fontId="8" fillId="0" borderId="1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8" fillId="0" borderId="1" xfId="0" quotePrefix="1" applyFont="1" applyBorder="1" applyAlignment="1">
      <alignment horizontal="left" vertical="center" wrapText="1"/>
    </xf>
    <xf numFmtId="0" fontId="27" fillId="0" borderId="0" xfId="0" applyFont="1" applyAlignment="1">
      <alignment horizontal="center" vertical="center" wrapText="1"/>
    </xf>
    <xf numFmtId="0" fontId="34" fillId="2" borderId="1" xfId="0" applyFont="1" applyFill="1" applyBorder="1" applyAlignment="1">
      <alignment horizontal="center" vertical="center"/>
    </xf>
    <xf numFmtId="43" fontId="34" fillId="2" borderId="1" xfId="8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left" vertical="center" indent="1"/>
    </xf>
    <xf numFmtId="0" fontId="22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11" fillId="2" borderId="1" xfId="34" applyFont="1" applyFill="1" applyBorder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24" fillId="0" borderId="26" xfId="25" applyFont="1" applyBorder="1" applyAlignment="1">
      <alignment horizontal="center" vertical="center"/>
    </xf>
    <xf numFmtId="0" fontId="24" fillId="0" borderId="24" xfId="25" applyFont="1" applyBorder="1" applyAlignment="1">
      <alignment horizontal="center" vertical="center"/>
    </xf>
    <xf numFmtId="0" fontId="24" fillId="0" borderId="25" xfId="25" applyFont="1" applyBorder="1" applyAlignment="1">
      <alignment horizontal="center" vertical="center"/>
    </xf>
    <xf numFmtId="0" fontId="24" fillId="0" borderId="0" xfId="25" applyFont="1" applyAlignment="1">
      <alignment horizontal="center" vertical="center"/>
    </xf>
    <xf numFmtId="0" fontId="24" fillId="0" borderId="28" xfId="25" applyFont="1" applyBorder="1" applyAlignment="1">
      <alignment horizontal="center" vertical="center"/>
    </xf>
    <xf numFmtId="0" fontId="24" fillId="0" borderId="8" xfId="25" applyFont="1" applyBorder="1" applyAlignment="1">
      <alignment horizontal="center" vertical="center"/>
    </xf>
    <xf numFmtId="0" fontId="24" fillId="0" borderId="29" xfId="25" applyFont="1" applyBorder="1" applyAlignment="1">
      <alignment horizontal="center" vertical="center"/>
    </xf>
    <xf numFmtId="0" fontId="18" fillId="4" borderId="21" xfId="25" applyFont="1" applyFill="1" applyBorder="1" applyAlignment="1">
      <alignment horizontal="left" vertical="center" wrapText="1"/>
    </xf>
    <xf numFmtId="0" fontId="18" fillId="4" borderId="16" xfId="25" applyFont="1" applyFill="1" applyBorder="1" applyAlignment="1">
      <alignment horizontal="left" vertical="center" wrapText="1"/>
    </xf>
    <xf numFmtId="0" fontId="18" fillId="4" borderId="19" xfId="25" applyFont="1" applyFill="1" applyBorder="1" applyAlignment="1">
      <alignment horizontal="left"/>
    </xf>
    <xf numFmtId="0" fontId="18" fillId="4" borderId="10" xfId="25" applyFont="1" applyFill="1" applyBorder="1" applyAlignment="1">
      <alignment horizontal="left"/>
    </xf>
    <xf numFmtId="0" fontId="18" fillId="0" borderId="14" xfId="25" applyFont="1" applyBorder="1" applyAlignment="1">
      <alignment horizontal="left" vertical="center" wrapText="1"/>
    </xf>
    <xf numFmtId="0" fontId="18" fillId="0" borderId="15" xfId="25" applyFont="1" applyBorder="1" applyAlignment="1">
      <alignment horizontal="left" vertical="center" wrapText="1"/>
    </xf>
    <xf numFmtId="0" fontId="18" fillId="0" borderId="24" xfId="25" applyFont="1" applyBorder="1" applyAlignment="1">
      <alignment horizontal="left" vertical="center" wrapText="1"/>
    </xf>
    <xf numFmtId="0" fontId="18" fillId="0" borderId="25" xfId="25" applyFont="1" applyBorder="1" applyAlignment="1">
      <alignment horizontal="left" vertical="center" wrapText="1"/>
    </xf>
    <xf numFmtId="0" fontId="18" fillId="0" borderId="30" xfId="25" applyFont="1" applyBorder="1" applyAlignment="1">
      <alignment horizontal="left"/>
    </xf>
    <xf numFmtId="0" fontId="18" fillId="0" borderId="3" xfId="25" applyFont="1" applyBorder="1" applyAlignment="1">
      <alignment horizontal="left"/>
    </xf>
    <xf numFmtId="0" fontId="18" fillId="0" borderId="36" xfId="0" applyFont="1" applyBorder="1" applyAlignment="1">
      <alignment horizontal="left"/>
    </xf>
    <xf numFmtId="0" fontId="18" fillId="0" borderId="39" xfId="0" applyFont="1" applyBorder="1" applyAlignment="1">
      <alignment horizontal="left"/>
    </xf>
    <xf numFmtId="0" fontId="18" fillId="0" borderId="37" xfId="0" applyFont="1" applyBorder="1" applyAlignment="1">
      <alignment horizontal="left"/>
    </xf>
    <xf numFmtId="0" fontId="18" fillId="0" borderId="26" xfId="25" applyFont="1" applyBorder="1" applyAlignment="1">
      <alignment horizontal="left" vertical="center"/>
    </xf>
    <xf numFmtId="0" fontId="18" fillId="0" borderId="31" xfId="25" applyFont="1" applyBorder="1" applyAlignment="1">
      <alignment horizontal="left" vertical="center"/>
    </xf>
    <xf numFmtId="0" fontId="18" fillId="0" borderId="25" xfId="25" applyFont="1" applyBorder="1" applyAlignment="1">
      <alignment horizontal="left" vertical="center"/>
    </xf>
    <xf numFmtId="0" fontId="18" fillId="0" borderId="27" xfId="25" applyFont="1" applyBorder="1" applyAlignment="1">
      <alignment horizontal="left" vertical="center"/>
    </xf>
    <xf numFmtId="0" fontId="18" fillId="0" borderId="28" xfId="25" applyFont="1" applyBorder="1" applyAlignment="1">
      <alignment horizontal="left" vertical="center"/>
    </xf>
    <xf numFmtId="0" fontId="18" fillId="0" borderId="19" xfId="25" applyFont="1" applyBorder="1" applyAlignment="1">
      <alignment horizontal="center"/>
    </xf>
    <xf numFmtId="0" fontId="18" fillId="0" borderId="10" xfId="25" applyFont="1" applyBorder="1" applyAlignment="1">
      <alignment horizontal="center"/>
    </xf>
    <xf numFmtId="0" fontId="18" fillId="0" borderId="12" xfId="25" applyFont="1" applyBorder="1" applyAlignment="1">
      <alignment horizontal="center"/>
    </xf>
    <xf numFmtId="0" fontId="18" fillId="0" borderId="11" xfId="25" applyFont="1" applyBorder="1" applyAlignment="1">
      <alignment horizontal="center"/>
    </xf>
    <xf numFmtId="0" fontId="18" fillId="0" borderId="22" xfId="25" applyFont="1" applyBorder="1" applyAlignment="1">
      <alignment horizontal="center"/>
    </xf>
    <xf numFmtId="164" fontId="18" fillId="0" borderId="17" xfId="25" applyNumberFormat="1" applyFont="1" applyBorder="1" applyAlignment="1">
      <alignment horizontal="center"/>
    </xf>
    <xf numFmtId="164" fontId="18" fillId="0" borderId="18" xfId="25" applyNumberFormat="1" applyFont="1" applyBorder="1" applyAlignment="1">
      <alignment horizontal="center"/>
    </xf>
    <xf numFmtId="164" fontId="18" fillId="0" borderId="34" xfId="25" applyNumberFormat="1" applyFont="1" applyBorder="1" applyAlignment="1">
      <alignment horizontal="center"/>
    </xf>
    <xf numFmtId="164" fontId="18" fillId="0" borderId="35" xfId="25" applyNumberFormat="1" applyFont="1" applyBorder="1" applyAlignment="1">
      <alignment horizontal="center"/>
    </xf>
    <xf numFmtId="0" fontId="37" fillId="2" borderId="2" xfId="0" applyFont="1" applyFill="1" applyBorder="1" applyAlignment="1">
      <alignment horizontal="center"/>
    </xf>
    <xf numFmtId="0" fontId="37" fillId="2" borderId="3" xfId="0" applyFont="1" applyFill="1" applyBorder="1" applyAlignment="1">
      <alignment horizontal="center"/>
    </xf>
    <xf numFmtId="0" fontId="37" fillId="2" borderId="4" xfId="0" applyFont="1" applyFill="1" applyBorder="1" applyAlignment="1">
      <alignment horizontal="center"/>
    </xf>
    <xf numFmtId="0" fontId="37" fillId="2" borderId="5" xfId="0" applyFont="1" applyFill="1" applyBorder="1" applyAlignment="1">
      <alignment horizontal="center"/>
    </xf>
    <xf numFmtId="0" fontId="37" fillId="2" borderId="0" xfId="0" applyFont="1" applyFill="1" applyAlignment="1">
      <alignment horizontal="center"/>
    </xf>
    <xf numFmtId="0" fontId="37" fillId="2" borderId="6" xfId="0" applyFont="1" applyFill="1" applyBorder="1" applyAlignment="1">
      <alignment horizontal="center"/>
    </xf>
    <xf numFmtId="0" fontId="37" fillId="2" borderId="7" xfId="0" applyFont="1" applyFill="1" applyBorder="1" applyAlignment="1">
      <alignment horizontal="center"/>
    </xf>
    <xf numFmtId="0" fontId="37" fillId="2" borderId="8" xfId="0" applyFont="1" applyFill="1" applyBorder="1" applyAlignment="1">
      <alignment horizontal="center"/>
    </xf>
    <xf numFmtId="0" fontId="37" fillId="2" borderId="9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 vertical="center" wrapText="1"/>
    </xf>
    <xf numFmtId="0" fontId="37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36" fillId="2" borderId="2" xfId="0" applyFont="1" applyFill="1" applyBorder="1" applyAlignment="1">
      <alignment horizontal="center"/>
    </xf>
    <xf numFmtId="0" fontId="36" fillId="2" borderId="4" xfId="0" applyFont="1" applyFill="1" applyBorder="1" applyAlignment="1">
      <alignment horizontal="center"/>
    </xf>
    <xf numFmtId="0" fontId="36" fillId="2" borderId="5" xfId="0" applyFont="1" applyFill="1" applyBorder="1" applyAlignment="1">
      <alignment horizontal="center"/>
    </xf>
    <xf numFmtId="0" fontId="36" fillId="2" borderId="6" xfId="0" applyFont="1" applyFill="1" applyBorder="1" applyAlignment="1">
      <alignment horizontal="center"/>
    </xf>
    <xf numFmtId="0" fontId="36" fillId="2" borderId="7" xfId="0" applyFont="1" applyFill="1" applyBorder="1" applyAlignment="1">
      <alignment horizontal="center"/>
    </xf>
    <xf numFmtId="0" fontId="36" fillId="2" borderId="9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 wrapText="1"/>
    </xf>
    <xf numFmtId="0" fontId="9" fillId="2" borderId="0" xfId="0" applyFont="1" applyFill="1" applyAlignment="1">
      <alignment horizontal="right" vertical="center" wrapText="1"/>
    </xf>
    <xf numFmtId="0" fontId="9" fillId="2" borderId="0" xfId="0" applyFont="1" applyFill="1" applyAlignment="1">
      <alignment horizontal="left" vertical="center" wrapText="1"/>
    </xf>
    <xf numFmtId="0" fontId="9" fillId="2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left" vertical="top" wrapText="1"/>
    </xf>
    <xf numFmtId="0" fontId="0" fillId="2" borderId="0" xfId="0" applyFill="1" applyAlignment="1">
      <alignment horizontal="left" vertical="top"/>
    </xf>
    <xf numFmtId="0" fontId="8" fillId="2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left" vertical="center"/>
    </xf>
    <xf numFmtId="0" fontId="8" fillId="2" borderId="5" xfId="0" applyFont="1" applyFill="1" applyBorder="1" applyAlignment="1">
      <alignment horizontal="left" vertical="center"/>
    </xf>
    <xf numFmtId="0" fontId="8" fillId="2" borderId="7" xfId="0" applyFont="1" applyFill="1" applyBorder="1" applyAlignment="1">
      <alignment horizontal="left" vertical="center"/>
    </xf>
    <xf numFmtId="0" fontId="8" fillId="0" borderId="2" xfId="0" applyFont="1" applyBorder="1" applyAlignment="1">
      <alignment horizontal="left" vertical="center" wrapText="1"/>
    </xf>
    <xf numFmtId="0" fontId="8" fillId="0" borderId="3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left" vertical="center" wrapText="1"/>
    </xf>
    <xf numFmtId="0" fontId="8" fillId="0" borderId="5" xfId="0" applyFont="1" applyBorder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8" fillId="0" borderId="6" xfId="0" applyFont="1" applyBorder="1" applyAlignment="1">
      <alignment horizontal="left" vertical="center" wrapText="1"/>
    </xf>
    <xf numFmtId="0" fontId="8" fillId="0" borderId="7" xfId="0" applyFont="1" applyBorder="1" applyAlignment="1">
      <alignment horizontal="left" vertical="center" wrapText="1"/>
    </xf>
    <xf numFmtId="0" fontId="8" fillId="0" borderId="8" xfId="0" applyFont="1" applyBorder="1" applyAlignment="1">
      <alignment horizontal="left" vertical="center" wrapText="1"/>
    </xf>
    <xf numFmtId="0" fontId="8" fillId="0" borderId="9" xfId="0" applyFont="1" applyBorder="1" applyAlignment="1">
      <alignment horizontal="left" vertical="center" wrapText="1"/>
    </xf>
    <xf numFmtId="0" fontId="8" fillId="2" borderId="11" xfId="0" applyFont="1" applyFill="1" applyBorder="1" applyAlignment="1">
      <alignment horizontal="left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2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1" xfId="0" applyFont="1" applyFill="1" applyBorder="1" applyAlignment="1">
      <alignment horizontal="left" vertical="center"/>
    </xf>
    <xf numFmtId="0" fontId="4" fillId="2" borderId="10" xfId="0" applyFont="1" applyFill="1" applyBorder="1" applyAlignment="1">
      <alignment horizontal="left" vertical="center"/>
    </xf>
    <xf numFmtId="0" fontId="4" fillId="2" borderId="12" xfId="0" applyFont="1" applyFill="1" applyBorder="1" applyAlignment="1">
      <alignment horizontal="left" vertical="center"/>
    </xf>
    <xf numFmtId="0" fontId="11" fillId="2" borderId="14" xfId="0" applyFont="1" applyFill="1" applyBorder="1" applyAlignment="1">
      <alignment horizontal="center" vertical="center"/>
    </xf>
    <xf numFmtId="0" fontId="11" fillId="2" borderId="15" xfId="0" applyFont="1" applyFill="1" applyBorder="1" applyAlignment="1">
      <alignment horizontal="center" vertical="center"/>
    </xf>
    <xf numFmtId="0" fontId="11" fillId="2" borderId="20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left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left" vertical="center"/>
    </xf>
    <xf numFmtId="0" fontId="43" fillId="2" borderId="11" xfId="0" applyFont="1" applyFill="1" applyBorder="1" applyAlignment="1">
      <alignment horizontal="left" vertical="center" wrapText="1" indent="1"/>
    </xf>
    <xf numFmtId="0" fontId="43" fillId="2" borderId="10" xfId="0" applyFont="1" applyFill="1" applyBorder="1" applyAlignment="1">
      <alignment horizontal="left" vertical="center" wrapText="1" indent="1"/>
    </xf>
    <xf numFmtId="0" fontId="43" fillId="2" borderId="12" xfId="0" applyFont="1" applyFill="1" applyBorder="1" applyAlignment="1">
      <alignment horizontal="left" vertical="center" wrapText="1" indent="1"/>
    </xf>
    <xf numFmtId="0" fontId="38" fillId="2" borderId="1" xfId="0" applyFont="1" applyFill="1" applyBorder="1" applyAlignment="1">
      <alignment horizontal="center" vertical="center"/>
    </xf>
    <xf numFmtId="0" fontId="11" fillId="2" borderId="23" xfId="0" applyFont="1" applyFill="1" applyBorder="1" applyAlignment="1">
      <alignment horizontal="center" vertical="center" wrapText="1"/>
    </xf>
    <xf numFmtId="0" fontId="11" fillId="2" borderId="42" xfId="0" applyFont="1" applyFill="1" applyBorder="1" applyAlignment="1">
      <alignment horizontal="center" vertical="center" wrapText="1"/>
    </xf>
    <xf numFmtId="0" fontId="11" fillId="2" borderId="23" xfId="0" applyFont="1" applyFill="1" applyBorder="1" applyAlignment="1">
      <alignment horizontal="center" vertical="center"/>
    </xf>
    <xf numFmtId="0" fontId="11" fillId="2" borderId="42" xfId="0" applyFont="1" applyFill="1" applyBorder="1" applyAlignment="1">
      <alignment horizontal="center" vertical="center"/>
    </xf>
    <xf numFmtId="0" fontId="11" fillId="2" borderId="11" xfId="0" applyFont="1" applyFill="1" applyBorder="1" applyAlignment="1">
      <alignment horizontal="center" vertical="center"/>
    </xf>
    <xf numFmtId="0" fontId="11" fillId="2" borderId="12" xfId="0" applyFont="1" applyFill="1" applyBorder="1" applyAlignment="1">
      <alignment horizontal="center" vertical="center"/>
    </xf>
    <xf numFmtId="43" fontId="11" fillId="2" borderId="11" xfId="8" applyFont="1" applyFill="1" applyBorder="1" applyAlignment="1">
      <alignment horizontal="center" vertical="center"/>
    </xf>
    <xf numFmtId="43" fontId="11" fillId="2" borderId="12" xfId="8" applyFont="1" applyFill="1" applyBorder="1" applyAlignment="1">
      <alignment horizontal="center" vertical="center"/>
    </xf>
    <xf numFmtId="0" fontId="43" fillId="2" borderId="11" xfId="0" applyFont="1" applyFill="1" applyBorder="1" applyAlignment="1">
      <alignment horizontal="left" vertical="center" indent="1"/>
    </xf>
    <xf numFmtId="0" fontId="43" fillId="2" borderId="10" xfId="0" applyFont="1" applyFill="1" applyBorder="1" applyAlignment="1">
      <alignment horizontal="left" vertical="center" indent="1"/>
    </xf>
    <xf numFmtId="0" fontId="43" fillId="2" borderId="12" xfId="0" applyFont="1" applyFill="1" applyBorder="1" applyAlignment="1">
      <alignment horizontal="left" vertical="center" indent="1"/>
    </xf>
    <xf numFmtId="0" fontId="41" fillId="2" borderId="14" xfId="0" applyFont="1" applyFill="1" applyBorder="1" applyAlignment="1">
      <alignment horizontal="center" vertical="center"/>
    </xf>
    <xf numFmtId="0" fontId="41" fillId="2" borderId="15" xfId="0" applyFont="1" applyFill="1" applyBorder="1" applyAlignment="1">
      <alignment horizontal="center" vertical="center"/>
    </xf>
    <xf numFmtId="43" fontId="41" fillId="2" borderId="15" xfId="8" applyFont="1" applyFill="1" applyBorder="1" applyAlignment="1">
      <alignment horizontal="center" vertical="center"/>
    </xf>
    <xf numFmtId="43" fontId="41" fillId="2" borderId="20" xfId="8" applyFont="1" applyFill="1" applyBorder="1" applyAlignment="1">
      <alignment horizontal="center" vertical="center"/>
    </xf>
    <xf numFmtId="0" fontId="40" fillId="2" borderId="14" xfId="0" applyFont="1" applyFill="1" applyBorder="1" applyAlignment="1">
      <alignment horizontal="left" vertical="center" indent="1"/>
    </xf>
    <xf numFmtId="0" fontId="40" fillId="2" borderId="20" xfId="0" applyFont="1" applyFill="1" applyBorder="1" applyAlignment="1">
      <alignment horizontal="left" vertical="center" indent="1"/>
    </xf>
    <xf numFmtId="0" fontId="42" fillId="2" borderId="15" xfId="0" applyFont="1" applyFill="1" applyBorder="1" applyAlignment="1">
      <alignment horizontal="center"/>
    </xf>
    <xf numFmtId="0" fontId="28" fillId="2" borderId="15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40" fillId="2" borderId="15" xfId="0" applyFont="1" applyFill="1" applyBorder="1" applyAlignment="1">
      <alignment horizontal="center" vertical="center"/>
    </xf>
    <xf numFmtId="0" fontId="40" fillId="2" borderId="41" xfId="0" applyFont="1" applyFill="1" applyBorder="1" applyAlignment="1">
      <alignment horizontal="center" vertical="center"/>
    </xf>
    <xf numFmtId="0" fontId="19" fillId="2" borderId="0" xfId="0" applyFont="1" applyFill="1" applyAlignment="1">
      <alignment horizontal="left" vertical="center"/>
    </xf>
    <xf numFmtId="0" fontId="19" fillId="2" borderId="0" xfId="0" applyFont="1" applyFill="1" applyAlignment="1">
      <alignment horizontal="center" vertical="center"/>
    </xf>
    <xf numFmtId="0" fontId="19" fillId="2" borderId="1" xfId="0" applyFont="1" applyFill="1" applyBorder="1" applyAlignment="1">
      <alignment horizontal="left" vertical="center" indent="1"/>
    </xf>
    <xf numFmtId="0" fontId="19" fillId="2" borderId="11" xfId="0" applyFont="1" applyFill="1" applyBorder="1" applyAlignment="1">
      <alignment horizontal="center" vertical="center"/>
    </xf>
    <xf numFmtId="0" fontId="19" fillId="2" borderId="10" xfId="0" applyFont="1" applyFill="1" applyBorder="1" applyAlignment="1">
      <alignment horizontal="center" vertical="center"/>
    </xf>
    <xf numFmtId="0" fontId="19" fillId="2" borderId="12" xfId="0" applyFont="1" applyFill="1" applyBorder="1" applyAlignment="1">
      <alignment horizontal="center" vertical="center"/>
    </xf>
    <xf numFmtId="0" fontId="19" fillId="2" borderId="11" xfId="0" applyFont="1" applyFill="1" applyBorder="1" applyAlignment="1">
      <alignment horizontal="left" vertical="center" indent="1"/>
    </xf>
    <xf numFmtId="0" fontId="19" fillId="2" borderId="12" xfId="0" applyFont="1" applyFill="1" applyBorder="1" applyAlignment="1">
      <alignment horizontal="left" vertical="center" indent="1"/>
    </xf>
    <xf numFmtId="0" fontId="4" fillId="2" borderId="0" xfId="0" applyFont="1" applyFill="1" applyAlignment="1">
      <alignment horizontal="center" vertical="center"/>
    </xf>
    <xf numFmtId="0" fontId="39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164" fontId="27" fillId="2" borderId="1" xfId="0" applyNumberFormat="1" applyFont="1" applyFill="1" applyBorder="1" applyAlignment="1">
      <alignment horizontal="center" vertical="center"/>
    </xf>
    <xf numFmtId="0" fontId="18" fillId="2" borderId="8" xfId="0" applyFont="1" applyFill="1" applyBorder="1" applyAlignment="1">
      <alignment horizontal="right" vertical="center"/>
    </xf>
    <xf numFmtId="0" fontId="19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 wrapText="1"/>
    </xf>
    <xf numFmtId="0" fontId="20" fillId="2" borderId="1" xfId="0" applyFont="1" applyFill="1" applyBorder="1" applyAlignment="1">
      <alignment horizontal="center" vertical="center"/>
    </xf>
  </cellXfs>
  <cellStyles count="35">
    <cellStyle name="Comma" xfId="8" builtinId="3"/>
    <cellStyle name="Comma 10" xfId="27" xr:uid="{00000000-0005-0000-0000-000001000000}"/>
    <cellStyle name="Comma 2" xfId="1" xr:uid="{00000000-0005-0000-0000-000002000000}"/>
    <cellStyle name="Comma 3" xfId="2" xr:uid="{00000000-0005-0000-0000-000003000000}"/>
    <cellStyle name="Comma 4" xfId="5" xr:uid="{00000000-0005-0000-0000-000004000000}"/>
    <cellStyle name="Comma 7" xfId="6" xr:uid="{00000000-0005-0000-0000-000005000000}"/>
    <cellStyle name="Comma 8" xfId="7" xr:uid="{00000000-0005-0000-0000-000006000000}"/>
    <cellStyle name="Input 2 5 2 2 3" xfId="33" xr:uid="{F9D459A1-4C20-45C3-854B-87300253A4BD}"/>
    <cellStyle name="Normal" xfId="0" builtinId="0"/>
    <cellStyle name="Normal 109" xfId="17" xr:uid="{00000000-0005-0000-0000-000008000000}"/>
    <cellStyle name="Normal 110" xfId="21" xr:uid="{00000000-0005-0000-0000-000009000000}"/>
    <cellStyle name="Normal 112" xfId="18" xr:uid="{00000000-0005-0000-0000-00000A000000}"/>
    <cellStyle name="Normal 114" xfId="22" xr:uid="{00000000-0005-0000-0000-00000B000000}"/>
    <cellStyle name="Normal 115" xfId="23" xr:uid="{00000000-0005-0000-0000-00000C000000}"/>
    <cellStyle name="Normal 117" xfId="24" xr:uid="{00000000-0005-0000-0000-00000D000000}"/>
    <cellStyle name="Normal 119" xfId="29" xr:uid="{00000000-0005-0000-0000-00000E000000}"/>
    <cellStyle name="Normal 15" xfId="30" xr:uid="{00000000-0005-0000-0000-00000F000000}"/>
    <cellStyle name="Normal 19" xfId="31" xr:uid="{00000000-0005-0000-0000-000010000000}"/>
    <cellStyle name="Normal 2" xfId="3" xr:uid="{00000000-0005-0000-0000-000011000000}"/>
    <cellStyle name="Normal 28" xfId="10" xr:uid="{00000000-0005-0000-0000-000012000000}"/>
    <cellStyle name="Normal 3" xfId="4" xr:uid="{00000000-0005-0000-0000-000013000000}"/>
    <cellStyle name="Normal 31" xfId="12" xr:uid="{00000000-0005-0000-0000-000014000000}"/>
    <cellStyle name="Normal 5" xfId="25" xr:uid="{00000000-0005-0000-0000-000015000000}"/>
    <cellStyle name="Normal 6" xfId="34" xr:uid="{C4EC7806-71E2-48D5-A7AA-AB43E2F19722}"/>
    <cellStyle name="Normal 60" xfId="9" xr:uid="{00000000-0005-0000-0000-000016000000}"/>
    <cellStyle name="Normal 63" xfId="14" xr:uid="{00000000-0005-0000-0000-000017000000}"/>
    <cellStyle name="Normal 64" xfId="20" xr:uid="{00000000-0005-0000-0000-000018000000}"/>
    <cellStyle name="Normal 7" xfId="26" xr:uid="{00000000-0005-0000-0000-000019000000}"/>
    <cellStyle name="Normal 72" xfId="11" xr:uid="{00000000-0005-0000-0000-00001A000000}"/>
    <cellStyle name="Normal 9" xfId="28" xr:uid="{00000000-0005-0000-0000-00001B000000}"/>
    <cellStyle name="Normal 93" xfId="19" xr:uid="{00000000-0005-0000-0000-00001C000000}"/>
    <cellStyle name="Normal 94" xfId="13" xr:uid="{00000000-0005-0000-0000-00001D000000}"/>
    <cellStyle name="Normal 96" xfId="15" xr:uid="{00000000-0005-0000-0000-00001E000000}"/>
    <cellStyle name="Normal 98" xfId="16" xr:uid="{00000000-0005-0000-0000-00001F000000}"/>
    <cellStyle name="Normal_Sheet1" xfId="32" xr:uid="{00000000-0005-0000-0000-000020000000}"/>
  </cellStyles>
  <dxfs count="1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5050"/>
      <color rgb="FF3366CC"/>
      <color rgb="FF00CC00"/>
      <color rgb="FFCC3300"/>
      <color rgb="FFFF3399"/>
      <color rgb="FF00FFFF"/>
      <color rgb="FFF8F8F8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634</xdr:colOff>
      <xdr:row>1</xdr:row>
      <xdr:rowOff>19682</xdr:rowOff>
    </xdr:from>
    <xdr:to>
      <xdr:col>13</xdr:col>
      <xdr:colOff>66675</xdr:colOff>
      <xdr:row>47</xdr:row>
      <xdr:rowOff>15874</xdr:rowOff>
    </xdr:to>
    <xdr:grpSp>
      <xdr:nvGrpSpPr>
        <xdr:cNvPr id="74" name="Group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GrpSpPr/>
      </xdr:nvGrpSpPr>
      <xdr:grpSpPr>
        <a:xfrm>
          <a:off x="203834" y="197482"/>
          <a:ext cx="7863841" cy="10803892"/>
          <a:chOff x="57785" y="19684"/>
          <a:chExt cx="7060565" cy="9450020"/>
        </a:xfrm>
        <a:solidFill>
          <a:sysClr val="window" lastClr="FFFFFF"/>
        </a:solidFill>
      </xdr:grpSpPr>
      <xdr:sp macro="" textlink="">
        <xdr:nvSpPr>
          <xdr:cNvPr id="49" name="Shape 12">
            <a:extLst>
              <a:ext uri="{FF2B5EF4-FFF2-40B4-BE49-F238E27FC236}">
                <a16:creationId xmlns:a16="http://schemas.microsoft.com/office/drawing/2014/main" id="{00000000-0008-0000-0100-000031000000}"/>
              </a:ext>
            </a:extLst>
          </xdr:cNvPr>
          <xdr:cNvSpPr/>
        </xdr:nvSpPr>
        <xdr:spPr>
          <a:xfrm>
            <a:off x="76560" y="19684"/>
            <a:ext cx="0" cy="56388"/>
          </a:xfrm>
          <a:custGeom>
            <a:avLst/>
            <a:gdLst/>
            <a:ahLst/>
            <a:cxnLst/>
            <a:rect l="0" t="0" r="0" b="0"/>
            <a:pathLst>
              <a:path h="56388">
                <a:moveTo>
                  <a:pt x="0" y="0"/>
                </a:moveTo>
                <a:lnTo>
                  <a:pt x="0" y="56388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50" name="Shape 13">
            <a:extLst>
              <a:ext uri="{FF2B5EF4-FFF2-40B4-BE49-F238E27FC236}">
                <a16:creationId xmlns:a16="http://schemas.microsoft.com/office/drawing/2014/main" id="{00000000-0008-0000-0100-000032000000}"/>
              </a:ext>
            </a:extLst>
          </xdr:cNvPr>
          <xdr:cNvSpPr/>
        </xdr:nvSpPr>
        <xdr:spPr>
          <a:xfrm>
            <a:off x="57785" y="38734"/>
            <a:ext cx="55573" cy="0"/>
          </a:xfrm>
          <a:custGeom>
            <a:avLst/>
            <a:gdLst/>
            <a:ahLst/>
            <a:cxnLst/>
            <a:rect l="0" t="0" r="0" b="0"/>
            <a:pathLst>
              <a:path w="56388">
                <a:moveTo>
                  <a:pt x="0" y="0"/>
                </a:moveTo>
                <a:lnTo>
                  <a:pt x="56388" y="0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51" name="Shape 14">
            <a:extLs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SpPr/>
        </xdr:nvSpPr>
        <xdr:spPr>
          <a:xfrm>
            <a:off x="113358" y="38734"/>
            <a:ext cx="6949419" cy="0"/>
          </a:xfrm>
          <a:custGeom>
            <a:avLst/>
            <a:gdLst/>
            <a:ahLst/>
            <a:cxnLst/>
            <a:rect l="0" t="0" r="0" b="0"/>
            <a:pathLst>
              <a:path w="7051294">
                <a:moveTo>
                  <a:pt x="0" y="0"/>
                </a:moveTo>
                <a:lnTo>
                  <a:pt x="7051294" y="0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52" name="Shape 15">
            <a:extLst>
              <a:ext uri="{FF2B5EF4-FFF2-40B4-BE49-F238E27FC236}">
                <a16:creationId xmlns:a16="http://schemas.microsoft.com/office/drawing/2014/main" id="{00000000-0008-0000-0100-000034000000}"/>
              </a:ext>
            </a:extLst>
          </xdr:cNvPr>
          <xdr:cNvSpPr/>
        </xdr:nvSpPr>
        <xdr:spPr>
          <a:xfrm>
            <a:off x="113358" y="71500"/>
            <a:ext cx="6949419" cy="0"/>
          </a:xfrm>
          <a:custGeom>
            <a:avLst/>
            <a:gdLst/>
            <a:ahLst/>
            <a:cxnLst/>
            <a:rect l="0" t="0" r="0" b="0"/>
            <a:pathLst>
              <a:path w="7051294">
                <a:moveTo>
                  <a:pt x="0" y="0"/>
                </a:moveTo>
                <a:lnTo>
                  <a:pt x="7051294" y="0"/>
                </a:lnTo>
              </a:path>
            </a:pathLst>
          </a:custGeom>
          <a:grpFill/>
          <a:ln w="10414">
            <a:solidFill>
              <a:srgbClr val="000000"/>
            </a:solidFill>
            <a:prstDash val="solid"/>
          </a:ln>
        </xdr:spPr>
      </xdr:sp>
      <xdr:sp macro="" textlink="">
        <xdr:nvSpPr>
          <xdr:cNvPr id="53" name="Shape 16">
            <a:extLst>
              <a:ext uri="{FF2B5EF4-FFF2-40B4-BE49-F238E27FC236}">
                <a16:creationId xmlns:a16="http://schemas.microsoft.com/office/drawing/2014/main" id="{00000000-0008-0000-0100-000035000000}"/>
              </a:ext>
            </a:extLst>
          </xdr:cNvPr>
          <xdr:cNvSpPr/>
        </xdr:nvSpPr>
        <xdr:spPr>
          <a:xfrm>
            <a:off x="7099576" y="19684"/>
            <a:ext cx="0" cy="56388"/>
          </a:xfrm>
          <a:custGeom>
            <a:avLst/>
            <a:gdLst/>
            <a:ahLst/>
            <a:cxnLst/>
            <a:rect l="0" t="0" r="0" b="0"/>
            <a:pathLst>
              <a:path h="56388">
                <a:moveTo>
                  <a:pt x="0" y="0"/>
                </a:moveTo>
                <a:lnTo>
                  <a:pt x="0" y="56388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54" name="Shape 17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SpPr/>
        </xdr:nvSpPr>
        <xdr:spPr>
          <a:xfrm>
            <a:off x="7062777" y="38734"/>
            <a:ext cx="55573" cy="0"/>
          </a:xfrm>
          <a:custGeom>
            <a:avLst/>
            <a:gdLst/>
            <a:ahLst/>
            <a:cxnLst/>
            <a:rect l="0" t="0" r="0" b="0"/>
            <a:pathLst>
              <a:path w="56388">
                <a:moveTo>
                  <a:pt x="0" y="0"/>
                </a:moveTo>
                <a:lnTo>
                  <a:pt x="56388" y="0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55" name="Shape 18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/>
        </xdr:nvSpPr>
        <xdr:spPr>
          <a:xfrm>
            <a:off x="76560" y="76022"/>
            <a:ext cx="0" cy="9337294"/>
          </a:xfrm>
          <a:custGeom>
            <a:avLst/>
            <a:gdLst/>
            <a:ahLst/>
            <a:cxnLst/>
            <a:rect l="0" t="0" r="0" b="0"/>
            <a:pathLst>
              <a:path h="9337294">
                <a:moveTo>
                  <a:pt x="0" y="0"/>
                </a:moveTo>
                <a:lnTo>
                  <a:pt x="0" y="9337294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56" name="Shape 19">
            <a:extLst>
              <a:ext uri="{FF2B5EF4-FFF2-40B4-BE49-F238E27FC236}">
                <a16:creationId xmlns:a16="http://schemas.microsoft.com/office/drawing/2014/main" id="{00000000-0008-0000-0100-000038000000}"/>
              </a:ext>
            </a:extLst>
          </xdr:cNvPr>
          <xdr:cNvSpPr/>
        </xdr:nvSpPr>
        <xdr:spPr>
          <a:xfrm>
            <a:off x="108851" y="66928"/>
            <a:ext cx="0" cy="9355531"/>
          </a:xfrm>
          <a:custGeom>
            <a:avLst/>
            <a:gdLst/>
            <a:ahLst/>
            <a:cxnLst/>
            <a:rect l="0" t="0" r="0" b="0"/>
            <a:pathLst>
              <a:path h="9355531">
                <a:moveTo>
                  <a:pt x="0" y="0"/>
                </a:moveTo>
                <a:lnTo>
                  <a:pt x="0" y="9355531"/>
                </a:lnTo>
              </a:path>
            </a:pathLst>
          </a:custGeom>
          <a:grpFill/>
          <a:ln w="10413">
            <a:solidFill>
              <a:srgbClr val="000000"/>
            </a:solidFill>
            <a:prstDash val="solid"/>
          </a:ln>
        </xdr:spPr>
      </xdr:sp>
      <xdr:sp macro="" textlink="">
        <xdr:nvSpPr>
          <xdr:cNvPr id="57" name="Shape 20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/>
        </xdr:nvSpPr>
        <xdr:spPr>
          <a:xfrm>
            <a:off x="7099576" y="76022"/>
            <a:ext cx="0" cy="9337294"/>
          </a:xfrm>
          <a:custGeom>
            <a:avLst/>
            <a:gdLst/>
            <a:ahLst/>
            <a:cxnLst/>
            <a:rect l="0" t="0" r="0" b="0"/>
            <a:pathLst>
              <a:path h="9337294">
                <a:moveTo>
                  <a:pt x="0" y="0"/>
                </a:moveTo>
                <a:lnTo>
                  <a:pt x="0" y="9337294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58" name="Shape 21">
            <a:extLst>
              <a:ext uri="{FF2B5EF4-FFF2-40B4-BE49-F238E27FC236}">
                <a16:creationId xmlns:a16="http://schemas.microsoft.com/office/drawing/2014/main" id="{00000000-0008-0000-0100-00003A000000}"/>
              </a:ext>
            </a:extLst>
          </xdr:cNvPr>
          <xdr:cNvSpPr/>
        </xdr:nvSpPr>
        <xdr:spPr>
          <a:xfrm>
            <a:off x="7067283" y="66929"/>
            <a:ext cx="0" cy="9355531"/>
          </a:xfrm>
          <a:custGeom>
            <a:avLst/>
            <a:gdLst/>
            <a:ahLst/>
            <a:cxnLst/>
            <a:rect l="0" t="0" r="0" b="0"/>
            <a:pathLst>
              <a:path h="9355531">
                <a:moveTo>
                  <a:pt x="0" y="0"/>
                </a:moveTo>
                <a:lnTo>
                  <a:pt x="0" y="9355531"/>
                </a:lnTo>
              </a:path>
            </a:pathLst>
          </a:custGeom>
          <a:grpFill/>
          <a:ln w="10413">
            <a:solidFill>
              <a:srgbClr val="000000"/>
            </a:solidFill>
            <a:prstDash val="solid"/>
          </a:ln>
        </xdr:spPr>
      </xdr:sp>
      <xdr:sp macro="" textlink="">
        <xdr:nvSpPr>
          <xdr:cNvPr id="59" name="Shape 22">
            <a:extLst>
              <a:ext uri="{FF2B5EF4-FFF2-40B4-BE49-F238E27FC236}">
                <a16:creationId xmlns:a16="http://schemas.microsoft.com/office/drawing/2014/main" id="{00000000-0008-0000-0100-00003B000000}"/>
              </a:ext>
            </a:extLst>
          </xdr:cNvPr>
          <xdr:cNvSpPr/>
        </xdr:nvSpPr>
        <xdr:spPr>
          <a:xfrm>
            <a:off x="76560" y="9413316"/>
            <a:ext cx="0" cy="56388"/>
          </a:xfrm>
          <a:custGeom>
            <a:avLst/>
            <a:gdLst/>
            <a:ahLst/>
            <a:cxnLst/>
            <a:rect l="0" t="0" r="0" b="0"/>
            <a:pathLst>
              <a:path h="56388">
                <a:moveTo>
                  <a:pt x="0" y="0"/>
                </a:moveTo>
                <a:lnTo>
                  <a:pt x="0" y="56388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60" name="Shape 23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57785" y="9450654"/>
            <a:ext cx="55573" cy="0"/>
          </a:xfrm>
          <a:custGeom>
            <a:avLst/>
            <a:gdLst/>
            <a:ahLst/>
            <a:cxnLst/>
            <a:rect l="0" t="0" r="0" b="0"/>
            <a:pathLst>
              <a:path w="56388">
                <a:moveTo>
                  <a:pt x="0" y="0"/>
                </a:moveTo>
                <a:lnTo>
                  <a:pt x="56388" y="0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61" name="Shape 24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/>
        </xdr:nvSpPr>
        <xdr:spPr>
          <a:xfrm>
            <a:off x="113358" y="9450654"/>
            <a:ext cx="6949419" cy="0"/>
          </a:xfrm>
          <a:custGeom>
            <a:avLst/>
            <a:gdLst/>
            <a:ahLst/>
            <a:cxnLst/>
            <a:rect l="0" t="0" r="0" b="0"/>
            <a:pathLst>
              <a:path w="7051294">
                <a:moveTo>
                  <a:pt x="0" y="0"/>
                </a:moveTo>
                <a:lnTo>
                  <a:pt x="7051294" y="0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62" name="Shape 25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/>
        </xdr:nvSpPr>
        <xdr:spPr>
          <a:xfrm>
            <a:off x="113358" y="9417888"/>
            <a:ext cx="6949419" cy="0"/>
          </a:xfrm>
          <a:custGeom>
            <a:avLst/>
            <a:gdLst/>
            <a:ahLst/>
            <a:cxnLst/>
            <a:rect l="0" t="0" r="0" b="0"/>
            <a:pathLst>
              <a:path w="7051294">
                <a:moveTo>
                  <a:pt x="0" y="0"/>
                </a:moveTo>
                <a:lnTo>
                  <a:pt x="7051294" y="0"/>
                </a:lnTo>
              </a:path>
            </a:pathLst>
          </a:custGeom>
          <a:grpFill/>
          <a:ln w="10413">
            <a:solidFill>
              <a:srgbClr val="000000"/>
            </a:solidFill>
            <a:prstDash val="solid"/>
          </a:ln>
        </xdr:spPr>
      </xdr:sp>
      <xdr:sp macro="" textlink="">
        <xdr:nvSpPr>
          <xdr:cNvPr id="63" name="Shape 26">
            <a:extLst>
              <a:ext uri="{FF2B5EF4-FFF2-40B4-BE49-F238E27FC236}">
                <a16:creationId xmlns:a16="http://schemas.microsoft.com/office/drawing/2014/main" id="{00000000-0008-0000-0100-00003F000000}"/>
              </a:ext>
            </a:extLst>
          </xdr:cNvPr>
          <xdr:cNvSpPr/>
        </xdr:nvSpPr>
        <xdr:spPr>
          <a:xfrm>
            <a:off x="7099576" y="9413316"/>
            <a:ext cx="0" cy="56388"/>
          </a:xfrm>
          <a:custGeom>
            <a:avLst/>
            <a:gdLst/>
            <a:ahLst/>
            <a:cxnLst/>
            <a:rect l="0" t="0" r="0" b="0"/>
            <a:pathLst>
              <a:path h="56388">
                <a:moveTo>
                  <a:pt x="0" y="0"/>
                </a:moveTo>
                <a:lnTo>
                  <a:pt x="0" y="56388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  <xdr:sp macro="" textlink="">
        <xdr:nvSpPr>
          <xdr:cNvPr id="64" name="Shape 27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/>
        </xdr:nvSpPr>
        <xdr:spPr>
          <a:xfrm>
            <a:off x="7062777" y="9450654"/>
            <a:ext cx="55573" cy="0"/>
          </a:xfrm>
          <a:custGeom>
            <a:avLst/>
            <a:gdLst/>
            <a:ahLst/>
            <a:cxnLst/>
            <a:rect l="0" t="0" r="0" b="0"/>
            <a:pathLst>
              <a:path w="56388">
                <a:moveTo>
                  <a:pt x="0" y="0"/>
                </a:moveTo>
                <a:lnTo>
                  <a:pt x="56388" y="0"/>
                </a:lnTo>
              </a:path>
            </a:pathLst>
          </a:custGeom>
          <a:grpFill/>
          <a:ln w="39370">
            <a:solidFill>
              <a:srgbClr val="000000"/>
            </a:solidFill>
            <a:prstDash val="solid"/>
          </a:ln>
        </xdr:spPr>
      </xdr:sp>
    </xdr:grpSp>
    <xdr:clientData/>
  </xdr:twoCellAnchor>
  <xdr:twoCellAnchor editAs="oneCell">
    <xdr:from>
      <xdr:col>1</xdr:col>
      <xdr:colOff>111125</xdr:colOff>
      <xdr:row>1</xdr:row>
      <xdr:rowOff>142874</xdr:rowOff>
    </xdr:from>
    <xdr:to>
      <xdr:col>5</xdr:col>
      <xdr:colOff>317500</xdr:colOff>
      <xdr:row>5</xdr:row>
      <xdr:rowOff>281958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500" y="333374"/>
          <a:ext cx="2365375" cy="9487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14</xdr:row>
      <xdr:rowOff>15679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60A5C07D-CFC5-46B8-BEF0-ED83579E1904}"/>
            </a:ext>
          </a:extLst>
        </xdr:cNvPr>
        <xdr:cNvSpPr/>
      </xdr:nvSpPr>
      <xdr:spPr>
        <a:xfrm>
          <a:off x="1592310" y="1306425"/>
          <a:ext cx="3600" cy="1608697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3" name="AutoShape 1">
          <a:extLst>
            <a:ext uri="{FF2B5EF4-FFF2-40B4-BE49-F238E27FC236}">
              <a16:creationId xmlns:a16="http://schemas.microsoft.com/office/drawing/2014/main" id="{E1603741-6427-41A3-B200-4D29B0DA2A86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4" name="AutoShape 1">
          <a:extLst>
            <a:ext uri="{FF2B5EF4-FFF2-40B4-BE49-F238E27FC236}">
              <a16:creationId xmlns:a16="http://schemas.microsoft.com/office/drawing/2014/main" id="{15DD1C10-C5C2-4061-B98A-0CC09BB5304B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5" name="AutoShape 1">
          <a:extLst>
            <a:ext uri="{FF2B5EF4-FFF2-40B4-BE49-F238E27FC236}">
              <a16:creationId xmlns:a16="http://schemas.microsoft.com/office/drawing/2014/main" id="{69F94402-A9C8-4D87-B153-540053B4DA17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6" name="AutoShape 1">
          <a:extLst>
            <a:ext uri="{FF2B5EF4-FFF2-40B4-BE49-F238E27FC236}">
              <a16:creationId xmlns:a16="http://schemas.microsoft.com/office/drawing/2014/main" id="{7C619059-C745-4779-9840-06CDD4D88E69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7" name="AutoShape 1">
          <a:extLst>
            <a:ext uri="{FF2B5EF4-FFF2-40B4-BE49-F238E27FC236}">
              <a16:creationId xmlns:a16="http://schemas.microsoft.com/office/drawing/2014/main" id="{3D1C6AC2-582F-4B0C-9D77-D28FB55C048A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8" name="AutoShape 1">
          <a:extLst>
            <a:ext uri="{FF2B5EF4-FFF2-40B4-BE49-F238E27FC236}">
              <a16:creationId xmlns:a16="http://schemas.microsoft.com/office/drawing/2014/main" id="{5C58C808-E442-4FF8-B9EB-3C19F5520A9B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9" name="AutoShape 1">
          <a:extLst>
            <a:ext uri="{FF2B5EF4-FFF2-40B4-BE49-F238E27FC236}">
              <a16:creationId xmlns:a16="http://schemas.microsoft.com/office/drawing/2014/main" id="{084C9277-E562-4FF3-8245-0BBDFA69DD4F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0" name="AutoShape 1">
          <a:extLst>
            <a:ext uri="{FF2B5EF4-FFF2-40B4-BE49-F238E27FC236}">
              <a16:creationId xmlns:a16="http://schemas.microsoft.com/office/drawing/2014/main" id="{7CFEDBD0-F3EE-49DF-8FF2-27D3D33C8468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1" name="AutoShape 1">
          <a:extLst>
            <a:ext uri="{FF2B5EF4-FFF2-40B4-BE49-F238E27FC236}">
              <a16:creationId xmlns:a16="http://schemas.microsoft.com/office/drawing/2014/main" id="{3CE80AED-7372-4F89-8A72-8865B0D2E73E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2" name="AutoShape 1">
          <a:extLst>
            <a:ext uri="{FF2B5EF4-FFF2-40B4-BE49-F238E27FC236}">
              <a16:creationId xmlns:a16="http://schemas.microsoft.com/office/drawing/2014/main" id="{C32A6886-B2EE-41EB-8778-824B09EC16C5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3" name="AutoShape 1">
          <a:extLst>
            <a:ext uri="{FF2B5EF4-FFF2-40B4-BE49-F238E27FC236}">
              <a16:creationId xmlns:a16="http://schemas.microsoft.com/office/drawing/2014/main" id="{0ABC6627-443E-49FB-815F-CBDB3D9A624D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4" name="AutoShape 1">
          <a:extLst>
            <a:ext uri="{FF2B5EF4-FFF2-40B4-BE49-F238E27FC236}">
              <a16:creationId xmlns:a16="http://schemas.microsoft.com/office/drawing/2014/main" id="{09A6DEEC-1ED7-4917-A3BF-F324C72D1FA3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5" name="AutoShape 1">
          <a:extLst>
            <a:ext uri="{FF2B5EF4-FFF2-40B4-BE49-F238E27FC236}">
              <a16:creationId xmlns:a16="http://schemas.microsoft.com/office/drawing/2014/main" id="{5BA47A3E-66C9-4A25-B839-11F22EBEA0CB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6" name="AutoShape 1">
          <a:extLst>
            <a:ext uri="{FF2B5EF4-FFF2-40B4-BE49-F238E27FC236}">
              <a16:creationId xmlns:a16="http://schemas.microsoft.com/office/drawing/2014/main" id="{71754905-26F6-4755-9732-8F55C2BA8BE2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7" name="AutoShape 1">
          <a:extLst>
            <a:ext uri="{FF2B5EF4-FFF2-40B4-BE49-F238E27FC236}">
              <a16:creationId xmlns:a16="http://schemas.microsoft.com/office/drawing/2014/main" id="{2C63B9C7-4920-4103-B484-22AD2F6EA775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8" name="AutoShape 1">
          <a:extLst>
            <a:ext uri="{FF2B5EF4-FFF2-40B4-BE49-F238E27FC236}">
              <a16:creationId xmlns:a16="http://schemas.microsoft.com/office/drawing/2014/main" id="{C484ADED-7787-408E-B6B4-0EB7A448DD6A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9" name="AutoShape 1">
          <a:extLst>
            <a:ext uri="{FF2B5EF4-FFF2-40B4-BE49-F238E27FC236}">
              <a16:creationId xmlns:a16="http://schemas.microsoft.com/office/drawing/2014/main" id="{E9B2CE68-A02C-4A67-A2E2-4A05D80FBBF3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20" name="AutoShape 1">
          <a:extLst>
            <a:ext uri="{FF2B5EF4-FFF2-40B4-BE49-F238E27FC236}">
              <a16:creationId xmlns:a16="http://schemas.microsoft.com/office/drawing/2014/main" id="{3AC61F7C-B064-4ECD-9310-03DC30B46B46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21" name="AutoShape 1">
          <a:extLst>
            <a:ext uri="{FF2B5EF4-FFF2-40B4-BE49-F238E27FC236}">
              <a16:creationId xmlns:a16="http://schemas.microsoft.com/office/drawing/2014/main" id="{7CE2F6C4-F31C-47E1-A653-5BC65FBB77D8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22" name="AutoShape 1">
          <a:extLst>
            <a:ext uri="{FF2B5EF4-FFF2-40B4-BE49-F238E27FC236}">
              <a16:creationId xmlns:a16="http://schemas.microsoft.com/office/drawing/2014/main" id="{47B1D8F6-BF5A-4A61-8AEB-9BFBFFE6F068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23" name="AutoShape 1">
          <a:extLst>
            <a:ext uri="{FF2B5EF4-FFF2-40B4-BE49-F238E27FC236}">
              <a16:creationId xmlns:a16="http://schemas.microsoft.com/office/drawing/2014/main" id="{C49E6FB6-B87B-4958-8D92-D690B08023A9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24" name="AutoShape 1">
          <a:extLst>
            <a:ext uri="{FF2B5EF4-FFF2-40B4-BE49-F238E27FC236}">
              <a16:creationId xmlns:a16="http://schemas.microsoft.com/office/drawing/2014/main" id="{261867E1-EE6C-458B-8E4B-AE10ED405C0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25" name="AutoShape 1">
          <a:extLst>
            <a:ext uri="{FF2B5EF4-FFF2-40B4-BE49-F238E27FC236}">
              <a16:creationId xmlns:a16="http://schemas.microsoft.com/office/drawing/2014/main" id="{44F2121E-34F9-47A9-84AA-41B46E3E64EB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26" name="AutoShape 1">
          <a:extLst>
            <a:ext uri="{FF2B5EF4-FFF2-40B4-BE49-F238E27FC236}">
              <a16:creationId xmlns:a16="http://schemas.microsoft.com/office/drawing/2014/main" id="{710B84F0-018F-4ECA-A374-6F43AA5BFE05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27" name="AutoShape 1">
          <a:extLst>
            <a:ext uri="{FF2B5EF4-FFF2-40B4-BE49-F238E27FC236}">
              <a16:creationId xmlns:a16="http://schemas.microsoft.com/office/drawing/2014/main" id="{3B9BD6E4-5D47-4DF2-9940-803340CEB655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28" name="AutoShape 1">
          <a:extLst>
            <a:ext uri="{FF2B5EF4-FFF2-40B4-BE49-F238E27FC236}">
              <a16:creationId xmlns:a16="http://schemas.microsoft.com/office/drawing/2014/main" id="{F9D3B7BC-97BE-48AB-83AE-48A35349D3C5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29" name="AutoShape 1">
          <a:extLst>
            <a:ext uri="{FF2B5EF4-FFF2-40B4-BE49-F238E27FC236}">
              <a16:creationId xmlns:a16="http://schemas.microsoft.com/office/drawing/2014/main" id="{1DAAB9CA-824F-46E5-8C04-83CDA2736974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30" name="AutoShape 1">
          <a:extLst>
            <a:ext uri="{FF2B5EF4-FFF2-40B4-BE49-F238E27FC236}">
              <a16:creationId xmlns:a16="http://schemas.microsoft.com/office/drawing/2014/main" id="{4AB63973-9964-493E-AAE0-048FDC37F083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31" name="AutoShape 1">
          <a:extLst>
            <a:ext uri="{FF2B5EF4-FFF2-40B4-BE49-F238E27FC236}">
              <a16:creationId xmlns:a16="http://schemas.microsoft.com/office/drawing/2014/main" id="{92308C69-3A0C-42F5-A649-EB91A3E63FAF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32" name="AutoShape 1">
          <a:extLst>
            <a:ext uri="{FF2B5EF4-FFF2-40B4-BE49-F238E27FC236}">
              <a16:creationId xmlns:a16="http://schemas.microsoft.com/office/drawing/2014/main" id="{EC07571A-9830-46B0-AD2A-03CDA5AACCA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33" name="AutoShape 1">
          <a:extLst>
            <a:ext uri="{FF2B5EF4-FFF2-40B4-BE49-F238E27FC236}">
              <a16:creationId xmlns:a16="http://schemas.microsoft.com/office/drawing/2014/main" id="{EC0CF8F1-F901-4EB7-8A95-31FE931C34C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69324</xdr:rowOff>
    </xdr:to>
    <xdr:sp macro="" textlink="">
      <xdr:nvSpPr>
        <xdr:cNvPr id="34" name="AutoShape 1">
          <a:extLst>
            <a:ext uri="{FF2B5EF4-FFF2-40B4-BE49-F238E27FC236}">
              <a16:creationId xmlns:a16="http://schemas.microsoft.com/office/drawing/2014/main" id="{544BD64B-50F2-4448-9BB1-BEEC0F103A2B}"/>
            </a:ext>
          </a:extLst>
        </xdr:cNvPr>
        <xdr:cNvSpPr/>
      </xdr:nvSpPr>
      <xdr:spPr>
        <a:xfrm>
          <a:off x="1592310" y="1148460"/>
          <a:ext cx="3600" cy="148522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69324</xdr:rowOff>
    </xdr:to>
    <xdr:sp macro="" textlink="">
      <xdr:nvSpPr>
        <xdr:cNvPr id="35" name="AutoShape 1">
          <a:extLst>
            <a:ext uri="{FF2B5EF4-FFF2-40B4-BE49-F238E27FC236}">
              <a16:creationId xmlns:a16="http://schemas.microsoft.com/office/drawing/2014/main" id="{4B4FBE08-6848-4254-A0B8-6ABE2DFA5553}"/>
            </a:ext>
          </a:extLst>
        </xdr:cNvPr>
        <xdr:cNvSpPr/>
      </xdr:nvSpPr>
      <xdr:spPr>
        <a:xfrm>
          <a:off x="1592310" y="1148460"/>
          <a:ext cx="3600" cy="148522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36" name="AutoShape 1">
          <a:extLst>
            <a:ext uri="{FF2B5EF4-FFF2-40B4-BE49-F238E27FC236}">
              <a16:creationId xmlns:a16="http://schemas.microsoft.com/office/drawing/2014/main" id="{D688D55A-3809-4AFE-A3AB-1A5117EB0E26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37" name="AutoShape 1">
          <a:extLst>
            <a:ext uri="{FF2B5EF4-FFF2-40B4-BE49-F238E27FC236}">
              <a16:creationId xmlns:a16="http://schemas.microsoft.com/office/drawing/2014/main" id="{D35F0E75-19CF-4888-902F-EB2E10B111B1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38" name="AutoShape 1">
          <a:extLst>
            <a:ext uri="{FF2B5EF4-FFF2-40B4-BE49-F238E27FC236}">
              <a16:creationId xmlns:a16="http://schemas.microsoft.com/office/drawing/2014/main" id="{28697FAD-07A2-4885-B033-0A87B6018254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39" name="AutoShape 1">
          <a:extLst>
            <a:ext uri="{FF2B5EF4-FFF2-40B4-BE49-F238E27FC236}">
              <a16:creationId xmlns:a16="http://schemas.microsoft.com/office/drawing/2014/main" id="{3B70DD02-7F8E-4410-9CC8-64618D216079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40" name="AutoShape 1">
          <a:extLst>
            <a:ext uri="{FF2B5EF4-FFF2-40B4-BE49-F238E27FC236}">
              <a16:creationId xmlns:a16="http://schemas.microsoft.com/office/drawing/2014/main" id="{F5A40628-C848-4466-923C-E6FCCAA58428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41" name="AutoShape 1">
          <a:extLst>
            <a:ext uri="{FF2B5EF4-FFF2-40B4-BE49-F238E27FC236}">
              <a16:creationId xmlns:a16="http://schemas.microsoft.com/office/drawing/2014/main" id="{ADCD7AFC-9DB2-4F0B-8C3D-1180912774BC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42" name="AutoShape 1">
          <a:extLst>
            <a:ext uri="{FF2B5EF4-FFF2-40B4-BE49-F238E27FC236}">
              <a16:creationId xmlns:a16="http://schemas.microsoft.com/office/drawing/2014/main" id="{D721574D-8E5B-4A72-A57C-DC7D9F51FC95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43" name="AutoShape 1">
          <a:extLst>
            <a:ext uri="{FF2B5EF4-FFF2-40B4-BE49-F238E27FC236}">
              <a16:creationId xmlns:a16="http://schemas.microsoft.com/office/drawing/2014/main" id="{08D81B35-7B6C-48B4-9D76-EC279797D363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44" name="AutoShape 1">
          <a:extLst>
            <a:ext uri="{FF2B5EF4-FFF2-40B4-BE49-F238E27FC236}">
              <a16:creationId xmlns:a16="http://schemas.microsoft.com/office/drawing/2014/main" id="{25791CE6-9488-48FB-B278-31786DCEEB78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45" name="AutoShape 1">
          <a:extLst>
            <a:ext uri="{FF2B5EF4-FFF2-40B4-BE49-F238E27FC236}">
              <a16:creationId xmlns:a16="http://schemas.microsoft.com/office/drawing/2014/main" id="{2EC33DA9-FF23-46B8-A3F9-9D1F351F9C12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46" name="AutoShape 1">
          <a:extLst>
            <a:ext uri="{FF2B5EF4-FFF2-40B4-BE49-F238E27FC236}">
              <a16:creationId xmlns:a16="http://schemas.microsoft.com/office/drawing/2014/main" id="{05CFCA3E-D15B-4F18-84D2-85DAE067770E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47" name="AutoShape 1">
          <a:extLst>
            <a:ext uri="{FF2B5EF4-FFF2-40B4-BE49-F238E27FC236}">
              <a16:creationId xmlns:a16="http://schemas.microsoft.com/office/drawing/2014/main" id="{DB1DB04C-673F-4EC4-9E18-092EAEBED0D7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48" name="AutoShape 1">
          <a:extLst>
            <a:ext uri="{FF2B5EF4-FFF2-40B4-BE49-F238E27FC236}">
              <a16:creationId xmlns:a16="http://schemas.microsoft.com/office/drawing/2014/main" id="{55F17844-C990-486A-92A5-82399B29C74C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49" name="AutoShape 1">
          <a:extLst>
            <a:ext uri="{FF2B5EF4-FFF2-40B4-BE49-F238E27FC236}">
              <a16:creationId xmlns:a16="http://schemas.microsoft.com/office/drawing/2014/main" id="{1F385083-AFD2-462D-A594-BD1168FBC62F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50" name="AutoShape 1">
          <a:extLst>
            <a:ext uri="{FF2B5EF4-FFF2-40B4-BE49-F238E27FC236}">
              <a16:creationId xmlns:a16="http://schemas.microsoft.com/office/drawing/2014/main" id="{67A695B2-01D8-40B5-9140-F43B04E6BF9C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51" name="AutoShape 1">
          <a:extLst>
            <a:ext uri="{FF2B5EF4-FFF2-40B4-BE49-F238E27FC236}">
              <a16:creationId xmlns:a16="http://schemas.microsoft.com/office/drawing/2014/main" id="{0A7A857F-78C5-4976-B934-6D21F10A6542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52" name="AutoShape 1">
          <a:extLst>
            <a:ext uri="{FF2B5EF4-FFF2-40B4-BE49-F238E27FC236}">
              <a16:creationId xmlns:a16="http://schemas.microsoft.com/office/drawing/2014/main" id="{D55A1ACD-7697-45AB-ACD1-79F919EEADFB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53" name="AutoShape 1">
          <a:extLst>
            <a:ext uri="{FF2B5EF4-FFF2-40B4-BE49-F238E27FC236}">
              <a16:creationId xmlns:a16="http://schemas.microsoft.com/office/drawing/2014/main" id="{06D4E9D6-13D2-44CB-9DD4-D668E8B44F5A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54" name="AutoShape 1">
          <a:extLst>
            <a:ext uri="{FF2B5EF4-FFF2-40B4-BE49-F238E27FC236}">
              <a16:creationId xmlns:a16="http://schemas.microsoft.com/office/drawing/2014/main" id="{78F11017-92C3-4E97-B16A-21D317DA3A63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55" name="AutoShape 1">
          <a:extLst>
            <a:ext uri="{FF2B5EF4-FFF2-40B4-BE49-F238E27FC236}">
              <a16:creationId xmlns:a16="http://schemas.microsoft.com/office/drawing/2014/main" id="{DBF34E4C-BFCD-4D65-A0E9-C68F28AAEBE5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56" name="AutoShape 1">
          <a:extLst>
            <a:ext uri="{FF2B5EF4-FFF2-40B4-BE49-F238E27FC236}">
              <a16:creationId xmlns:a16="http://schemas.microsoft.com/office/drawing/2014/main" id="{9E7783E9-AB97-4B6E-9A3A-0F49C79BB12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57" name="AutoShape 1">
          <a:extLst>
            <a:ext uri="{FF2B5EF4-FFF2-40B4-BE49-F238E27FC236}">
              <a16:creationId xmlns:a16="http://schemas.microsoft.com/office/drawing/2014/main" id="{810F7BC4-0C34-4066-BB20-AE4B801A70B4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58" name="AutoShape 1">
          <a:extLst>
            <a:ext uri="{FF2B5EF4-FFF2-40B4-BE49-F238E27FC236}">
              <a16:creationId xmlns:a16="http://schemas.microsoft.com/office/drawing/2014/main" id="{B264C11B-378A-4820-9FD4-AFE1137F3D7C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59" name="AutoShape 1">
          <a:extLst>
            <a:ext uri="{FF2B5EF4-FFF2-40B4-BE49-F238E27FC236}">
              <a16:creationId xmlns:a16="http://schemas.microsoft.com/office/drawing/2014/main" id="{8213A182-4E5F-4517-8942-E5E93ECC140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60" name="AutoShape 1">
          <a:extLst>
            <a:ext uri="{FF2B5EF4-FFF2-40B4-BE49-F238E27FC236}">
              <a16:creationId xmlns:a16="http://schemas.microsoft.com/office/drawing/2014/main" id="{DBCED6CC-B2A8-40A8-B535-C0229B994F00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61" name="AutoShape 1">
          <a:extLst>
            <a:ext uri="{FF2B5EF4-FFF2-40B4-BE49-F238E27FC236}">
              <a16:creationId xmlns:a16="http://schemas.microsoft.com/office/drawing/2014/main" id="{04814B62-BD53-4AB3-B55F-5A1CB2CE6F6C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62" name="AutoShape 1">
          <a:extLst>
            <a:ext uri="{FF2B5EF4-FFF2-40B4-BE49-F238E27FC236}">
              <a16:creationId xmlns:a16="http://schemas.microsoft.com/office/drawing/2014/main" id="{9D301E98-AF8A-4EDA-AAA0-AE0089071EA0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63" name="AutoShape 1">
          <a:extLst>
            <a:ext uri="{FF2B5EF4-FFF2-40B4-BE49-F238E27FC236}">
              <a16:creationId xmlns:a16="http://schemas.microsoft.com/office/drawing/2014/main" id="{74DB1F5F-9DF4-494B-8EBD-069861C0BDDF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64" name="AutoShape 1">
          <a:extLst>
            <a:ext uri="{FF2B5EF4-FFF2-40B4-BE49-F238E27FC236}">
              <a16:creationId xmlns:a16="http://schemas.microsoft.com/office/drawing/2014/main" id="{0D9AE629-FE41-4A7B-B069-A3BC9391C01A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65" name="AutoShape 1">
          <a:extLst>
            <a:ext uri="{FF2B5EF4-FFF2-40B4-BE49-F238E27FC236}">
              <a16:creationId xmlns:a16="http://schemas.microsoft.com/office/drawing/2014/main" id="{956F819E-C57D-40D1-815E-D28BB9C1956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66" name="AutoShape 1">
          <a:extLst>
            <a:ext uri="{FF2B5EF4-FFF2-40B4-BE49-F238E27FC236}">
              <a16:creationId xmlns:a16="http://schemas.microsoft.com/office/drawing/2014/main" id="{B01C0218-AF57-4D0E-9FA2-F9B9EC2B749E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67" name="AutoShape 1">
          <a:extLst>
            <a:ext uri="{FF2B5EF4-FFF2-40B4-BE49-F238E27FC236}">
              <a16:creationId xmlns:a16="http://schemas.microsoft.com/office/drawing/2014/main" id="{DB49D68E-D125-41A6-9C23-DB0D44E6C9AE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69324</xdr:rowOff>
    </xdr:to>
    <xdr:sp macro="" textlink="">
      <xdr:nvSpPr>
        <xdr:cNvPr id="68" name="AutoShape 1">
          <a:extLst>
            <a:ext uri="{FF2B5EF4-FFF2-40B4-BE49-F238E27FC236}">
              <a16:creationId xmlns:a16="http://schemas.microsoft.com/office/drawing/2014/main" id="{4F78E9E2-ECC1-47B9-91E2-F343283B69CE}"/>
            </a:ext>
          </a:extLst>
        </xdr:cNvPr>
        <xdr:cNvSpPr/>
      </xdr:nvSpPr>
      <xdr:spPr>
        <a:xfrm>
          <a:off x="1592310" y="1148460"/>
          <a:ext cx="3600" cy="148522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69324</xdr:rowOff>
    </xdr:to>
    <xdr:sp macro="" textlink="">
      <xdr:nvSpPr>
        <xdr:cNvPr id="69" name="AutoShape 1">
          <a:extLst>
            <a:ext uri="{FF2B5EF4-FFF2-40B4-BE49-F238E27FC236}">
              <a16:creationId xmlns:a16="http://schemas.microsoft.com/office/drawing/2014/main" id="{5A6A7A36-34CE-4364-AE54-7AB29E8424EF}"/>
            </a:ext>
          </a:extLst>
        </xdr:cNvPr>
        <xdr:cNvSpPr/>
      </xdr:nvSpPr>
      <xdr:spPr>
        <a:xfrm>
          <a:off x="1592310" y="1148460"/>
          <a:ext cx="3600" cy="148522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70" name="AutoShape 1">
          <a:extLst>
            <a:ext uri="{FF2B5EF4-FFF2-40B4-BE49-F238E27FC236}">
              <a16:creationId xmlns:a16="http://schemas.microsoft.com/office/drawing/2014/main" id="{EFFFE3FD-CAE4-4821-9C82-838031A07FA0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71" name="AutoShape 1">
          <a:extLst>
            <a:ext uri="{FF2B5EF4-FFF2-40B4-BE49-F238E27FC236}">
              <a16:creationId xmlns:a16="http://schemas.microsoft.com/office/drawing/2014/main" id="{872BEA92-28A6-4CB6-B30A-B7CE30A8EAD5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72" name="AutoShape 1">
          <a:extLst>
            <a:ext uri="{FF2B5EF4-FFF2-40B4-BE49-F238E27FC236}">
              <a16:creationId xmlns:a16="http://schemas.microsoft.com/office/drawing/2014/main" id="{61529A4D-95E7-4BDE-99F9-A7ECBB717FC4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73" name="AutoShape 1">
          <a:extLst>
            <a:ext uri="{FF2B5EF4-FFF2-40B4-BE49-F238E27FC236}">
              <a16:creationId xmlns:a16="http://schemas.microsoft.com/office/drawing/2014/main" id="{4142D777-98C4-404A-897B-D5FD7AA54481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74" name="AutoShape 1">
          <a:extLst>
            <a:ext uri="{FF2B5EF4-FFF2-40B4-BE49-F238E27FC236}">
              <a16:creationId xmlns:a16="http://schemas.microsoft.com/office/drawing/2014/main" id="{62278631-3B85-4B8F-A9E8-657D866975D0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75" name="AutoShape 1">
          <a:extLst>
            <a:ext uri="{FF2B5EF4-FFF2-40B4-BE49-F238E27FC236}">
              <a16:creationId xmlns:a16="http://schemas.microsoft.com/office/drawing/2014/main" id="{CBC4A570-153F-4023-B797-71136E07EBBD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76" name="AutoShape 1">
          <a:extLst>
            <a:ext uri="{FF2B5EF4-FFF2-40B4-BE49-F238E27FC236}">
              <a16:creationId xmlns:a16="http://schemas.microsoft.com/office/drawing/2014/main" id="{D60A2239-1DE0-48C6-8768-C922DC75A304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77" name="AutoShape 1">
          <a:extLst>
            <a:ext uri="{FF2B5EF4-FFF2-40B4-BE49-F238E27FC236}">
              <a16:creationId xmlns:a16="http://schemas.microsoft.com/office/drawing/2014/main" id="{8FA02FA8-DCE3-4EC8-8CDB-C3774665088B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78" name="AutoShape 1">
          <a:extLst>
            <a:ext uri="{FF2B5EF4-FFF2-40B4-BE49-F238E27FC236}">
              <a16:creationId xmlns:a16="http://schemas.microsoft.com/office/drawing/2014/main" id="{6453F64C-3857-4D40-A1C3-64C381D54C2A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79" name="AutoShape 1">
          <a:extLst>
            <a:ext uri="{FF2B5EF4-FFF2-40B4-BE49-F238E27FC236}">
              <a16:creationId xmlns:a16="http://schemas.microsoft.com/office/drawing/2014/main" id="{CC7F36AA-B631-4D7F-9A70-B4317BBB398D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80" name="AutoShape 1">
          <a:extLst>
            <a:ext uri="{FF2B5EF4-FFF2-40B4-BE49-F238E27FC236}">
              <a16:creationId xmlns:a16="http://schemas.microsoft.com/office/drawing/2014/main" id="{47B6E4C7-129C-4A74-88C8-7D144159C750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81" name="AutoShape 1">
          <a:extLst>
            <a:ext uri="{FF2B5EF4-FFF2-40B4-BE49-F238E27FC236}">
              <a16:creationId xmlns:a16="http://schemas.microsoft.com/office/drawing/2014/main" id="{026E323D-37CC-48F1-B716-9BE5ADCBB77E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82" name="AutoShape 1">
          <a:extLst>
            <a:ext uri="{FF2B5EF4-FFF2-40B4-BE49-F238E27FC236}">
              <a16:creationId xmlns:a16="http://schemas.microsoft.com/office/drawing/2014/main" id="{C02CE3A6-31FC-4C73-AE91-41F98C05AB17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83" name="AutoShape 1">
          <a:extLst>
            <a:ext uri="{FF2B5EF4-FFF2-40B4-BE49-F238E27FC236}">
              <a16:creationId xmlns:a16="http://schemas.microsoft.com/office/drawing/2014/main" id="{2C30F14C-F559-4785-9BED-0D6CB963A59C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84" name="AutoShape 1">
          <a:extLst>
            <a:ext uri="{FF2B5EF4-FFF2-40B4-BE49-F238E27FC236}">
              <a16:creationId xmlns:a16="http://schemas.microsoft.com/office/drawing/2014/main" id="{708FEBBB-494A-4E57-946D-661FC41147E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85" name="AutoShape 1">
          <a:extLst>
            <a:ext uri="{FF2B5EF4-FFF2-40B4-BE49-F238E27FC236}">
              <a16:creationId xmlns:a16="http://schemas.microsoft.com/office/drawing/2014/main" id="{F522D0CF-2FB8-4F7E-A339-E46F566548D0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86" name="AutoShape 1">
          <a:extLst>
            <a:ext uri="{FF2B5EF4-FFF2-40B4-BE49-F238E27FC236}">
              <a16:creationId xmlns:a16="http://schemas.microsoft.com/office/drawing/2014/main" id="{6AB0B85B-156A-4B05-AB71-F9EE3FD461F3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87" name="AutoShape 1">
          <a:extLst>
            <a:ext uri="{FF2B5EF4-FFF2-40B4-BE49-F238E27FC236}">
              <a16:creationId xmlns:a16="http://schemas.microsoft.com/office/drawing/2014/main" id="{1A6ADA74-8CF9-4AD0-8593-F85C71180EA0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88" name="AutoShape 1">
          <a:extLst>
            <a:ext uri="{FF2B5EF4-FFF2-40B4-BE49-F238E27FC236}">
              <a16:creationId xmlns:a16="http://schemas.microsoft.com/office/drawing/2014/main" id="{515C1FC6-FEC2-40A3-95FD-2248DFD1D730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89" name="AutoShape 1">
          <a:extLst>
            <a:ext uri="{FF2B5EF4-FFF2-40B4-BE49-F238E27FC236}">
              <a16:creationId xmlns:a16="http://schemas.microsoft.com/office/drawing/2014/main" id="{7477BC9D-084D-48A1-9FF6-2E5692335988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90" name="AutoShape 1">
          <a:extLst>
            <a:ext uri="{FF2B5EF4-FFF2-40B4-BE49-F238E27FC236}">
              <a16:creationId xmlns:a16="http://schemas.microsoft.com/office/drawing/2014/main" id="{CD804BF4-C478-4C83-976D-8FF459AC0469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91" name="AutoShape 1">
          <a:extLst>
            <a:ext uri="{FF2B5EF4-FFF2-40B4-BE49-F238E27FC236}">
              <a16:creationId xmlns:a16="http://schemas.microsoft.com/office/drawing/2014/main" id="{0A7C3CEC-F719-4DA9-996F-BC25BB7D84B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92" name="AutoShape 1">
          <a:extLst>
            <a:ext uri="{FF2B5EF4-FFF2-40B4-BE49-F238E27FC236}">
              <a16:creationId xmlns:a16="http://schemas.microsoft.com/office/drawing/2014/main" id="{07B66967-49F7-4655-9414-7C4689AC296F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93" name="AutoShape 1">
          <a:extLst>
            <a:ext uri="{FF2B5EF4-FFF2-40B4-BE49-F238E27FC236}">
              <a16:creationId xmlns:a16="http://schemas.microsoft.com/office/drawing/2014/main" id="{06FD950E-0CD8-4687-B6D0-A3D1B21ACB80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94" name="AutoShape 1">
          <a:extLst>
            <a:ext uri="{FF2B5EF4-FFF2-40B4-BE49-F238E27FC236}">
              <a16:creationId xmlns:a16="http://schemas.microsoft.com/office/drawing/2014/main" id="{FE6EC261-C5C3-49BE-8EB4-5F460E9965EA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95" name="AutoShape 1">
          <a:extLst>
            <a:ext uri="{FF2B5EF4-FFF2-40B4-BE49-F238E27FC236}">
              <a16:creationId xmlns:a16="http://schemas.microsoft.com/office/drawing/2014/main" id="{3016827A-447B-483A-8457-E3AA298E7CB1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96" name="AutoShape 1">
          <a:extLst>
            <a:ext uri="{FF2B5EF4-FFF2-40B4-BE49-F238E27FC236}">
              <a16:creationId xmlns:a16="http://schemas.microsoft.com/office/drawing/2014/main" id="{4E11C1DF-A998-47DC-81ED-134DFF7C5E8D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97" name="AutoShape 1">
          <a:extLst>
            <a:ext uri="{FF2B5EF4-FFF2-40B4-BE49-F238E27FC236}">
              <a16:creationId xmlns:a16="http://schemas.microsoft.com/office/drawing/2014/main" id="{A27FA40E-97DD-4D9A-BFE7-6E543AECD519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98" name="AutoShape 1">
          <a:extLst>
            <a:ext uri="{FF2B5EF4-FFF2-40B4-BE49-F238E27FC236}">
              <a16:creationId xmlns:a16="http://schemas.microsoft.com/office/drawing/2014/main" id="{4DD7639A-F408-4981-9BE3-3B2368EFF6DC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99" name="AutoShape 1">
          <a:extLst>
            <a:ext uri="{FF2B5EF4-FFF2-40B4-BE49-F238E27FC236}">
              <a16:creationId xmlns:a16="http://schemas.microsoft.com/office/drawing/2014/main" id="{13FD2871-FAD0-4AB0-8E7A-7EA93D018030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00" name="AutoShape 1">
          <a:extLst>
            <a:ext uri="{FF2B5EF4-FFF2-40B4-BE49-F238E27FC236}">
              <a16:creationId xmlns:a16="http://schemas.microsoft.com/office/drawing/2014/main" id="{78AC96E2-40C5-4839-B05D-8B80772A022A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01" name="AutoShape 1">
          <a:extLst>
            <a:ext uri="{FF2B5EF4-FFF2-40B4-BE49-F238E27FC236}">
              <a16:creationId xmlns:a16="http://schemas.microsoft.com/office/drawing/2014/main" id="{171239A7-7E0E-4800-B443-ECF49A782F53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69324</xdr:rowOff>
    </xdr:to>
    <xdr:sp macro="" textlink="">
      <xdr:nvSpPr>
        <xdr:cNvPr id="102" name="AutoShape 1">
          <a:extLst>
            <a:ext uri="{FF2B5EF4-FFF2-40B4-BE49-F238E27FC236}">
              <a16:creationId xmlns:a16="http://schemas.microsoft.com/office/drawing/2014/main" id="{E1E49FD8-B3FF-48D0-B7F6-CCC41D8AD45D}"/>
            </a:ext>
          </a:extLst>
        </xdr:cNvPr>
        <xdr:cNvSpPr/>
      </xdr:nvSpPr>
      <xdr:spPr>
        <a:xfrm>
          <a:off x="1592310" y="1148460"/>
          <a:ext cx="3600" cy="148522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69324</xdr:rowOff>
    </xdr:to>
    <xdr:sp macro="" textlink="">
      <xdr:nvSpPr>
        <xdr:cNvPr id="103" name="AutoShape 1">
          <a:extLst>
            <a:ext uri="{FF2B5EF4-FFF2-40B4-BE49-F238E27FC236}">
              <a16:creationId xmlns:a16="http://schemas.microsoft.com/office/drawing/2014/main" id="{91209008-18B3-414B-A025-01243480EBCA}"/>
            </a:ext>
          </a:extLst>
        </xdr:cNvPr>
        <xdr:cNvSpPr/>
      </xdr:nvSpPr>
      <xdr:spPr>
        <a:xfrm>
          <a:off x="1592310" y="1148460"/>
          <a:ext cx="3600" cy="148522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104" name="AutoShape 1">
          <a:extLst>
            <a:ext uri="{FF2B5EF4-FFF2-40B4-BE49-F238E27FC236}">
              <a16:creationId xmlns:a16="http://schemas.microsoft.com/office/drawing/2014/main" id="{6C0D4978-5BF0-4B5E-9C18-1D558372D576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105" name="AutoShape 1">
          <a:extLst>
            <a:ext uri="{FF2B5EF4-FFF2-40B4-BE49-F238E27FC236}">
              <a16:creationId xmlns:a16="http://schemas.microsoft.com/office/drawing/2014/main" id="{44544237-83BB-4DAA-BEA0-168B1B794108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106" name="AutoShape 1">
          <a:extLst>
            <a:ext uri="{FF2B5EF4-FFF2-40B4-BE49-F238E27FC236}">
              <a16:creationId xmlns:a16="http://schemas.microsoft.com/office/drawing/2014/main" id="{3E6D8109-B819-440F-90F1-E9BE3EEBE6E4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107" name="AutoShape 1">
          <a:extLst>
            <a:ext uri="{FF2B5EF4-FFF2-40B4-BE49-F238E27FC236}">
              <a16:creationId xmlns:a16="http://schemas.microsoft.com/office/drawing/2014/main" id="{CB1CE2C2-8CDD-42EE-A249-DCD73681796F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108" name="AutoShape 1">
          <a:extLst>
            <a:ext uri="{FF2B5EF4-FFF2-40B4-BE49-F238E27FC236}">
              <a16:creationId xmlns:a16="http://schemas.microsoft.com/office/drawing/2014/main" id="{C810A83C-2206-47D5-A77D-5A7A53CF7F43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109" name="AutoShape 1">
          <a:extLst>
            <a:ext uri="{FF2B5EF4-FFF2-40B4-BE49-F238E27FC236}">
              <a16:creationId xmlns:a16="http://schemas.microsoft.com/office/drawing/2014/main" id="{D868FAC3-9080-4F04-A6ED-92ECA50A9F8B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110" name="AutoShape 1">
          <a:extLst>
            <a:ext uri="{FF2B5EF4-FFF2-40B4-BE49-F238E27FC236}">
              <a16:creationId xmlns:a16="http://schemas.microsoft.com/office/drawing/2014/main" id="{E08120BA-C70E-4447-8CE1-AC1943E240B0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150046</xdr:rowOff>
    </xdr:to>
    <xdr:sp macro="" textlink="">
      <xdr:nvSpPr>
        <xdr:cNvPr id="111" name="AutoShape 1">
          <a:extLst>
            <a:ext uri="{FF2B5EF4-FFF2-40B4-BE49-F238E27FC236}">
              <a16:creationId xmlns:a16="http://schemas.microsoft.com/office/drawing/2014/main" id="{1B8CF0C5-2D1B-46FB-8B3B-8CC72EFE6D91}"/>
            </a:ext>
          </a:extLst>
        </xdr:cNvPr>
        <xdr:cNvSpPr/>
      </xdr:nvSpPr>
      <xdr:spPr>
        <a:xfrm>
          <a:off x="1592310" y="1229460"/>
          <a:ext cx="5400" cy="208498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12" name="AutoShape 1">
          <a:extLst>
            <a:ext uri="{FF2B5EF4-FFF2-40B4-BE49-F238E27FC236}">
              <a16:creationId xmlns:a16="http://schemas.microsoft.com/office/drawing/2014/main" id="{31F0E2D6-EE3B-45D0-A46B-4C06E3C6E27D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13" name="AutoShape 1">
          <a:extLst>
            <a:ext uri="{FF2B5EF4-FFF2-40B4-BE49-F238E27FC236}">
              <a16:creationId xmlns:a16="http://schemas.microsoft.com/office/drawing/2014/main" id="{EF132E94-F627-4E79-B3D9-6DD64751ED22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14" name="AutoShape 1">
          <a:extLst>
            <a:ext uri="{FF2B5EF4-FFF2-40B4-BE49-F238E27FC236}">
              <a16:creationId xmlns:a16="http://schemas.microsoft.com/office/drawing/2014/main" id="{C8E435A8-C6DB-456E-A5BF-758F837893D8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15" name="AutoShape 1">
          <a:extLst>
            <a:ext uri="{FF2B5EF4-FFF2-40B4-BE49-F238E27FC236}">
              <a16:creationId xmlns:a16="http://schemas.microsoft.com/office/drawing/2014/main" id="{D383FB53-6E34-4A55-B1F0-EEF4221E6410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16" name="AutoShape 1">
          <a:extLst>
            <a:ext uri="{FF2B5EF4-FFF2-40B4-BE49-F238E27FC236}">
              <a16:creationId xmlns:a16="http://schemas.microsoft.com/office/drawing/2014/main" id="{FD68F1E9-EB2A-41A3-A7E2-FF06CC70D120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17" name="AutoShape 1">
          <a:extLst>
            <a:ext uri="{FF2B5EF4-FFF2-40B4-BE49-F238E27FC236}">
              <a16:creationId xmlns:a16="http://schemas.microsoft.com/office/drawing/2014/main" id="{DD5DC9DE-CD57-49CA-8BBB-D72B1820B1EF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18" name="AutoShape 1">
          <a:extLst>
            <a:ext uri="{FF2B5EF4-FFF2-40B4-BE49-F238E27FC236}">
              <a16:creationId xmlns:a16="http://schemas.microsoft.com/office/drawing/2014/main" id="{F2640246-5763-4738-BBC7-3FEE7EF89B3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19" name="AutoShape 1">
          <a:extLst>
            <a:ext uri="{FF2B5EF4-FFF2-40B4-BE49-F238E27FC236}">
              <a16:creationId xmlns:a16="http://schemas.microsoft.com/office/drawing/2014/main" id="{E874CA7F-1ED7-4AE7-A170-BA65E090F304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20" name="AutoShape 1">
          <a:extLst>
            <a:ext uri="{FF2B5EF4-FFF2-40B4-BE49-F238E27FC236}">
              <a16:creationId xmlns:a16="http://schemas.microsoft.com/office/drawing/2014/main" id="{F50B0F1D-4D50-4AD9-B610-078E38796E99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21" name="AutoShape 1">
          <a:extLst>
            <a:ext uri="{FF2B5EF4-FFF2-40B4-BE49-F238E27FC236}">
              <a16:creationId xmlns:a16="http://schemas.microsoft.com/office/drawing/2014/main" id="{CAA39B7A-A8F2-4095-9B36-AA15EB9F2140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22" name="AutoShape 1">
          <a:extLst>
            <a:ext uri="{FF2B5EF4-FFF2-40B4-BE49-F238E27FC236}">
              <a16:creationId xmlns:a16="http://schemas.microsoft.com/office/drawing/2014/main" id="{435D4FD7-596B-4828-94F5-B1F19A691F9F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23" name="AutoShape 1">
          <a:extLst>
            <a:ext uri="{FF2B5EF4-FFF2-40B4-BE49-F238E27FC236}">
              <a16:creationId xmlns:a16="http://schemas.microsoft.com/office/drawing/2014/main" id="{8731568A-CB7F-452A-B336-B74E10EEAA78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24" name="AutoShape 1">
          <a:extLst>
            <a:ext uri="{FF2B5EF4-FFF2-40B4-BE49-F238E27FC236}">
              <a16:creationId xmlns:a16="http://schemas.microsoft.com/office/drawing/2014/main" id="{D953885D-D877-41A0-90EC-61D312058AB7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25" name="AutoShape 1">
          <a:extLst>
            <a:ext uri="{FF2B5EF4-FFF2-40B4-BE49-F238E27FC236}">
              <a16:creationId xmlns:a16="http://schemas.microsoft.com/office/drawing/2014/main" id="{22832711-6A9A-46AB-97A6-F0B58B90AD97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26" name="AutoShape 1">
          <a:extLst>
            <a:ext uri="{FF2B5EF4-FFF2-40B4-BE49-F238E27FC236}">
              <a16:creationId xmlns:a16="http://schemas.microsoft.com/office/drawing/2014/main" id="{60D02ED5-C37C-449A-889B-ED0FAEF33E58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27" name="AutoShape 1">
          <a:extLst>
            <a:ext uri="{FF2B5EF4-FFF2-40B4-BE49-F238E27FC236}">
              <a16:creationId xmlns:a16="http://schemas.microsoft.com/office/drawing/2014/main" id="{7D851E90-FDB9-410A-BE6F-EABBF3F1BD12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28" name="AutoShape 1">
          <a:extLst>
            <a:ext uri="{FF2B5EF4-FFF2-40B4-BE49-F238E27FC236}">
              <a16:creationId xmlns:a16="http://schemas.microsoft.com/office/drawing/2014/main" id="{CB862CFC-03DA-4AF3-AF6D-FFEF4C5113B3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29" name="AutoShape 1">
          <a:extLst>
            <a:ext uri="{FF2B5EF4-FFF2-40B4-BE49-F238E27FC236}">
              <a16:creationId xmlns:a16="http://schemas.microsoft.com/office/drawing/2014/main" id="{7579B8AC-ADAC-4B99-A6FA-3F4B14703611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30" name="AutoShape 1">
          <a:extLst>
            <a:ext uri="{FF2B5EF4-FFF2-40B4-BE49-F238E27FC236}">
              <a16:creationId xmlns:a16="http://schemas.microsoft.com/office/drawing/2014/main" id="{103FE80B-A9ED-4F06-B209-B659BAE7E641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69684</xdr:rowOff>
    </xdr:to>
    <xdr:sp macro="" textlink="">
      <xdr:nvSpPr>
        <xdr:cNvPr id="131" name="AutoShape 1">
          <a:extLst>
            <a:ext uri="{FF2B5EF4-FFF2-40B4-BE49-F238E27FC236}">
              <a16:creationId xmlns:a16="http://schemas.microsoft.com/office/drawing/2014/main" id="{C2F9A04B-6E61-4F8D-934D-DDF82576202B}"/>
            </a:ext>
          </a:extLst>
        </xdr:cNvPr>
        <xdr:cNvSpPr/>
      </xdr:nvSpPr>
      <xdr:spPr>
        <a:xfrm>
          <a:off x="1592310" y="1148460"/>
          <a:ext cx="3600" cy="148558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32" name="AutoShape 1">
          <a:extLst>
            <a:ext uri="{FF2B5EF4-FFF2-40B4-BE49-F238E27FC236}">
              <a16:creationId xmlns:a16="http://schemas.microsoft.com/office/drawing/2014/main" id="{BEF97DF2-2136-47E7-87D1-F3523E796801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33" name="AutoShape 1">
          <a:extLst>
            <a:ext uri="{FF2B5EF4-FFF2-40B4-BE49-F238E27FC236}">
              <a16:creationId xmlns:a16="http://schemas.microsoft.com/office/drawing/2014/main" id="{706AFDFE-936D-4D45-8820-6C48ADBA0C6A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34" name="AutoShape 1">
          <a:extLst>
            <a:ext uri="{FF2B5EF4-FFF2-40B4-BE49-F238E27FC236}">
              <a16:creationId xmlns:a16="http://schemas.microsoft.com/office/drawing/2014/main" id="{A935B8B6-F848-44FD-A34E-1310C4BAC58D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75149</xdr:rowOff>
    </xdr:to>
    <xdr:sp macro="" textlink="">
      <xdr:nvSpPr>
        <xdr:cNvPr id="135" name="AutoShape 1">
          <a:extLst>
            <a:ext uri="{FF2B5EF4-FFF2-40B4-BE49-F238E27FC236}">
              <a16:creationId xmlns:a16="http://schemas.microsoft.com/office/drawing/2014/main" id="{313B01F4-10F7-42C8-9E62-8B4E165D1846}"/>
            </a:ext>
          </a:extLst>
        </xdr:cNvPr>
        <xdr:cNvSpPr/>
      </xdr:nvSpPr>
      <xdr:spPr>
        <a:xfrm>
          <a:off x="1592310" y="1148460"/>
          <a:ext cx="3600" cy="14910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169145</xdr:rowOff>
    </xdr:to>
    <xdr:sp macro="" textlink="">
      <xdr:nvSpPr>
        <xdr:cNvPr id="136" name="AutoShape 1">
          <a:extLst>
            <a:ext uri="{FF2B5EF4-FFF2-40B4-BE49-F238E27FC236}">
              <a16:creationId xmlns:a16="http://schemas.microsoft.com/office/drawing/2014/main" id="{D8FF2E35-5277-478D-BDFF-C7A15488C9B9}"/>
            </a:ext>
          </a:extLst>
        </xdr:cNvPr>
        <xdr:cNvSpPr/>
      </xdr:nvSpPr>
      <xdr:spPr>
        <a:xfrm flipH="1">
          <a:off x="1385070" y="1104900"/>
          <a:ext cx="8317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lIns="90000" tIns="45000" rIns="90000" bIns="45000">
          <a:noAutofit/>
        </a:bodyPr>
        <a:lstStyle/>
        <a:p>
          <a:pPr>
            <a:lnSpc>
              <a:spcPct val="100000"/>
            </a:lnSpc>
          </a:pPr>
          <a:endParaRPr lang="en-US" sz="1200" b="0" strike="noStrike" spc="-1">
            <a:latin typeface="Times New Roman"/>
          </a:endParaRPr>
        </a:p>
      </xdr:txBody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12</xdr:row>
      <xdr:rowOff>169145</xdr:rowOff>
    </xdr:to>
    <xdr:sp macro="" textlink="">
      <xdr:nvSpPr>
        <xdr:cNvPr id="137" name="AutoShape 1">
          <a:extLst>
            <a:ext uri="{FF2B5EF4-FFF2-40B4-BE49-F238E27FC236}">
              <a16:creationId xmlns:a16="http://schemas.microsoft.com/office/drawing/2014/main" id="{3B20A4C6-2603-4CBF-A3E4-8065A35BC963}"/>
            </a:ext>
          </a:extLst>
        </xdr:cNvPr>
        <xdr:cNvSpPr/>
      </xdr:nvSpPr>
      <xdr:spPr>
        <a:xfrm flipH="1">
          <a:off x="1384710" y="1104900"/>
          <a:ext cx="8389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169145</xdr:rowOff>
    </xdr:to>
    <xdr:sp macro="" textlink="">
      <xdr:nvSpPr>
        <xdr:cNvPr id="138" name="AutoShape 1">
          <a:extLst>
            <a:ext uri="{FF2B5EF4-FFF2-40B4-BE49-F238E27FC236}">
              <a16:creationId xmlns:a16="http://schemas.microsoft.com/office/drawing/2014/main" id="{6E6327A7-75FF-4AF0-A8B8-DD5869B8CA22}"/>
            </a:ext>
          </a:extLst>
        </xdr:cNvPr>
        <xdr:cNvSpPr/>
      </xdr:nvSpPr>
      <xdr:spPr>
        <a:xfrm flipH="1">
          <a:off x="1385070" y="1104900"/>
          <a:ext cx="8317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12</xdr:row>
      <xdr:rowOff>169145</xdr:rowOff>
    </xdr:to>
    <xdr:sp macro="" textlink="">
      <xdr:nvSpPr>
        <xdr:cNvPr id="139" name="AutoShape 1">
          <a:extLst>
            <a:ext uri="{FF2B5EF4-FFF2-40B4-BE49-F238E27FC236}">
              <a16:creationId xmlns:a16="http://schemas.microsoft.com/office/drawing/2014/main" id="{BD7B1A56-0885-4C0D-9781-E4C17DF01522}"/>
            </a:ext>
          </a:extLst>
        </xdr:cNvPr>
        <xdr:cNvSpPr/>
      </xdr:nvSpPr>
      <xdr:spPr>
        <a:xfrm flipH="1">
          <a:off x="1384710" y="1104900"/>
          <a:ext cx="8389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169145</xdr:rowOff>
    </xdr:to>
    <xdr:sp macro="" textlink="">
      <xdr:nvSpPr>
        <xdr:cNvPr id="140" name="AutoShape 1">
          <a:extLst>
            <a:ext uri="{FF2B5EF4-FFF2-40B4-BE49-F238E27FC236}">
              <a16:creationId xmlns:a16="http://schemas.microsoft.com/office/drawing/2014/main" id="{B32BC311-72F5-494D-921C-2A1B0DDB071D}"/>
            </a:ext>
          </a:extLst>
        </xdr:cNvPr>
        <xdr:cNvSpPr/>
      </xdr:nvSpPr>
      <xdr:spPr>
        <a:xfrm flipH="1">
          <a:off x="1385070" y="1104900"/>
          <a:ext cx="8317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12</xdr:row>
      <xdr:rowOff>169145</xdr:rowOff>
    </xdr:to>
    <xdr:sp macro="" textlink="">
      <xdr:nvSpPr>
        <xdr:cNvPr id="141" name="AutoShape 1">
          <a:extLst>
            <a:ext uri="{FF2B5EF4-FFF2-40B4-BE49-F238E27FC236}">
              <a16:creationId xmlns:a16="http://schemas.microsoft.com/office/drawing/2014/main" id="{1BB3E200-21F3-434F-96B4-1EA7C5CFC256}"/>
            </a:ext>
          </a:extLst>
        </xdr:cNvPr>
        <xdr:cNvSpPr/>
      </xdr:nvSpPr>
      <xdr:spPr>
        <a:xfrm flipH="1">
          <a:off x="1384710" y="1104900"/>
          <a:ext cx="8389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169145</xdr:rowOff>
    </xdr:to>
    <xdr:sp macro="" textlink="">
      <xdr:nvSpPr>
        <xdr:cNvPr id="142" name="AutoShape 1">
          <a:extLst>
            <a:ext uri="{FF2B5EF4-FFF2-40B4-BE49-F238E27FC236}">
              <a16:creationId xmlns:a16="http://schemas.microsoft.com/office/drawing/2014/main" id="{D0694DE6-2912-4462-BB73-0AC2F0516517}"/>
            </a:ext>
          </a:extLst>
        </xdr:cNvPr>
        <xdr:cNvSpPr/>
      </xdr:nvSpPr>
      <xdr:spPr>
        <a:xfrm flipH="1">
          <a:off x="1385070" y="1104900"/>
          <a:ext cx="8317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12</xdr:row>
      <xdr:rowOff>169145</xdr:rowOff>
    </xdr:to>
    <xdr:sp macro="" textlink="">
      <xdr:nvSpPr>
        <xdr:cNvPr id="143" name="AutoShape 1">
          <a:extLst>
            <a:ext uri="{FF2B5EF4-FFF2-40B4-BE49-F238E27FC236}">
              <a16:creationId xmlns:a16="http://schemas.microsoft.com/office/drawing/2014/main" id="{83A04207-8515-47B9-AAA9-FA182756A404}"/>
            </a:ext>
          </a:extLst>
        </xdr:cNvPr>
        <xdr:cNvSpPr/>
      </xdr:nvSpPr>
      <xdr:spPr>
        <a:xfrm flipH="1">
          <a:off x="1384710" y="1104900"/>
          <a:ext cx="8389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169145</xdr:rowOff>
    </xdr:to>
    <xdr:sp macro="" textlink="">
      <xdr:nvSpPr>
        <xdr:cNvPr id="144" name="AutoShape 1">
          <a:extLst>
            <a:ext uri="{FF2B5EF4-FFF2-40B4-BE49-F238E27FC236}">
              <a16:creationId xmlns:a16="http://schemas.microsoft.com/office/drawing/2014/main" id="{B8491B6E-9C05-4A40-9EEF-EDA1B28B9E6E}"/>
            </a:ext>
          </a:extLst>
        </xdr:cNvPr>
        <xdr:cNvSpPr/>
      </xdr:nvSpPr>
      <xdr:spPr>
        <a:xfrm flipH="1">
          <a:off x="1385070" y="1104900"/>
          <a:ext cx="8317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12</xdr:row>
      <xdr:rowOff>169145</xdr:rowOff>
    </xdr:to>
    <xdr:sp macro="" textlink="">
      <xdr:nvSpPr>
        <xdr:cNvPr id="145" name="AutoShape 1">
          <a:extLst>
            <a:ext uri="{FF2B5EF4-FFF2-40B4-BE49-F238E27FC236}">
              <a16:creationId xmlns:a16="http://schemas.microsoft.com/office/drawing/2014/main" id="{2168F88E-1F0B-4614-AA3B-951758722986}"/>
            </a:ext>
          </a:extLst>
        </xdr:cNvPr>
        <xdr:cNvSpPr/>
      </xdr:nvSpPr>
      <xdr:spPr>
        <a:xfrm flipH="1">
          <a:off x="1384710" y="1104900"/>
          <a:ext cx="83899" cy="14033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46" name="AutoShape 1">
          <a:extLst>
            <a:ext uri="{FF2B5EF4-FFF2-40B4-BE49-F238E27FC236}">
              <a16:creationId xmlns:a16="http://schemas.microsoft.com/office/drawing/2014/main" id="{BD437CA5-E418-4DCC-81B1-5A8012DA30D7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47" name="AutoShape 1">
          <a:extLst>
            <a:ext uri="{FF2B5EF4-FFF2-40B4-BE49-F238E27FC236}">
              <a16:creationId xmlns:a16="http://schemas.microsoft.com/office/drawing/2014/main" id="{6396E378-BA5C-4C8A-BAE4-244AA70162DB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148" name="AutoShape 1">
          <a:extLst>
            <a:ext uri="{FF2B5EF4-FFF2-40B4-BE49-F238E27FC236}">
              <a16:creationId xmlns:a16="http://schemas.microsoft.com/office/drawing/2014/main" id="{D05FF36F-E0F5-482D-8F48-D481D5F1257F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149" name="AutoShape 1">
          <a:extLst>
            <a:ext uri="{FF2B5EF4-FFF2-40B4-BE49-F238E27FC236}">
              <a16:creationId xmlns:a16="http://schemas.microsoft.com/office/drawing/2014/main" id="{BC871C10-8E7F-4817-8040-ECDE25794884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150" name="AutoShape 1">
          <a:extLst>
            <a:ext uri="{FF2B5EF4-FFF2-40B4-BE49-F238E27FC236}">
              <a16:creationId xmlns:a16="http://schemas.microsoft.com/office/drawing/2014/main" id="{33B8A98E-CBD5-45A6-B05F-81BFA167FB74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151" name="AutoShape 1">
          <a:extLst>
            <a:ext uri="{FF2B5EF4-FFF2-40B4-BE49-F238E27FC236}">
              <a16:creationId xmlns:a16="http://schemas.microsoft.com/office/drawing/2014/main" id="{D41F1094-61AC-4E83-8287-7A021C596563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152" name="AutoShape 1">
          <a:extLst>
            <a:ext uri="{FF2B5EF4-FFF2-40B4-BE49-F238E27FC236}">
              <a16:creationId xmlns:a16="http://schemas.microsoft.com/office/drawing/2014/main" id="{571C0C8F-E14F-4B65-988A-F6CD1D407CAB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153" name="AutoShape 1">
          <a:extLst>
            <a:ext uri="{FF2B5EF4-FFF2-40B4-BE49-F238E27FC236}">
              <a16:creationId xmlns:a16="http://schemas.microsoft.com/office/drawing/2014/main" id="{C767AC82-4488-4C82-9D92-FB63148DDA3B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154" name="AutoShape 1">
          <a:extLst>
            <a:ext uri="{FF2B5EF4-FFF2-40B4-BE49-F238E27FC236}">
              <a16:creationId xmlns:a16="http://schemas.microsoft.com/office/drawing/2014/main" id="{BB533D8C-0533-4FDC-897B-D45F30C8D35A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155" name="AutoShape 1">
          <a:extLst>
            <a:ext uri="{FF2B5EF4-FFF2-40B4-BE49-F238E27FC236}">
              <a16:creationId xmlns:a16="http://schemas.microsoft.com/office/drawing/2014/main" id="{679C92D8-2AFD-49E8-9049-744CE914C84A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56" name="AutoShape 1">
          <a:extLst>
            <a:ext uri="{FF2B5EF4-FFF2-40B4-BE49-F238E27FC236}">
              <a16:creationId xmlns:a16="http://schemas.microsoft.com/office/drawing/2014/main" id="{6FE53059-201D-4CE7-BF3E-77F5326E0EFE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57" name="AutoShape 1">
          <a:extLst>
            <a:ext uri="{FF2B5EF4-FFF2-40B4-BE49-F238E27FC236}">
              <a16:creationId xmlns:a16="http://schemas.microsoft.com/office/drawing/2014/main" id="{716C6FF9-94F2-45AD-AFE2-B738DDB0E241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58" name="AutoShape 1">
          <a:extLst>
            <a:ext uri="{FF2B5EF4-FFF2-40B4-BE49-F238E27FC236}">
              <a16:creationId xmlns:a16="http://schemas.microsoft.com/office/drawing/2014/main" id="{50C9DFFE-17AD-40D0-B311-41FF7D6BDBC3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59" name="AutoShape 1">
          <a:extLst>
            <a:ext uri="{FF2B5EF4-FFF2-40B4-BE49-F238E27FC236}">
              <a16:creationId xmlns:a16="http://schemas.microsoft.com/office/drawing/2014/main" id="{9761FAFA-B435-4428-8874-169384C12761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160" name="AutoShape 1">
          <a:extLst>
            <a:ext uri="{FF2B5EF4-FFF2-40B4-BE49-F238E27FC236}">
              <a16:creationId xmlns:a16="http://schemas.microsoft.com/office/drawing/2014/main" id="{3E9CE7CB-E564-43FB-A20F-75C6AD2EFA05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161" name="AutoShape 1">
          <a:extLst>
            <a:ext uri="{FF2B5EF4-FFF2-40B4-BE49-F238E27FC236}">
              <a16:creationId xmlns:a16="http://schemas.microsoft.com/office/drawing/2014/main" id="{CEA14EAF-740E-4B5B-ADEE-0CD0ABB2DC22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162" name="AutoShape 1">
          <a:extLst>
            <a:ext uri="{FF2B5EF4-FFF2-40B4-BE49-F238E27FC236}">
              <a16:creationId xmlns:a16="http://schemas.microsoft.com/office/drawing/2014/main" id="{7A63E80A-8577-4C5A-B613-D5629D33C815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163" name="AutoShape 1">
          <a:extLst>
            <a:ext uri="{FF2B5EF4-FFF2-40B4-BE49-F238E27FC236}">
              <a16:creationId xmlns:a16="http://schemas.microsoft.com/office/drawing/2014/main" id="{AA77B142-C968-4DFB-BCFD-992345D2B1A6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64" name="AutoShape 1">
          <a:extLst>
            <a:ext uri="{FF2B5EF4-FFF2-40B4-BE49-F238E27FC236}">
              <a16:creationId xmlns:a16="http://schemas.microsoft.com/office/drawing/2014/main" id="{7EB04718-26C2-42F2-A69F-BB4FCF4F3E0D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65" name="AutoShape 1">
          <a:extLst>
            <a:ext uri="{FF2B5EF4-FFF2-40B4-BE49-F238E27FC236}">
              <a16:creationId xmlns:a16="http://schemas.microsoft.com/office/drawing/2014/main" id="{D6D298DF-72DD-4A7D-B383-6ACA8D18E4A8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66" name="AutoShape 1">
          <a:extLst>
            <a:ext uri="{FF2B5EF4-FFF2-40B4-BE49-F238E27FC236}">
              <a16:creationId xmlns:a16="http://schemas.microsoft.com/office/drawing/2014/main" id="{376BD34C-812C-4278-9ED7-E2D33173B612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67" name="AutoShape 1">
          <a:extLst>
            <a:ext uri="{FF2B5EF4-FFF2-40B4-BE49-F238E27FC236}">
              <a16:creationId xmlns:a16="http://schemas.microsoft.com/office/drawing/2014/main" id="{CAA193BB-B2BB-49C6-99BF-21B874280F02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168" name="AutoShape 1">
          <a:extLst>
            <a:ext uri="{FF2B5EF4-FFF2-40B4-BE49-F238E27FC236}">
              <a16:creationId xmlns:a16="http://schemas.microsoft.com/office/drawing/2014/main" id="{4FC5C3B2-5A00-402C-81D9-B87C2561F42A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169" name="AutoShape 1">
          <a:extLst>
            <a:ext uri="{FF2B5EF4-FFF2-40B4-BE49-F238E27FC236}">
              <a16:creationId xmlns:a16="http://schemas.microsoft.com/office/drawing/2014/main" id="{DE302C57-8DEA-4215-B385-878D65217659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170" name="AutoShape 1">
          <a:extLst>
            <a:ext uri="{FF2B5EF4-FFF2-40B4-BE49-F238E27FC236}">
              <a16:creationId xmlns:a16="http://schemas.microsoft.com/office/drawing/2014/main" id="{35A7C839-7CEC-42BC-BDA6-0DDD67BF6B88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171" name="AutoShape 1">
          <a:extLst>
            <a:ext uri="{FF2B5EF4-FFF2-40B4-BE49-F238E27FC236}">
              <a16:creationId xmlns:a16="http://schemas.microsoft.com/office/drawing/2014/main" id="{A33ADE5B-60CF-4D5F-9CC2-8DB889B1DC85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72" name="AutoShape 1">
          <a:extLst>
            <a:ext uri="{FF2B5EF4-FFF2-40B4-BE49-F238E27FC236}">
              <a16:creationId xmlns:a16="http://schemas.microsoft.com/office/drawing/2014/main" id="{64DACDFE-7BA1-49BF-ADA0-FFFFFBB55002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73" name="AutoShape 1">
          <a:extLst>
            <a:ext uri="{FF2B5EF4-FFF2-40B4-BE49-F238E27FC236}">
              <a16:creationId xmlns:a16="http://schemas.microsoft.com/office/drawing/2014/main" id="{301CC112-69AD-4A8F-8D41-920542F6A199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74" name="AutoShape 1">
          <a:extLst>
            <a:ext uri="{FF2B5EF4-FFF2-40B4-BE49-F238E27FC236}">
              <a16:creationId xmlns:a16="http://schemas.microsoft.com/office/drawing/2014/main" id="{219E7D3C-2FC0-4739-8A2C-8A2F058AAF49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75" name="AutoShape 1">
          <a:extLst>
            <a:ext uri="{FF2B5EF4-FFF2-40B4-BE49-F238E27FC236}">
              <a16:creationId xmlns:a16="http://schemas.microsoft.com/office/drawing/2014/main" id="{85D5C614-B500-4424-AD39-366565140B59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176" name="AutoShape 1">
          <a:extLst>
            <a:ext uri="{FF2B5EF4-FFF2-40B4-BE49-F238E27FC236}">
              <a16:creationId xmlns:a16="http://schemas.microsoft.com/office/drawing/2014/main" id="{AC1B1409-91E8-4D0A-9715-9B628AC82E9D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177" name="AutoShape 1">
          <a:extLst>
            <a:ext uri="{FF2B5EF4-FFF2-40B4-BE49-F238E27FC236}">
              <a16:creationId xmlns:a16="http://schemas.microsoft.com/office/drawing/2014/main" id="{29E272AF-ED4B-467A-8157-3D28F4A053C7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178" name="AutoShape 1">
          <a:extLst>
            <a:ext uri="{FF2B5EF4-FFF2-40B4-BE49-F238E27FC236}">
              <a16:creationId xmlns:a16="http://schemas.microsoft.com/office/drawing/2014/main" id="{E85DCE36-A544-4758-8711-7CB539D3171F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179" name="AutoShape 1">
          <a:extLst>
            <a:ext uri="{FF2B5EF4-FFF2-40B4-BE49-F238E27FC236}">
              <a16:creationId xmlns:a16="http://schemas.microsoft.com/office/drawing/2014/main" id="{7931D17C-25E5-4F3B-BD91-FD20CF0FEACA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80" name="AutoShape 1">
          <a:extLst>
            <a:ext uri="{FF2B5EF4-FFF2-40B4-BE49-F238E27FC236}">
              <a16:creationId xmlns:a16="http://schemas.microsoft.com/office/drawing/2014/main" id="{803F449F-0AF1-4F6A-AAA3-3A44116E14C4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81" name="AutoShape 1">
          <a:extLst>
            <a:ext uri="{FF2B5EF4-FFF2-40B4-BE49-F238E27FC236}">
              <a16:creationId xmlns:a16="http://schemas.microsoft.com/office/drawing/2014/main" id="{7789C0BA-64B4-42DB-865E-E29CC9487475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182" name="AutoShape 1">
          <a:extLst>
            <a:ext uri="{FF2B5EF4-FFF2-40B4-BE49-F238E27FC236}">
              <a16:creationId xmlns:a16="http://schemas.microsoft.com/office/drawing/2014/main" id="{56B6B90B-F7EF-439D-A7EF-8F587DDF5172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183" name="AutoShape 1">
          <a:extLst>
            <a:ext uri="{FF2B5EF4-FFF2-40B4-BE49-F238E27FC236}">
              <a16:creationId xmlns:a16="http://schemas.microsoft.com/office/drawing/2014/main" id="{043B8266-73EB-4FDE-BDA3-9C308EBD155C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184" name="AutoShape 1">
          <a:extLst>
            <a:ext uri="{FF2B5EF4-FFF2-40B4-BE49-F238E27FC236}">
              <a16:creationId xmlns:a16="http://schemas.microsoft.com/office/drawing/2014/main" id="{665F15EE-8B19-4095-A73F-E6B27AC83008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185" name="AutoShape 1">
          <a:extLst>
            <a:ext uri="{FF2B5EF4-FFF2-40B4-BE49-F238E27FC236}">
              <a16:creationId xmlns:a16="http://schemas.microsoft.com/office/drawing/2014/main" id="{76AED2DF-8187-42D2-A8B2-05D2F589F022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186" name="AutoShape 1">
          <a:extLst>
            <a:ext uri="{FF2B5EF4-FFF2-40B4-BE49-F238E27FC236}">
              <a16:creationId xmlns:a16="http://schemas.microsoft.com/office/drawing/2014/main" id="{AD9CAAF0-65C8-48EB-B9CA-720F2C4792BD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187" name="AutoShape 1">
          <a:extLst>
            <a:ext uri="{FF2B5EF4-FFF2-40B4-BE49-F238E27FC236}">
              <a16:creationId xmlns:a16="http://schemas.microsoft.com/office/drawing/2014/main" id="{A2C16D29-A2AA-4643-99F4-8F4F950FC1D2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188" name="AutoShape 1">
          <a:extLst>
            <a:ext uri="{FF2B5EF4-FFF2-40B4-BE49-F238E27FC236}">
              <a16:creationId xmlns:a16="http://schemas.microsoft.com/office/drawing/2014/main" id="{DFE0D6A6-9E57-4CF0-92AC-AADF83F56D8A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189" name="AutoShape 1">
          <a:extLst>
            <a:ext uri="{FF2B5EF4-FFF2-40B4-BE49-F238E27FC236}">
              <a16:creationId xmlns:a16="http://schemas.microsoft.com/office/drawing/2014/main" id="{7A890EC4-699F-441E-BCDA-CBD6BBB9A8D6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90" name="AutoShape 1">
          <a:extLst>
            <a:ext uri="{FF2B5EF4-FFF2-40B4-BE49-F238E27FC236}">
              <a16:creationId xmlns:a16="http://schemas.microsoft.com/office/drawing/2014/main" id="{F8DF7DBE-EFE7-44B9-8E85-C70BA53CCF1D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91" name="AutoShape 1">
          <a:extLst>
            <a:ext uri="{FF2B5EF4-FFF2-40B4-BE49-F238E27FC236}">
              <a16:creationId xmlns:a16="http://schemas.microsoft.com/office/drawing/2014/main" id="{E7B1D615-04D7-406B-9869-E4A5B8FC3090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92" name="AutoShape 1">
          <a:extLst>
            <a:ext uri="{FF2B5EF4-FFF2-40B4-BE49-F238E27FC236}">
              <a16:creationId xmlns:a16="http://schemas.microsoft.com/office/drawing/2014/main" id="{9718D580-3166-4B0F-B869-50735D42D378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93" name="AutoShape 1">
          <a:extLst>
            <a:ext uri="{FF2B5EF4-FFF2-40B4-BE49-F238E27FC236}">
              <a16:creationId xmlns:a16="http://schemas.microsoft.com/office/drawing/2014/main" id="{6ED474B0-0B6C-4E46-BF1E-1BD7213F369E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194" name="AutoShape 1">
          <a:extLst>
            <a:ext uri="{FF2B5EF4-FFF2-40B4-BE49-F238E27FC236}">
              <a16:creationId xmlns:a16="http://schemas.microsoft.com/office/drawing/2014/main" id="{0BCCE742-EFBF-4705-8D77-0C7A1961CF89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195" name="AutoShape 1">
          <a:extLst>
            <a:ext uri="{FF2B5EF4-FFF2-40B4-BE49-F238E27FC236}">
              <a16:creationId xmlns:a16="http://schemas.microsoft.com/office/drawing/2014/main" id="{40DAD7C2-E7D7-4C0D-A819-3BE6DCFDC2AA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196" name="AutoShape 1">
          <a:extLst>
            <a:ext uri="{FF2B5EF4-FFF2-40B4-BE49-F238E27FC236}">
              <a16:creationId xmlns:a16="http://schemas.microsoft.com/office/drawing/2014/main" id="{0925FF46-6CD4-4520-9269-8ADAB5BEE3EC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197" name="AutoShape 1">
          <a:extLst>
            <a:ext uri="{FF2B5EF4-FFF2-40B4-BE49-F238E27FC236}">
              <a16:creationId xmlns:a16="http://schemas.microsoft.com/office/drawing/2014/main" id="{C15181E4-C648-4BF2-9C71-A321CA201C9A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98" name="AutoShape 1">
          <a:extLst>
            <a:ext uri="{FF2B5EF4-FFF2-40B4-BE49-F238E27FC236}">
              <a16:creationId xmlns:a16="http://schemas.microsoft.com/office/drawing/2014/main" id="{244054F2-A67E-460C-B1EC-D63451F5F2C4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199" name="AutoShape 1">
          <a:extLst>
            <a:ext uri="{FF2B5EF4-FFF2-40B4-BE49-F238E27FC236}">
              <a16:creationId xmlns:a16="http://schemas.microsoft.com/office/drawing/2014/main" id="{67418D0C-305A-4C3C-834C-61789D0BCB52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00" name="AutoShape 1">
          <a:extLst>
            <a:ext uri="{FF2B5EF4-FFF2-40B4-BE49-F238E27FC236}">
              <a16:creationId xmlns:a16="http://schemas.microsoft.com/office/drawing/2014/main" id="{BC1199AE-E387-4BF5-8E7F-C3004AE7CEFE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01" name="AutoShape 1">
          <a:extLst>
            <a:ext uri="{FF2B5EF4-FFF2-40B4-BE49-F238E27FC236}">
              <a16:creationId xmlns:a16="http://schemas.microsoft.com/office/drawing/2014/main" id="{EB785786-78B1-4D4F-BC4D-0CF22A36E3A5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02" name="AutoShape 1">
          <a:extLst>
            <a:ext uri="{FF2B5EF4-FFF2-40B4-BE49-F238E27FC236}">
              <a16:creationId xmlns:a16="http://schemas.microsoft.com/office/drawing/2014/main" id="{E9CF042C-9749-47CD-A024-A12441847D22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03" name="AutoShape 1">
          <a:extLst>
            <a:ext uri="{FF2B5EF4-FFF2-40B4-BE49-F238E27FC236}">
              <a16:creationId xmlns:a16="http://schemas.microsoft.com/office/drawing/2014/main" id="{ED590F77-F2D2-4B84-8659-71B79C32FBE8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04" name="AutoShape 1">
          <a:extLst>
            <a:ext uri="{FF2B5EF4-FFF2-40B4-BE49-F238E27FC236}">
              <a16:creationId xmlns:a16="http://schemas.microsoft.com/office/drawing/2014/main" id="{082254B5-AC3C-435A-A5E9-E5BDFFA9D5AD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05" name="AutoShape 1">
          <a:extLst>
            <a:ext uri="{FF2B5EF4-FFF2-40B4-BE49-F238E27FC236}">
              <a16:creationId xmlns:a16="http://schemas.microsoft.com/office/drawing/2014/main" id="{B325BEA1-7FA2-4727-93C9-BF0F8A8537DD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06" name="AutoShape 1">
          <a:extLst>
            <a:ext uri="{FF2B5EF4-FFF2-40B4-BE49-F238E27FC236}">
              <a16:creationId xmlns:a16="http://schemas.microsoft.com/office/drawing/2014/main" id="{87332264-9DB7-4EAB-855F-B89BF039B24C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07" name="AutoShape 1">
          <a:extLst>
            <a:ext uri="{FF2B5EF4-FFF2-40B4-BE49-F238E27FC236}">
              <a16:creationId xmlns:a16="http://schemas.microsoft.com/office/drawing/2014/main" id="{4BB43238-B3FF-4BB4-989B-2C0F64396139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08" name="AutoShape 1">
          <a:extLst>
            <a:ext uri="{FF2B5EF4-FFF2-40B4-BE49-F238E27FC236}">
              <a16:creationId xmlns:a16="http://schemas.microsoft.com/office/drawing/2014/main" id="{5EF9AB03-7367-4FF6-94E9-5FACB135780C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09" name="AutoShape 1">
          <a:extLst>
            <a:ext uri="{FF2B5EF4-FFF2-40B4-BE49-F238E27FC236}">
              <a16:creationId xmlns:a16="http://schemas.microsoft.com/office/drawing/2014/main" id="{06794465-8E03-49FF-8424-B771296D4A21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10" name="AutoShape 1">
          <a:extLst>
            <a:ext uri="{FF2B5EF4-FFF2-40B4-BE49-F238E27FC236}">
              <a16:creationId xmlns:a16="http://schemas.microsoft.com/office/drawing/2014/main" id="{46B0431F-1A80-4629-9767-24831540B55A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11" name="AutoShape 1">
          <a:extLst>
            <a:ext uri="{FF2B5EF4-FFF2-40B4-BE49-F238E27FC236}">
              <a16:creationId xmlns:a16="http://schemas.microsoft.com/office/drawing/2014/main" id="{C9B325AB-7ECD-4EB6-85AC-06D5E4254B38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12" name="AutoShape 1">
          <a:extLst>
            <a:ext uri="{FF2B5EF4-FFF2-40B4-BE49-F238E27FC236}">
              <a16:creationId xmlns:a16="http://schemas.microsoft.com/office/drawing/2014/main" id="{6A22D32C-BCC9-4945-88AE-8B76B50361DA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13" name="AutoShape 1">
          <a:extLst>
            <a:ext uri="{FF2B5EF4-FFF2-40B4-BE49-F238E27FC236}">
              <a16:creationId xmlns:a16="http://schemas.microsoft.com/office/drawing/2014/main" id="{86B1A086-66B9-48B0-ADB5-D68723C5F9A7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14" name="AutoShape 1">
          <a:extLst>
            <a:ext uri="{FF2B5EF4-FFF2-40B4-BE49-F238E27FC236}">
              <a16:creationId xmlns:a16="http://schemas.microsoft.com/office/drawing/2014/main" id="{551492AE-A67A-4D58-B4B2-722266BA75F1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15" name="AutoShape 1">
          <a:extLst>
            <a:ext uri="{FF2B5EF4-FFF2-40B4-BE49-F238E27FC236}">
              <a16:creationId xmlns:a16="http://schemas.microsoft.com/office/drawing/2014/main" id="{E1178C88-ECD7-4699-9A6F-6A3841F3F025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216" name="AutoShape 1">
          <a:extLst>
            <a:ext uri="{FF2B5EF4-FFF2-40B4-BE49-F238E27FC236}">
              <a16:creationId xmlns:a16="http://schemas.microsoft.com/office/drawing/2014/main" id="{3D7AA940-048A-4283-BDA6-A00D809B0B89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217" name="AutoShape 1">
          <a:extLst>
            <a:ext uri="{FF2B5EF4-FFF2-40B4-BE49-F238E27FC236}">
              <a16:creationId xmlns:a16="http://schemas.microsoft.com/office/drawing/2014/main" id="{5A86F1F3-8A7C-40CB-B6D5-2494D27C5757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218" name="AutoShape 1">
          <a:extLst>
            <a:ext uri="{FF2B5EF4-FFF2-40B4-BE49-F238E27FC236}">
              <a16:creationId xmlns:a16="http://schemas.microsoft.com/office/drawing/2014/main" id="{25005A58-1CE7-4D68-9787-95AB13A9C240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219" name="AutoShape 1">
          <a:extLst>
            <a:ext uri="{FF2B5EF4-FFF2-40B4-BE49-F238E27FC236}">
              <a16:creationId xmlns:a16="http://schemas.microsoft.com/office/drawing/2014/main" id="{4D85EB47-0586-43C0-B5DC-B8AA529DBF81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220" name="AutoShape 1">
          <a:extLst>
            <a:ext uri="{FF2B5EF4-FFF2-40B4-BE49-F238E27FC236}">
              <a16:creationId xmlns:a16="http://schemas.microsoft.com/office/drawing/2014/main" id="{72D2537F-97A2-4669-9E32-6BEA35DD3343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221" name="AutoShape 1">
          <a:extLst>
            <a:ext uri="{FF2B5EF4-FFF2-40B4-BE49-F238E27FC236}">
              <a16:creationId xmlns:a16="http://schemas.microsoft.com/office/drawing/2014/main" id="{9BD664F2-F680-4AA2-9859-4F59909C5F60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222" name="AutoShape 1">
          <a:extLst>
            <a:ext uri="{FF2B5EF4-FFF2-40B4-BE49-F238E27FC236}">
              <a16:creationId xmlns:a16="http://schemas.microsoft.com/office/drawing/2014/main" id="{E7872AD1-CD19-4768-8F21-8ED49F7C4DBF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223" name="AutoShape 1">
          <a:extLst>
            <a:ext uri="{FF2B5EF4-FFF2-40B4-BE49-F238E27FC236}">
              <a16:creationId xmlns:a16="http://schemas.microsoft.com/office/drawing/2014/main" id="{3D39CB97-8431-4D62-81AD-2F78878B0FF9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24" name="AutoShape 1">
          <a:extLst>
            <a:ext uri="{FF2B5EF4-FFF2-40B4-BE49-F238E27FC236}">
              <a16:creationId xmlns:a16="http://schemas.microsoft.com/office/drawing/2014/main" id="{B8CCF585-1E66-4015-871A-1E70D04934E2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25" name="AutoShape 1">
          <a:extLst>
            <a:ext uri="{FF2B5EF4-FFF2-40B4-BE49-F238E27FC236}">
              <a16:creationId xmlns:a16="http://schemas.microsoft.com/office/drawing/2014/main" id="{A91F704D-B5CE-46AF-8E08-13542F8F1CAC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26" name="AutoShape 1">
          <a:extLst>
            <a:ext uri="{FF2B5EF4-FFF2-40B4-BE49-F238E27FC236}">
              <a16:creationId xmlns:a16="http://schemas.microsoft.com/office/drawing/2014/main" id="{76BE6AEA-CB5D-4214-B264-E7AFFC22F21A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27" name="AutoShape 1">
          <a:extLst>
            <a:ext uri="{FF2B5EF4-FFF2-40B4-BE49-F238E27FC236}">
              <a16:creationId xmlns:a16="http://schemas.microsoft.com/office/drawing/2014/main" id="{45EBAF9E-A9ED-4AAA-A035-3CD4D2960A07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28" name="AutoShape 1">
          <a:extLst>
            <a:ext uri="{FF2B5EF4-FFF2-40B4-BE49-F238E27FC236}">
              <a16:creationId xmlns:a16="http://schemas.microsoft.com/office/drawing/2014/main" id="{A93AA0D2-1C99-4C74-9E16-A82D187FD7F2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29" name="AutoShape 1">
          <a:extLst>
            <a:ext uri="{FF2B5EF4-FFF2-40B4-BE49-F238E27FC236}">
              <a16:creationId xmlns:a16="http://schemas.microsoft.com/office/drawing/2014/main" id="{C7F418FB-09A8-4E80-94CA-D363C88A3EFE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30" name="AutoShape 1">
          <a:extLst>
            <a:ext uri="{FF2B5EF4-FFF2-40B4-BE49-F238E27FC236}">
              <a16:creationId xmlns:a16="http://schemas.microsoft.com/office/drawing/2014/main" id="{78CC90A7-300C-43B5-9E1F-48ECA3E177ED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31" name="AutoShape 1">
          <a:extLst>
            <a:ext uri="{FF2B5EF4-FFF2-40B4-BE49-F238E27FC236}">
              <a16:creationId xmlns:a16="http://schemas.microsoft.com/office/drawing/2014/main" id="{2C0BEF36-06C4-47E9-A38D-BD73E35D2EF3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32" name="AutoShape 1">
          <a:extLst>
            <a:ext uri="{FF2B5EF4-FFF2-40B4-BE49-F238E27FC236}">
              <a16:creationId xmlns:a16="http://schemas.microsoft.com/office/drawing/2014/main" id="{BD14A159-5E31-426A-8E68-99970BCCB5E4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33" name="AutoShape 1">
          <a:extLst>
            <a:ext uri="{FF2B5EF4-FFF2-40B4-BE49-F238E27FC236}">
              <a16:creationId xmlns:a16="http://schemas.microsoft.com/office/drawing/2014/main" id="{193BBAD3-D029-42DD-AAA5-5660D5C714D9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34" name="AutoShape 1">
          <a:extLst>
            <a:ext uri="{FF2B5EF4-FFF2-40B4-BE49-F238E27FC236}">
              <a16:creationId xmlns:a16="http://schemas.microsoft.com/office/drawing/2014/main" id="{1AE5780F-50BB-44AA-BB5E-DA2495547873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35" name="AutoShape 1">
          <a:extLst>
            <a:ext uri="{FF2B5EF4-FFF2-40B4-BE49-F238E27FC236}">
              <a16:creationId xmlns:a16="http://schemas.microsoft.com/office/drawing/2014/main" id="{FE585A18-C083-4EF4-8E3E-0B8C2CC1C98E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36" name="AutoShape 1">
          <a:extLst>
            <a:ext uri="{FF2B5EF4-FFF2-40B4-BE49-F238E27FC236}">
              <a16:creationId xmlns:a16="http://schemas.microsoft.com/office/drawing/2014/main" id="{18247B57-9E45-4747-BCC7-3A7ED8031E5B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37" name="AutoShape 1">
          <a:extLst>
            <a:ext uri="{FF2B5EF4-FFF2-40B4-BE49-F238E27FC236}">
              <a16:creationId xmlns:a16="http://schemas.microsoft.com/office/drawing/2014/main" id="{BBCD7765-294A-4550-98DE-255D8AE3B4EB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38" name="AutoShape 1">
          <a:extLst>
            <a:ext uri="{FF2B5EF4-FFF2-40B4-BE49-F238E27FC236}">
              <a16:creationId xmlns:a16="http://schemas.microsoft.com/office/drawing/2014/main" id="{FB94DA1F-9F7D-426D-AFF3-51F9910606B5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39" name="AutoShape 1">
          <a:extLst>
            <a:ext uri="{FF2B5EF4-FFF2-40B4-BE49-F238E27FC236}">
              <a16:creationId xmlns:a16="http://schemas.microsoft.com/office/drawing/2014/main" id="{BCCFBD99-A953-4F60-A9B7-B31A6C55478D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40" name="AutoShape 1">
          <a:extLst>
            <a:ext uri="{FF2B5EF4-FFF2-40B4-BE49-F238E27FC236}">
              <a16:creationId xmlns:a16="http://schemas.microsoft.com/office/drawing/2014/main" id="{9B8AB36D-DE33-4174-8A81-0AA1E720A908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41" name="AutoShape 1">
          <a:extLst>
            <a:ext uri="{FF2B5EF4-FFF2-40B4-BE49-F238E27FC236}">
              <a16:creationId xmlns:a16="http://schemas.microsoft.com/office/drawing/2014/main" id="{915DF09F-D59B-4E84-80F1-F9CA2558F09C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42" name="AutoShape 1">
          <a:extLst>
            <a:ext uri="{FF2B5EF4-FFF2-40B4-BE49-F238E27FC236}">
              <a16:creationId xmlns:a16="http://schemas.microsoft.com/office/drawing/2014/main" id="{587C8145-D5CA-4D45-845C-96FB6ED4829B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43" name="AutoShape 1">
          <a:extLst>
            <a:ext uri="{FF2B5EF4-FFF2-40B4-BE49-F238E27FC236}">
              <a16:creationId xmlns:a16="http://schemas.microsoft.com/office/drawing/2014/main" id="{2F793BA7-34C0-4CED-AAF6-7442C800E55E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44" name="AutoShape 1">
          <a:extLst>
            <a:ext uri="{FF2B5EF4-FFF2-40B4-BE49-F238E27FC236}">
              <a16:creationId xmlns:a16="http://schemas.microsoft.com/office/drawing/2014/main" id="{23CC37FA-E835-44C2-9271-D68907D0B727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45" name="AutoShape 1">
          <a:extLst>
            <a:ext uri="{FF2B5EF4-FFF2-40B4-BE49-F238E27FC236}">
              <a16:creationId xmlns:a16="http://schemas.microsoft.com/office/drawing/2014/main" id="{C7576F6C-32B2-487A-9053-B2C8976623C7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46" name="AutoShape 1">
          <a:extLst>
            <a:ext uri="{FF2B5EF4-FFF2-40B4-BE49-F238E27FC236}">
              <a16:creationId xmlns:a16="http://schemas.microsoft.com/office/drawing/2014/main" id="{28B1ADCD-6CB0-4FD8-802B-F9B1FDCFEDF0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47" name="AutoShape 1">
          <a:extLst>
            <a:ext uri="{FF2B5EF4-FFF2-40B4-BE49-F238E27FC236}">
              <a16:creationId xmlns:a16="http://schemas.microsoft.com/office/drawing/2014/main" id="{A868B2D7-5A6E-4A8F-BFCA-89506E123C66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48" name="AutoShape 1">
          <a:extLst>
            <a:ext uri="{FF2B5EF4-FFF2-40B4-BE49-F238E27FC236}">
              <a16:creationId xmlns:a16="http://schemas.microsoft.com/office/drawing/2014/main" id="{96474EA6-3E60-4F23-B784-60E6426376FA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49" name="AutoShape 1">
          <a:extLst>
            <a:ext uri="{FF2B5EF4-FFF2-40B4-BE49-F238E27FC236}">
              <a16:creationId xmlns:a16="http://schemas.microsoft.com/office/drawing/2014/main" id="{580A7DF6-41BC-4166-893D-15C4110FD7EB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250" name="AutoShape 1">
          <a:extLst>
            <a:ext uri="{FF2B5EF4-FFF2-40B4-BE49-F238E27FC236}">
              <a16:creationId xmlns:a16="http://schemas.microsoft.com/office/drawing/2014/main" id="{B42A69CB-14EF-4498-ACC4-1B9CF11BD33E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251" name="AutoShape 1">
          <a:extLst>
            <a:ext uri="{FF2B5EF4-FFF2-40B4-BE49-F238E27FC236}">
              <a16:creationId xmlns:a16="http://schemas.microsoft.com/office/drawing/2014/main" id="{68FC9341-DD31-4A69-BE32-3563DB09EC94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252" name="AutoShape 1">
          <a:extLst>
            <a:ext uri="{FF2B5EF4-FFF2-40B4-BE49-F238E27FC236}">
              <a16:creationId xmlns:a16="http://schemas.microsoft.com/office/drawing/2014/main" id="{D5495D3B-8399-4FE1-AEBE-0DC33958A8D3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253" name="AutoShape 1">
          <a:extLst>
            <a:ext uri="{FF2B5EF4-FFF2-40B4-BE49-F238E27FC236}">
              <a16:creationId xmlns:a16="http://schemas.microsoft.com/office/drawing/2014/main" id="{650FCE01-1219-4B72-A68C-3901C9705F23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254" name="AutoShape 1">
          <a:extLst>
            <a:ext uri="{FF2B5EF4-FFF2-40B4-BE49-F238E27FC236}">
              <a16:creationId xmlns:a16="http://schemas.microsoft.com/office/drawing/2014/main" id="{42BB818E-E9AE-4909-9255-EEFB8EB15EEF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255" name="AutoShape 1">
          <a:extLst>
            <a:ext uri="{FF2B5EF4-FFF2-40B4-BE49-F238E27FC236}">
              <a16:creationId xmlns:a16="http://schemas.microsoft.com/office/drawing/2014/main" id="{67E45093-C56E-4C8E-9256-6B52082CA41E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256" name="AutoShape 1">
          <a:extLst>
            <a:ext uri="{FF2B5EF4-FFF2-40B4-BE49-F238E27FC236}">
              <a16:creationId xmlns:a16="http://schemas.microsoft.com/office/drawing/2014/main" id="{97EE177C-EE3E-40C2-BB4C-DCAE7DB10F28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16560</xdr:colOff>
      <xdr:row>16</xdr:row>
      <xdr:rowOff>146806</xdr:rowOff>
    </xdr:to>
    <xdr:sp macro="" textlink="">
      <xdr:nvSpPr>
        <xdr:cNvPr id="257" name="AutoShape 1">
          <a:extLst>
            <a:ext uri="{FF2B5EF4-FFF2-40B4-BE49-F238E27FC236}">
              <a16:creationId xmlns:a16="http://schemas.microsoft.com/office/drawing/2014/main" id="{C2C2673D-70C2-4937-B262-6CD704FA3F93}"/>
            </a:ext>
          </a:extLst>
        </xdr:cNvPr>
        <xdr:cNvSpPr/>
      </xdr:nvSpPr>
      <xdr:spPr>
        <a:xfrm>
          <a:off x="1592310" y="1229460"/>
          <a:ext cx="5400" cy="2081742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58" name="AutoShape 1">
          <a:extLst>
            <a:ext uri="{FF2B5EF4-FFF2-40B4-BE49-F238E27FC236}">
              <a16:creationId xmlns:a16="http://schemas.microsoft.com/office/drawing/2014/main" id="{C89AD527-CB65-4EE1-9920-966877CD3D0E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59" name="AutoShape 1">
          <a:extLst>
            <a:ext uri="{FF2B5EF4-FFF2-40B4-BE49-F238E27FC236}">
              <a16:creationId xmlns:a16="http://schemas.microsoft.com/office/drawing/2014/main" id="{73E30443-9FD8-443E-ACA9-F3EC1C19AD6B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60" name="AutoShape 1">
          <a:extLst>
            <a:ext uri="{FF2B5EF4-FFF2-40B4-BE49-F238E27FC236}">
              <a16:creationId xmlns:a16="http://schemas.microsoft.com/office/drawing/2014/main" id="{BD778B8F-B6BE-4C69-A8B6-EE9B6E6EC6D7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61" name="AutoShape 1">
          <a:extLst>
            <a:ext uri="{FF2B5EF4-FFF2-40B4-BE49-F238E27FC236}">
              <a16:creationId xmlns:a16="http://schemas.microsoft.com/office/drawing/2014/main" id="{68FEEB2D-2233-4292-9DBE-C2F9FFFC69D7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62" name="AutoShape 1">
          <a:extLst>
            <a:ext uri="{FF2B5EF4-FFF2-40B4-BE49-F238E27FC236}">
              <a16:creationId xmlns:a16="http://schemas.microsoft.com/office/drawing/2014/main" id="{BC7258B3-47BE-4431-ACBE-79DDFB700C7C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63" name="AutoShape 1">
          <a:extLst>
            <a:ext uri="{FF2B5EF4-FFF2-40B4-BE49-F238E27FC236}">
              <a16:creationId xmlns:a16="http://schemas.microsoft.com/office/drawing/2014/main" id="{204ED521-CD16-4D6F-A51B-669AD46D67E9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64" name="AutoShape 1">
          <a:extLst>
            <a:ext uri="{FF2B5EF4-FFF2-40B4-BE49-F238E27FC236}">
              <a16:creationId xmlns:a16="http://schemas.microsoft.com/office/drawing/2014/main" id="{DED801CE-5786-4F9C-AEA5-D0BB5E8FC6B9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65" name="AutoShape 1">
          <a:extLst>
            <a:ext uri="{FF2B5EF4-FFF2-40B4-BE49-F238E27FC236}">
              <a16:creationId xmlns:a16="http://schemas.microsoft.com/office/drawing/2014/main" id="{3A7D3223-AE9F-4453-B5E2-AE66450FF86D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66" name="AutoShape 1">
          <a:extLst>
            <a:ext uri="{FF2B5EF4-FFF2-40B4-BE49-F238E27FC236}">
              <a16:creationId xmlns:a16="http://schemas.microsoft.com/office/drawing/2014/main" id="{2952F7D2-BBDB-4E4F-875E-7BA59B7A4BA2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67" name="AutoShape 1">
          <a:extLst>
            <a:ext uri="{FF2B5EF4-FFF2-40B4-BE49-F238E27FC236}">
              <a16:creationId xmlns:a16="http://schemas.microsoft.com/office/drawing/2014/main" id="{3520F33A-613C-4EC7-B4F9-9984C986322B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68" name="AutoShape 1">
          <a:extLst>
            <a:ext uri="{FF2B5EF4-FFF2-40B4-BE49-F238E27FC236}">
              <a16:creationId xmlns:a16="http://schemas.microsoft.com/office/drawing/2014/main" id="{BC0CB10C-DBF3-43DB-A77C-A9F726EAD92A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69" name="AutoShape 1">
          <a:extLst>
            <a:ext uri="{FF2B5EF4-FFF2-40B4-BE49-F238E27FC236}">
              <a16:creationId xmlns:a16="http://schemas.microsoft.com/office/drawing/2014/main" id="{9CCEBAC9-E289-486C-9FAE-508FC618A448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70" name="AutoShape 1">
          <a:extLst>
            <a:ext uri="{FF2B5EF4-FFF2-40B4-BE49-F238E27FC236}">
              <a16:creationId xmlns:a16="http://schemas.microsoft.com/office/drawing/2014/main" id="{54575345-384A-4E09-9A1F-DE6010E50406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71" name="AutoShape 1">
          <a:extLst>
            <a:ext uri="{FF2B5EF4-FFF2-40B4-BE49-F238E27FC236}">
              <a16:creationId xmlns:a16="http://schemas.microsoft.com/office/drawing/2014/main" id="{9C0EFBB9-B7C1-4762-A392-42DC18267C9D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72" name="AutoShape 1">
          <a:extLst>
            <a:ext uri="{FF2B5EF4-FFF2-40B4-BE49-F238E27FC236}">
              <a16:creationId xmlns:a16="http://schemas.microsoft.com/office/drawing/2014/main" id="{5D7B0167-4D9F-46FC-9BDC-F7C5690435F9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73" name="AutoShape 1">
          <a:extLst>
            <a:ext uri="{FF2B5EF4-FFF2-40B4-BE49-F238E27FC236}">
              <a16:creationId xmlns:a16="http://schemas.microsoft.com/office/drawing/2014/main" id="{9531F369-D095-4BBF-BA06-6C0B47E889D9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74" name="AutoShape 1">
          <a:extLst>
            <a:ext uri="{FF2B5EF4-FFF2-40B4-BE49-F238E27FC236}">
              <a16:creationId xmlns:a16="http://schemas.microsoft.com/office/drawing/2014/main" id="{E9410E78-C179-4189-9075-C47733AFC696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75" name="AutoShape 1">
          <a:extLst>
            <a:ext uri="{FF2B5EF4-FFF2-40B4-BE49-F238E27FC236}">
              <a16:creationId xmlns:a16="http://schemas.microsoft.com/office/drawing/2014/main" id="{1758964C-E05B-463A-9114-80A1171CCB09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76" name="AutoShape 1">
          <a:extLst>
            <a:ext uri="{FF2B5EF4-FFF2-40B4-BE49-F238E27FC236}">
              <a16:creationId xmlns:a16="http://schemas.microsoft.com/office/drawing/2014/main" id="{74A586C8-574C-45C8-9C5C-C64661FBA1E5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66444</xdr:rowOff>
    </xdr:to>
    <xdr:sp macro="" textlink="">
      <xdr:nvSpPr>
        <xdr:cNvPr id="277" name="AutoShape 1">
          <a:extLst>
            <a:ext uri="{FF2B5EF4-FFF2-40B4-BE49-F238E27FC236}">
              <a16:creationId xmlns:a16="http://schemas.microsoft.com/office/drawing/2014/main" id="{48669B88-0380-4C68-9007-5036C7B4ECBF}"/>
            </a:ext>
          </a:extLst>
        </xdr:cNvPr>
        <xdr:cNvSpPr/>
      </xdr:nvSpPr>
      <xdr:spPr>
        <a:xfrm>
          <a:off x="1592310" y="1148460"/>
          <a:ext cx="3600" cy="1482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78" name="AutoShape 1">
          <a:extLst>
            <a:ext uri="{FF2B5EF4-FFF2-40B4-BE49-F238E27FC236}">
              <a16:creationId xmlns:a16="http://schemas.microsoft.com/office/drawing/2014/main" id="{62BF7051-BED9-41AE-BE7C-0C25985998A6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79" name="AutoShape 1">
          <a:extLst>
            <a:ext uri="{FF2B5EF4-FFF2-40B4-BE49-F238E27FC236}">
              <a16:creationId xmlns:a16="http://schemas.microsoft.com/office/drawing/2014/main" id="{D1A3C2FD-1B86-4607-98AD-955D46C66EB3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80" name="AutoShape 1">
          <a:extLst>
            <a:ext uri="{FF2B5EF4-FFF2-40B4-BE49-F238E27FC236}">
              <a16:creationId xmlns:a16="http://schemas.microsoft.com/office/drawing/2014/main" id="{D3DF2E79-F4F5-4EA5-92AB-7534A7F44403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11160</xdr:colOff>
      <xdr:row>5</xdr:row>
      <xdr:rowOff>0</xdr:rowOff>
    </xdr:from>
    <xdr:to>
      <xdr:col>2</xdr:col>
      <xdr:colOff>14760</xdr:colOff>
      <xdr:row>13</xdr:row>
      <xdr:rowOff>75444</xdr:rowOff>
    </xdr:to>
    <xdr:sp macro="" textlink="">
      <xdr:nvSpPr>
        <xdr:cNvPr id="281" name="AutoShape 1">
          <a:extLst>
            <a:ext uri="{FF2B5EF4-FFF2-40B4-BE49-F238E27FC236}">
              <a16:creationId xmlns:a16="http://schemas.microsoft.com/office/drawing/2014/main" id="{C0A3B824-FE2E-43F6-9ACF-8C260E517886}"/>
            </a:ext>
          </a:extLst>
        </xdr:cNvPr>
        <xdr:cNvSpPr/>
      </xdr:nvSpPr>
      <xdr:spPr>
        <a:xfrm>
          <a:off x="1592310" y="1148460"/>
          <a:ext cx="3600" cy="14913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165905</xdr:rowOff>
    </xdr:to>
    <xdr:sp macro="" textlink="">
      <xdr:nvSpPr>
        <xdr:cNvPr id="282" name="AutoShape 1">
          <a:extLst>
            <a:ext uri="{FF2B5EF4-FFF2-40B4-BE49-F238E27FC236}">
              <a16:creationId xmlns:a16="http://schemas.microsoft.com/office/drawing/2014/main" id="{12DFCFD0-31EC-434E-A95F-E57069BFA8B4}"/>
            </a:ext>
          </a:extLst>
        </xdr:cNvPr>
        <xdr:cNvSpPr/>
      </xdr:nvSpPr>
      <xdr:spPr>
        <a:xfrm flipH="1">
          <a:off x="1385070" y="1104900"/>
          <a:ext cx="8317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12</xdr:row>
      <xdr:rowOff>165905</xdr:rowOff>
    </xdr:to>
    <xdr:sp macro="" textlink="">
      <xdr:nvSpPr>
        <xdr:cNvPr id="283" name="AutoShape 1">
          <a:extLst>
            <a:ext uri="{FF2B5EF4-FFF2-40B4-BE49-F238E27FC236}">
              <a16:creationId xmlns:a16="http://schemas.microsoft.com/office/drawing/2014/main" id="{B17FD838-BE2C-473F-B8EA-7970F5426598}"/>
            </a:ext>
          </a:extLst>
        </xdr:cNvPr>
        <xdr:cNvSpPr/>
      </xdr:nvSpPr>
      <xdr:spPr>
        <a:xfrm flipH="1">
          <a:off x="1384710" y="1104900"/>
          <a:ext cx="8389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165905</xdr:rowOff>
    </xdr:to>
    <xdr:sp macro="" textlink="">
      <xdr:nvSpPr>
        <xdr:cNvPr id="284" name="AutoShape 1">
          <a:extLst>
            <a:ext uri="{FF2B5EF4-FFF2-40B4-BE49-F238E27FC236}">
              <a16:creationId xmlns:a16="http://schemas.microsoft.com/office/drawing/2014/main" id="{2AB31F62-5728-4682-A36D-EFBD0F717505}"/>
            </a:ext>
          </a:extLst>
        </xdr:cNvPr>
        <xdr:cNvSpPr/>
      </xdr:nvSpPr>
      <xdr:spPr>
        <a:xfrm flipH="1">
          <a:off x="1385070" y="1104900"/>
          <a:ext cx="8317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12</xdr:row>
      <xdr:rowOff>165905</xdr:rowOff>
    </xdr:to>
    <xdr:sp macro="" textlink="">
      <xdr:nvSpPr>
        <xdr:cNvPr id="285" name="AutoShape 1">
          <a:extLst>
            <a:ext uri="{FF2B5EF4-FFF2-40B4-BE49-F238E27FC236}">
              <a16:creationId xmlns:a16="http://schemas.microsoft.com/office/drawing/2014/main" id="{55BD4875-6905-4A40-B825-A813D822D126}"/>
            </a:ext>
          </a:extLst>
        </xdr:cNvPr>
        <xdr:cNvSpPr/>
      </xdr:nvSpPr>
      <xdr:spPr>
        <a:xfrm flipH="1">
          <a:off x="1384710" y="1104900"/>
          <a:ext cx="8389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165905</xdr:rowOff>
    </xdr:to>
    <xdr:sp macro="" textlink="">
      <xdr:nvSpPr>
        <xdr:cNvPr id="286" name="AutoShape 1">
          <a:extLst>
            <a:ext uri="{FF2B5EF4-FFF2-40B4-BE49-F238E27FC236}">
              <a16:creationId xmlns:a16="http://schemas.microsoft.com/office/drawing/2014/main" id="{00CF3639-80D8-44BF-9332-9FA018DE9E4B}"/>
            </a:ext>
          </a:extLst>
        </xdr:cNvPr>
        <xdr:cNvSpPr/>
      </xdr:nvSpPr>
      <xdr:spPr>
        <a:xfrm flipH="1">
          <a:off x="1385070" y="1104900"/>
          <a:ext cx="8317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12</xdr:row>
      <xdr:rowOff>165905</xdr:rowOff>
    </xdr:to>
    <xdr:sp macro="" textlink="">
      <xdr:nvSpPr>
        <xdr:cNvPr id="287" name="AutoShape 1">
          <a:extLst>
            <a:ext uri="{FF2B5EF4-FFF2-40B4-BE49-F238E27FC236}">
              <a16:creationId xmlns:a16="http://schemas.microsoft.com/office/drawing/2014/main" id="{82850901-0CBF-40A2-AF47-FE6EED71B6AE}"/>
            </a:ext>
          </a:extLst>
        </xdr:cNvPr>
        <xdr:cNvSpPr/>
      </xdr:nvSpPr>
      <xdr:spPr>
        <a:xfrm flipH="1">
          <a:off x="1384710" y="1104900"/>
          <a:ext cx="8389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165905</xdr:rowOff>
    </xdr:to>
    <xdr:sp macro="" textlink="">
      <xdr:nvSpPr>
        <xdr:cNvPr id="288" name="AutoShape 1">
          <a:extLst>
            <a:ext uri="{FF2B5EF4-FFF2-40B4-BE49-F238E27FC236}">
              <a16:creationId xmlns:a16="http://schemas.microsoft.com/office/drawing/2014/main" id="{8E423D4B-5F66-41C3-8575-DB68F6985CA6}"/>
            </a:ext>
          </a:extLst>
        </xdr:cNvPr>
        <xdr:cNvSpPr/>
      </xdr:nvSpPr>
      <xdr:spPr>
        <a:xfrm flipH="1">
          <a:off x="1385070" y="1104900"/>
          <a:ext cx="8317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12</xdr:row>
      <xdr:rowOff>165905</xdr:rowOff>
    </xdr:to>
    <xdr:sp macro="" textlink="">
      <xdr:nvSpPr>
        <xdr:cNvPr id="289" name="AutoShape 1">
          <a:extLst>
            <a:ext uri="{FF2B5EF4-FFF2-40B4-BE49-F238E27FC236}">
              <a16:creationId xmlns:a16="http://schemas.microsoft.com/office/drawing/2014/main" id="{570328FC-A1F2-4365-AF84-A9B0F64F5406}"/>
            </a:ext>
          </a:extLst>
        </xdr:cNvPr>
        <xdr:cNvSpPr/>
      </xdr:nvSpPr>
      <xdr:spPr>
        <a:xfrm flipH="1">
          <a:off x="1384710" y="1104900"/>
          <a:ext cx="8389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165905</xdr:rowOff>
    </xdr:to>
    <xdr:sp macro="" textlink="">
      <xdr:nvSpPr>
        <xdr:cNvPr id="290" name="AutoShape 1">
          <a:extLst>
            <a:ext uri="{FF2B5EF4-FFF2-40B4-BE49-F238E27FC236}">
              <a16:creationId xmlns:a16="http://schemas.microsoft.com/office/drawing/2014/main" id="{37693BD3-6E71-48CB-ACD5-084217A5425E}"/>
            </a:ext>
          </a:extLst>
        </xdr:cNvPr>
        <xdr:cNvSpPr/>
      </xdr:nvSpPr>
      <xdr:spPr>
        <a:xfrm flipH="1">
          <a:off x="1385070" y="1104900"/>
          <a:ext cx="8317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12</xdr:row>
      <xdr:rowOff>165905</xdr:rowOff>
    </xdr:to>
    <xdr:sp macro="" textlink="">
      <xdr:nvSpPr>
        <xdr:cNvPr id="291" name="AutoShape 1">
          <a:extLst>
            <a:ext uri="{FF2B5EF4-FFF2-40B4-BE49-F238E27FC236}">
              <a16:creationId xmlns:a16="http://schemas.microsoft.com/office/drawing/2014/main" id="{C8B20D8E-E05B-49DF-A9DF-FB0EAF18C904}"/>
            </a:ext>
          </a:extLst>
        </xdr:cNvPr>
        <xdr:cNvSpPr/>
      </xdr:nvSpPr>
      <xdr:spPr>
        <a:xfrm flipH="1">
          <a:off x="1384710" y="1104900"/>
          <a:ext cx="8389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165905</xdr:rowOff>
    </xdr:to>
    <xdr:sp macro="" textlink="">
      <xdr:nvSpPr>
        <xdr:cNvPr id="292" name="AutoShape 1">
          <a:extLst>
            <a:ext uri="{FF2B5EF4-FFF2-40B4-BE49-F238E27FC236}">
              <a16:creationId xmlns:a16="http://schemas.microsoft.com/office/drawing/2014/main" id="{22F2B5FA-59FA-4E73-B38B-42BA9B44A0BB}"/>
            </a:ext>
          </a:extLst>
        </xdr:cNvPr>
        <xdr:cNvSpPr/>
      </xdr:nvSpPr>
      <xdr:spPr>
        <a:xfrm flipH="1">
          <a:off x="1385070" y="1104900"/>
          <a:ext cx="8317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1022760</xdr:colOff>
      <xdr:row>5</xdr:row>
      <xdr:rowOff>0</xdr:rowOff>
    </xdr:from>
    <xdr:to>
      <xdr:col>1</xdr:col>
      <xdr:colOff>1106659</xdr:colOff>
      <xdr:row>12</xdr:row>
      <xdr:rowOff>165905</xdr:rowOff>
    </xdr:to>
    <xdr:sp macro="" textlink="">
      <xdr:nvSpPr>
        <xdr:cNvPr id="293" name="AutoShape 1">
          <a:extLst>
            <a:ext uri="{FF2B5EF4-FFF2-40B4-BE49-F238E27FC236}">
              <a16:creationId xmlns:a16="http://schemas.microsoft.com/office/drawing/2014/main" id="{572C1064-01F4-4991-A9E4-8DE4CC88E79D}"/>
            </a:ext>
          </a:extLst>
        </xdr:cNvPr>
        <xdr:cNvSpPr/>
      </xdr:nvSpPr>
      <xdr:spPr>
        <a:xfrm flipH="1">
          <a:off x="1384710" y="1104900"/>
          <a:ext cx="8389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1</xdr:col>
      <xdr:colOff>1023120</xdr:colOff>
      <xdr:row>5</xdr:row>
      <xdr:rowOff>0</xdr:rowOff>
    </xdr:from>
    <xdr:to>
      <xdr:col>1</xdr:col>
      <xdr:colOff>1106299</xdr:colOff>
      <xdr:row>12</xdr:row>
      <xdr:rowOff>165905</xdr:rowOff>
    </xdr:to>
    <xdr:sp macro="" textlink="">
      <xdr:nvSpPr>
        <xdr:cNvPr id="294" name="AutoShape 1">
          <a:extLst>
            <a:ext uri="{FF2B5EF4-FFF2-40B4-BE49-F238E27FC236}">
              <a16:creationId xmlns:a16="http://schemas.microsoft.com/office/drawing/2014/main" id="{BBBD9FE7-171C-4000-8DAD-50EC195F63E5}"/>
            </a:ext>
          </a:extLst>
        </xdr:cNvPr>
        <xdr:cNvSpPr/>
      </xdr:nvSpPr>
      <xdr:spPr>
        <a:xfrm flipH="1">
          <a:off x="1385070" y="1104900"/>
          <a:ext cx="83179" cy="140014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20</xdr:col>
      <xdr:colOff>251234</xdr:colOff>
      <xdr:row>1</xdr:row>
      <xdr:rowOff>201083</xdr:rowOff>
    </xdr:from>
    <xdr:to>
      <xdr:col>20</xdr:col>
      <xdr:colOff>335133</xdr:colOff>
      <xdr:row>4</xdr:row>
      <xdr:rowOff>749009</xdr:rowOff>
    </xdr:to>
    <xdr:sp macro="" textlink="">
      <xdr:nvSpPr>
        <xdr:cNvPr id="295" name="AutoShape 1">
          <a:extLst>
            <a:ext uri="{FF2B5EF4-FFF2-40B4-BE49-F238E27FC236}">
              <a16:creationId xmlns:a16="http://schemas.microsoft.com/office/drawing/2014/main" id="{1A5BCADB-95AF-4C0B-8A0F-A4B6C49B4BE5}"/>
            </a:ext>
          </a:extLst>
        </xdr:cNvPr>
        <xdr:cNvSpPr/>
      </xdr:nvSpPr>
      <xdr:spPr>
        <a:xfrm flipH="1">
          <a:off x="4832759" y="810683"/>
          <a:ext cx="83899" cy="1408615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oneCellAnchor>
    <xdr:from>
      <xdr:col>6</xdr:col>
      <xdr:colOff>251234</xdr:colOff>
      <xdr:row>1</xdr:row>
      <xdr:rowOff>201083</xdr:rowOff>
    </xdr:from>
    <xdr:ext cx="83899" cy="1428988"/>
    <xdr:sp macro="" textlink="">
      <xdr:nvSpPr>
        <xdr:cNvPr id="296" name="AutoShape 1">
          <a:extLst>
            <a:ext uri="{FF2B5EF4-FFF2-40B4-BE49-F238E27FC236}">
              <a16:creationId xmlns:a16="http://schemas.microsoft.com/office/drawing/2014/main" id="{55562632-3736-4B26-B9C6-90D99F750D39}"/>
            </a:ext>
          </a:extLst>
        </xdr:cNvPr>
        <xdr:cNvSpPr/>
      </xdr:nvSpPr>
      <xdr:spPr>
        <a:xfrm flipH="1">
          <a:off x="13574328" y="474927"/>
          <a:ext cx="83899" cy="142898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319615</xdr:rowOff>
    </xdr:to>
    <xdr:sp macro="" textlink="">
      <xdr:nvSpPr>
        <xdr:cNvPr id="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319615</xdr:rowOff>
    </xdr:to>
    <xdr:sp macro="" textlink="">
      <xdr:nvSpPr>
        <xdr:cNvPr id="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111125</xdr:rowOff>
    </xdr:to>
    <xdr:sp macro="" textlink="">
      <xdr:nvSpPr>
        <xdr:cNvPr id="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111125</xdr:rowOff>
    </xdr:to>
    <xdr:sp macro="" textlink="">
      <xdr:nvSpPr>
        <xdr:cNvPr id="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111125</xdr:rowOff>
    </xdr:to>
    <xdr:sp macro="" textlink="">
      <xdr:nvSpPr>
        <xdr:cNvPr id="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111125</xdr:rowOff>
    </xdr:to>
    <xdr:sp macro="" textlink="">
      <xdr:nvSpPr>
        <xdr:cNvPr id="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111125</xdr:rowOff>
    </xdr:to>
    <xdr:sp macro="" textlink="">
      <xdr:nvSpPr>
        <xdr:cNvPr id="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111125</xdr:rowOff>
    </xdr:to>
    <xdr:sp macro="" textlink="">
      <xdr:nvSpPr>
        <xdr:cNvPr id="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111125</xdr:rowOff>
    </xdr:to>
    <xdr:sp macro="" textlink="">
      <xdr:nvSpPr>
        <xdr:cNvPr id="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111125</xdr:rowOff>
    </xdr:to>
    <xdr:sp macro="" textlink="">
      <xdr:nvSpPr>
        <xdr:cNvPr id="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319616</xdr:rowOff>
    </xdr:to>
    <xdr:sp macro="" textlink="">
      <xdr:nvSpPr>
        <xdr:cNvPr id="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319616</xdr:rowOff>
    </xdr:to>
    <xdr:sp macro="" textlink="">
      <xdr:nvSpPr>
        <xdr:cNvPr id="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319616</xdr:rowOff>
    </xdr:to>
    <xdr:sp macro="" textlink="">
      <xdr:nvSpPr>
        <xdr:cNvPr id="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319616</xdr:rowOff>
    </xdr:to>
    <xdr:sp macro="" textlink="">
      <xdr:nvSpPr>
        <xdr:cNvPr id="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328581</xdr:rowOff>
    </xdr:to>
    <xdr:sp macro="" textlink="">
      <xdr:nvSpPr>
        <xdr:cNvPr id="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328581</xdr:rowOff>
    </xdr:to>
    <xdr:sp macro="" textlink="">
      <xdr:nvSpPr>
        <xdr:cNvPr id="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328581</xdr:rowOff>
    </xdr:to>
    <xdr:sp macro="" textlink="">
      <xdr:nvSpPr>
        <xdr:cNvPr id="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328581</xdr:rowOff>
    </xdr:to>
    <xdr:sp macro="" textlink="">
      <xdr:nvSpPr>
        <xdr:cNvPr id="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319617</xdr:rowOff>
    </xdr:to>
    <xdr:sp macro="" textlink="">
      <xdr:nvSpPr>
        <xdr:cNvPr id="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319617</xdr:rowOff>
    </xdr:to>
    <xdr:sp macro="" textlink="">
      <xdr:nvSpPr>
        <xdr:cNvPr id="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319617</xdr:rowOff>
    </xdr:to>
    <xdr:sp macro="" textlink="">
      <xdr:nvSpPr>
        <xdr:cNvPr id="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319617</xdr:rowOff>
    </xdr:to>
    <xdr:sp macro="" textlink="">
      <xdr:nvSpPr>
        <xdr:cNvPr id="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328582</xdr:rowOff>
    </xdr:to>
    <xdr:sp macro="" textlink="">
      <xdr:nvSpPr>
        <xdr:cNvPr id="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328582</xdr:rowOff>
    </xdr:to>
    <xdr:sp macro="" textlink="">
      <xdr:nvSpPr>
        <xdr:cNvPr id="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328582</xdr:rowOff>
    </xdr:to>
    <xdr:sp macro="" textlink="">
      <xdr:nvSpPr>
        <xdr:cNvPr id="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328582</xdr:rowOff>
    </xdr:to>
    <xdr:sp macro="" textlink="">
      <xdr:nvSpPr>
        <xdr:cNvPr id="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319616</xdr:rowOff>
    </xdr:to>
    <xdr:sp macro="" textlink="">
      <xdr:nvSpPr>
        <xdr:cNvPr id="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319616</xdr:rowOff>
    </xdr:to>
    <xdr:sp macro="" textlink="">
      <xdr:nvSpPr>
        <xdr:cNvPr id="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319616</xdr:rowOff>
    </xdr:to>
    <xdr:sp macro="" textlink="">
      <xdr:nvSpPr>
        <xdr:cNvPr id="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319616</xdr:rowOff>
    </xdr:to>
    <xdr:sp macro="" textlink="">
      <xdr:nvSpPr>
        <xdr:cNvPr id="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328581</xdr:rowOff>
    </xdr:to>
    <xdr:sp macro="" textlink="">
      <xdr:nvSpPr>
        <xdr:cNvPr id="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328581</xdr:rowOff>
    </xdr:to>
    <xdr:sp macro="" textlink="">
      <xdr:nvSpPr>
        <xdr:cNvPr id="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328581</xdr:rowOff>
    </xdr:to>
    <xdr:sp macro="" textlink="">
      <xdr:nvSpPr>
        <xdr:cNvPr id="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328581</xdr:rowOff>
    </xdr:to>
    <xdr:sp macro="" textlink="">
      <xdr:nvSpPr>
        <xdr:cNvPr id="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319615</xdr:rowOff>
    </xdr:to>
    <xdr:sp macro="" textlink="">
      <xdr:nvSpPr>
        <xdr:cNvPr id="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319615</xdr:rowOff>
    </xdr:to>
    <xdr:sp macro="" textlink="">
      <xdr:nvSpPr>
        <xdr:cNvPr id="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111125</xdr:rowOff>
    </xdr:to>
    <xdr:sp macro="" textlink="">
      <xdr:nvSpPr>
        <xdr:cNvPr id="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111125</xdr:rowOff>
    </xdr:to>
    <xdr:sp macro="" textlink="">
      <xdr:nvSpPr>
        <xdr:cNvPr id="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111125</xdr:rowOff>
    </xdr:to>
    <xdr:sp macro="" textlink="">
      <xdr:nvSpPr>
        <xdr:cNvPr id="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111125</xdr:rowOff>
    </xdr:to>
    <xdr:sp macro="" textlink="">
      <xdr:nvSpPr>
        <xdr:cNvPr id="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111125</xdr:rowOff>
    </xdr:to>
    <xdr:sp macro="" textlink="">
      <xdr:nvSpPr>
        <xdr:cNvPr id="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111125</xdr:rowOff>
    </xdr:to>
    <xdr:sp macro="" textlink="">
      <xdr:nvSpPr>
        <xdr:cNvPr id="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111125</xdr:rowOff>
    </xdr:to>
    <xdr:sp macro="" textlink="">
      <xdr:nvSpPr>
        <xdr:cNvPr id="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111125</xdr:rowOff>
    </xdr:to>
    <xdr:sp macro="" textlink="">
      <xdr:nvSpPr>
        <xdr:cNvPr id="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319616</xdr:rowOff>
    </xdr:to>
    <xdr:sp macro="" textlink="">
      <xdr:nvSpPr>
        <xdr:cNvPr id="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319616</xdr:rowOff>
    </xdr:to>
    <xdr:sp macro="" textlink="">
      <xdr:nvSpPr>
        <xdr:cNvPr id="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319616</xdr:rowOff>
    </xdr:to>
    <xdr:sp macro="" textlink="">
      <xdr:nvSpPr>
        <xdr:cNvPr id="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319616</xdr:rowOff>
    </xdr:to>
    <xdr:sp macro="" textlink="">
      <xdr:nvSpPr>
        <xdr:cNvPr id="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328581</xdr:rowOff>
    </xdr:to>
    <xdr:sp macro="" textlink="">
      <xdr:nvSpPr>
        <xdr:cNvPr id="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328581</xdr:rowOff>
    </xdr:to>
    <xdr:sp macro="" textlink="">
      <xdr:nvSpPr>
        <xdr:cNvPr id="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328581</xdr:rowOff>
    </xdr:to>
    <xdr:sp macro="" textlink="">
      <xdr:nvSpPr>
        <xdr:cNvPr id="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328581</xdr:rowOff>
    </xdr:to>
    <xdr:sp macro="" textlink="">
      <xdr:nvSpPr>
        <xdr:cNvPr id="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319617</xdr:rowOff>
    </xdr:to>
    <xdr:sp macro="" textlink="">
      <xdr:nvSpPr>
        <xdr:cNvPr id="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319617</xdr:rowOff>
    </xdr:to>
    <xdr:sp macro="" textlink="">
      <xdr:nvSpPr>
        <xdr:cNvPr id="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319617</xdr:rowOff>
    </xdr:to>
    <xdr:sp macro="" textlink="">
      <xdr:nvSpPr>
        <xdr:cNvPr id="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319617</xdr:rowOff>
    </xdr:to>
    <xdr:sp macro="" textlink="">
      <xdr:nvSpPr>
        <xdr:cNvPr id="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328582</xdr:rowOff>
    </xdr:to>
    <xdr:sp macro="" textlink="">
      <xdr:nvSpPr>
        <xdr:cNvPr id="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328582</xdr:rowOff>
    </xdr:to>
    <xdr:sp macro="" textlink="">
      <xdr:nvSpPr>
        <xdr:cNvPr id="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328582</xdr:rowOff>
    </xdr:to>
    <xdr:sp macro="" textlink="">
      <xdr:nvSpPr>
        <xdr:cNvPr id="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328582</xdr:rowOff>
    </xdr:to>
    <xdr:sp macro="" textlink="">
      <xdr:nvSpPr>
        <xdr:cNvPr id="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319616</xdr:rowOff>
    </xdr:to>
    <xdr:sp macro="" textlink="">
      <xdr:nvSpPr>
        <xdr:cNvPr id="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319616</xdr:rowOff>
    </xdr:to>
    <xdr:sp macro="" textlink="">
      <xdr:nvSpPr>
        <xdr:cNvPr id="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319616</xdr:rowOff>
    </xdr:to>
    <xdr:sp macro="" textlink="">
      <xdr:nvSpPr>
        <xdr:cNvPr id="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319616</xdr:rowOff>
    </xdr:to>
    <xdr:sp macro="" textlink="">
      <xdr:nvSpPr>
        <xdr:cNvPr id="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328581</xdr:rowOff>
    </xdr:to>
    <xdr:sp macro="" textlink="">
      <xdr:nvSpPr>
        <xdr:cNvPr id="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328581</xdr:rowOff>
    </xdr:to>
    <xdr:sp macro="" textlink="">
      <xdr:nvSpPr>
        <xdr:cNvPr id="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328581</xdr:rowOff>
    </xdr:to>
    <xdr:sp macro="" textlink="">
      <xdr:nvSpPr>
        <xdr:cNvPr id="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328581</xdr:rowOff>
    </xdr:to>
    <xdr:sp macro="" textlink="">
      <xdr:nvSpPr>
        <xdr:cNvPr id="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319615</xdr:rowOff>
    </xdr:to>
    <xdr:sp macro="" textlink="">
      <xdr:nvSpPr>
        <xdr:cNvPr id="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319615</xdr:rowOff>
    </xdr:to>
    <xdr:sp macro="" textlink="">
      <xdr:nvSpPr>
        <xdr:cNvPr id="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111125</xdr:rowOff>
    </xdr:to>
    <xdr:sp macro="" textlink="">
      <xdr:nvSpPr>
        <xdr:cNvPr id="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111125</xdr:rowOff>
    </xdr:to>
    <xdr:sp macro="" textlink="">
      <xdr:nvSpPr>
        <xdr:cNvPr id="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111125</xdr:rowOff>
    </xdr:to>
    <xdr:sp macro="" textlink="">
      <xdr:nvSpPr>
        <xdr:cNvPr id="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111125</xdr:rowOff>
    </xdr:to>
    <xdr:sp macro="" textlink="">
      <xdr:nvSpPr>
        <xdr:cNvPr id="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111125</xdr:rowOff>
    </xdr:to>
    <xdr:sp macro="" textlink="">
      <xdr:nvSpPr>
        <xdr:cNvPr id="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111125</xdr:rowOff>
    </xdr:to>
    <xdr:sp macro="" textlink="">
      <xdr:nvSpPr>
        <xdr:cNvPr id="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111125</xdr:rowOff>
    </xdr:to>
    <xdr:sp macro="" textlink="">
      <xdr:nvSpPr>
        <xdr:cNvPr id="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111125</xdr:rowOff>
    </xdr:to>
    <xdr:sp macro="" textlink="">
      <xdr:nvSpPr>
        <xdr:cNvPr id="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319616</xdr:rowOff>
    </xdr:to>
    <xdr:sp macro="" textlink="">
      <xdr:nvSpPr>
        <xdr:cNvPr id="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319616</xdr:rowOff>
    </xdr:to>
    <xdr:sp macro="" textlink="">
      <xdr:nvSpPr>
        <xdr:cNvPr id="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319616</xdr:rowOff>
    </xdr:to>
    <xdr:sp macro="" textlink="">
      <xdr:nvSpPr>
        <xdr:cNvPr id="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319616</xdr:rowOff>
    </xdr:to>
    <xdr:sp macro="" textlink="">
      <xdr:nvSpPr>
        <xdr:cNvPr id="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328581</xdr:rowOff>
    </xdr:to>
    <xdr:sp macro="" textlink="">
      <xdr:nvSpPr>
        <xdr:cNvPr id="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328581</xdr:rowOff>
    </xdr:to>
    <xdr:sp macro="" textlink="">
      <xdr:nvSpPr>
        <xdr:cNvPr id="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328581</xdr:rowOff>
    </xdr:to>
    <xdr:sp macro="" textlink="">
      <xdr:nvSpPr>
        <xdr:cNvPr id="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328581</xdr:rowOff>
    </xdr:to>
    <xdr:sp macro="" textlink="">
      <xdr:nvSpPr>
        <xdr:cNvPr id="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319617</xdr:rowOff>
    </xdr:to>
    <xdr:sp macro="" textlink="">
      <xdr:nvSpPr>
        <xdr:cNvPr id="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319617</xdr:rowOff>
    </xdr:to>
    <xdr:sp macro="" textlink="">
      <xdr:nvSpPr>
        <xdr:cNvPr id="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319617</xdr:rowOff>
    </xdr:to>
    <xdr:sp macro="" textlink="">
      <xdr:nvSpPr>
        <xdr:cNvPr id="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319617</xdr:rowOff>
    </xdr:to>
    <xdr:sp macro="" textlink="">
      <xdr:nvSpPr>
        <xdr:cNvPr id="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328582</xdr:rowOff>
    </xdr:to>
    <xdr:sp macro="" textlink="">
      <xdr:nvSpPr>
        <xdr:cNvPr id="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328582</xdr:rowOff>
    </xdr:to>
    <xdr:sp macro="" textlink="">
      <xdr:nvSpPr>
        <xdr:cNvPr id="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328582</xdr:rowOff>
    </xdr:to>
    <xdr:sp macro="" textlink="">
      <xdr:nvSpPr>
        <xdr:cNvPr id="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328582</xdr:rowOff>
    </xdr:to>
    <xdr:sp macro="" textlink="">
      <xdr:nvSpPr>
        <xdr:cNvPr id="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319616</xdr:rowOff>
    </xdr:to>
    <xdr:sp macro="" textlink="">
      <xdr:nvSpPr>
        <xdr:cNvPr id="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319616</xdr:rowOff>
    </xdr:to>
    <xdr:sp macro="" textlink="">
      <xdr:nvSpPr>
        <xdr:cNvPr id="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319616</xdr:rowOff>
    </xdr:to>
    <xdr:sp macro="" textlink="">
      <xdr:nvSpPr>
        <xdr:cNvPr id="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319616</xdr:rowOff>
    </xdr:to>
    <xdr:sp macro="" textlink="">
      <xdr:nvSpPr>
        <xdr:cNvPr id="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328581</xdr:rowOff>
    </xdr:to>
    <xdr:sp macro="" textlink="">
      <xdr:nvSpPr>
        <xdr:cNvPr id="1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328581</xdr:rowOff>
    </xdr:to>
    <xdr:sp macro="" textlink="">
      <xdr:nvSpPr>
        <xdr:cNvPr id="1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328581</xdr:rowOff>
    </xdr:to>
    <xdr:sp macro="" textlink="">
      <xdr:nvSpPr>
        <xdr:cNvPr id="1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328581</xdr:rowOff>
    </xdr:to>
    <xdr:sp macro="" textlink="">
      <xdr:nvSpPr>
        <xdr:cNvPr id="1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319615</xdr:rowOff>
    </xdr:to>
    <xdr:sp macro="" textlink="">
      <xdr:nvSpPr>
        <xdr:cNvPr id="1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319615</xdr:rowOff>
    </xdr:to>
    <xdr:sp macro="" textlink="">
      <xdr:nvSpPr>
        <xdr:cNvPr id="1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111125</xdr:rowOff>
    </xdr:to>
    <xdr:sp macro="" textlink="">
      <xdr:nvSpPr>
        <xdr:cNvPr id="1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111125</xdr:rowOff>
    </xdr:to>
    <xdr:sp macro="" textlink="">
      <xdr:nvSpPr>
        <xdr:cNvPr id="1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111125</xdr:rowOff>
    </xdr:to>
    <xdr:sp macro="" textlink="">
      <xdr:nvSpPr>
        <xdr:cNvPr id="1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111125</xdr:rowOff>
    </xdr:to>
    <xdr:sp macro="" textlink="">
      <xdr:nvSpPr>
        <xdr:cNvPr id="1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111125</xdr:rowOff>
    </xdr:to>
    <xdr:sp macro="" textlink="">
      <xdr:nvSpPr>
        <xdr:cNvPr id="1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111125</xdr:rowOff>
    </xdr:to>
    <xdr:sp macro="" textlink="">
      <xdr:nvSpPr>
        <xdr:cNvPr id="1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111125</xdr:rowOff>
    </xdr:to>
    <xdr:sp macro="" textlink="">
      <xdr:nvSpPr>
        <xdr:cNvPr id="1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111125</xdr:rowOff>
    </xdr:to>
    <xdr:sp macro="" textlink="">
      <xdr:nvSpPr>
        <xdr:cNvPr id="1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69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319616</xdr:rowOff>
    </xdr:to>
    <xdr:sp macro="" textlink="">
      <xdr:nvSpPr>
        <xdr:cNvPr id="1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319616</xdr:rowOff>
    </xdr:to>
    <xdr:sp macro="" textlink="">
      <xdr:nvSpPr>
        <xdr:cNvPr id="1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319616</xdr:rowOff>
    </xdr:to>
    <xdr:sp macro="" textlink="">
      <xdr:nvSpPr>
        <xdr:cNvPr id="1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319616</xdr:rowOff>
    </xdr:to>
    <xdr:sp macro="" textlink="">
      <xdr:nvSpPr>
        <xdr:cNvPr id="1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328581</xdr:rowOff>
    </xdr:to>
    <xdr:sp macro="" textlink="">
      <xdr:nvSpPr>
        <xdr:cNvPr id="1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328581</xdr:rowOff>
    </xdr:to>
    <xdr:sp macro="" textlink="">
      <xdr:nvSpPr>
        <xdr:cNvPr id="1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328581</xdr:rowOff>
    </xdr:to>
    <xdr:sp macro="" textlink="">
      <xdr:nvSpPr>
        <xdr:cNvPr id="1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328581</xdr:rowOff>
    </xdr:to>
    <xdr:sp macro="" textlink="">
      <xdr:nvSpPr>
        <xdr:cNvPr id="1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319617</xdr:rowOff>
    </xdr:to>
    <xdr:sp macro="" textlink="">
      <xdr:nvSpPr>
        <xdr:cNvPr id="1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319617</xdr:rowOff>
    </xdr:to>
    <xdr:sp macro="" textlink="">
      <xdr:nvSpPr>
        <xdr:cNvPr id="1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319617</xdr:rowOff>
    </xdr:to>
    <xdr:sp macro="" textlink="">
      <xdr:nvSpPr>
        <xdr:cNvPr id="1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319617</xdr:rowOff>
    </xdr:to>
    <xdr:sp macro="" textlink="">
      <xdr:nvSpPr>
        <xdr:cNvPr id="1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328582</xdr:rowOff>
    </xdr:to>
    <xdr:sp macro="" textlink="">
      <xdr:nvSpPr>
        <xdr:cNvPr id="1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328582</xdr:rowOff>
    </xdr:to>
    <xdr:sp macro="" textlink="">
      <xdr:nvSpPr>
        <xdr:cNvPr id="1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328582</xdr:rowOff>
    </xdr:to>
    <xdr:sp macro="" textlink="">
      <xdr:nvSpPr>
        <xdr:cNvPr id="1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328582</xdr:rowOff>
    </xdr:to>
    <xdr:sp macro="" textlink="">
      <xdr:nvSpPr>
        <xdr:cNvPr id="1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2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319616</xdr:rowOff>
    </xdr:to>
    <xdr:sp macro="" textlink="">
      <xdr:nvSpPr>
        <xdr:cNvPr id="1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319616</xdr:rowOff>
    </xdr:to>
    <xdr:sp macro="" textlink="">
      <xdr:nvSpPr>
        <xdr:cNvPr id="1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319616</xdr:rowOff>
    </xdr:to>
    <xdr:sp macro="" textlink="">
      <xdr:nvSpPr>
        <xdr:cNvPr id="1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319616</xdr:rowOff>
    </xdr:to>
    <xdr:sp macro="" textlink="">
      <xdr:nvSpPr>
        <xdr:cNvPr id="1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25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328581</xdr:rowOff>
    </xdr:to>
    <xdr:sp macro="" textlink="">
      <xdr:nvSpPr>
        <xdr:cNvPr id="1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328581</xdr:rowOff>
    </xdr:to>
    <xdr:sp macro="" textlink="">
      <xdr:nvSpPr>
        <xdr:cNvPr id="1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328581</xdr:rowOff>
    </xdr:to>
    <xdr:sp macro="" textlink="">
      <xdr:nvSpPr>
        <xdr:cNvPr id="1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328581</xdr:rowOff>
    </xdr:to>
    <xdr:sp macro="" textlink="">
      <xdr:nvSpPr>
        <xdr:cNvPr id="1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9151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263525</xdr:rowOff>
    </xdr:to>
    <xdr:sp macro="" textlink="">
      <xdr:nvSpPr>
        <xdr:cNvPr id="1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263525</xdr:rowOff>
    </xdr:to>
    <xdr:sp macro="" textlink="">
      <xdr:nvSpPr>
        <xdr:cNvPr id="1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263525</xdr:rowOff>
    </xdr:to>
    <xdr:sp macro="" textlink="">
      <xdr:nvSpPr>
        <xdr:cNvPr id="1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263525</xdr:rowOff>
    </xdr:to>
    <xdr:sp macro="" textlink="">
      <xdr:nvSpPr>
        <xdr:cNvPr id="1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263525</xdr:rowOff>
    </xdr:to>
    <xdr:sp macro="" textlink="">
      <xdr:nvSpPr>
        <xdr:cNvPr id="1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263525</xdr:rowOff>
    </xdr:to>
    <xdr:sp macro="" textlink="">
      <xdr:nvSpPr>
        <xdr:cNvPr id="1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263525</xdr:rowOff>
    </xdr:to>
    <xdr:sp macro="" textlink="">
      <xdr:nvSpPr>
        <xdr:cNvPr id="1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263525</xdr:rowOff>
    </xdr:to>
    <xdr:sp macro="" textlink="">
      <xdr:nvSpPr>
        <xdr:cNvPr id="1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263525</xdr:rowOff>
    </xdr:to>
    <xdr:sp macro="" textlink="">
      <xdr:nvSpPr>
        <xdr:cNvPr id="1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263525</xdr:rowOff>
    </xdr:to>
    <xdr:sp macro="" textlink="">
      <xdr:nvSpPr>
        <xdr:cNvPr id="1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263525</xdr:rowOff>
    </xdr:to>
    <xdr:sp macro="" textlink="">
      <xdr:nvSpPr>
        <xdr:cNvPr id="1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263525</xdr:rowOff>
    </xdr:to>
    <xdr:sp macro="" textlink="">
      <xdr:nvSpPr>
        <xdr:cNvPr id="1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263525</xdr:rowOff>
    </xdr:to>
    <xdr:sp macro="" textlink="">
      <xdr:nvSpPr>
        <xdr:cNvPr id="1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263525</xdr:rowOff>
    </xdr:to>
    <xdr:sp macro="" textlink="">
      <xdr:nvSpPr>
        <xdr:cNvPr id="1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263525</xdr:rowOff>
    </xdr:to>
    <xdr:sp macro="" textlink="">
      <xdr:nvSpPr>
        <xdr:cNvPr id="1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7005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263525</xdr:rowOff>
    </xdr:to>
    <xdr:sp macro="" textlink="">
      <xdr:nvSpPr>
        <xdr:cNvPr id="1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700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316440</xdr:rowOff>
    </xdr:to>
    <xdr:sp macro="" textlink="">
      <xdr:nvSpPr>
        <xdr:cNvPr id="1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316440</xdr:rowOff>
    </xdr:to>
    <xdr:sp macro="" textlink="">
      <xdr:nvSpPr>
        <xdr:cNvPr id="1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107950</xdr:rowOff>
    </xdr:to>
    <xdr:sp macro="" textlink="">
      <xdr:nvSpPr>
        <xdr:cNvPr id="1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107950</xdr:rowOff>
    </xdr:to>
    <xdr:sp macro="" textlink="">
      <xdr:nvSpPr>
        <xdr:cNvPr id="1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107950</xdr:rowOff>
    </xdr:to>
    <xdr:sp macro="" textlink="">
      <xdr:nvSpPr>
        <xdr:cNvPr id="1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107950</xdr:rowOff>
    </xdr:to>
    <xdr:sp macro="" textlink="">
      <xdr:nvSpPr>
        <xdr:cNvPr id="1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107950</xdr:rowOff>
    </xdr:to>
    <xdr:sp macro="" textlink="">
      <xdr:nvSpPr>
        <xdr:cNvPr id="1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107950</xdr:rowOff>
    </xdr:to>
    <xdr:sp macro="" textlink="">
      <xdr:nvSpPr>
        <xdr:cNvPr id="1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107950</xdr:rowOff>
    </xdr:to>
    <xdr:sp macro="" textlink="">
      <xdr:nvSpPr>
        <xdr:cNvPr id="1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107950</xdr:rowOff>
    </xdr:to>
    <xdr:sp macro="" textlink="">
      <xdr:nvSpPr>
        <xdr:cNvPr id="1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316441</xdr:rowOff>
    </xdr:to>
    <xdr:sp macro="" textlink="">
      <xdr:nvSpPr>
        <xdr:cNvPr id="1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316441</xdr:rowOff>
    </xdr:to>
    <xdr:sp macro="" textlink="">
      <xdr:nvSpPr>
        <xdr:cNvPr id="1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316441</xdr:rowOff>
    </xdr:to>
    <xdr:sp macro="" textlink="">
      <xdr:nvSpPr>
        <xdr:cNvPr id="1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316441</xdr:rowOff>
    </xdr:to>
    <xdr:sp macro="" textlink="">
      <xdr:nvSpPr>
        <xdr:cNvPr id="1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325406</xdr:rowOff>
    </xdr:to>
    <xdr:sp macro="" textlink="">
      <xdr:nvSpPr>
        <xdr:cNvPr id="1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325406</xdr:rowOff>
    </xdr:to>
    <xdr:sp macro="" textlink="">
      <xdr:nvSpPr>
        <xdr:cNvPr id="1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325406</xdr:rowOff>
    </xdr:to>
    <xdr:sp macro="" textlink="">
      <xdr:nvSpPr>
        <xdr:cNvPr id="1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325406</xdr:rowOff>
    </xdr:to>
    <xdr:sp macro="" textlink="">
      <xdr:nvSpPr>
        <xdr:cNvPr id="1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316442</xdr:rowOff>
    </xdr:to>
    <xdr:sp macro="" textlink="">
      <xdr:nvSpPr>
        <xdr:cNvPr id="1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316442</xdr:rowOff>
    </xdr:to>
    <xdr:sp macro="" textlink="">
      <xdr:nvSpPr>
        <xdr:cNvPr id="1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316442</xdr:rowOff>
    </xdr:to>
    <xdr:sp macro="" textlink="">
      <xdr:nvSpPr>
        <xdr:cNvPr id="1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316442</xdr:rowOff>
    </xdr:to>
    <xdr:sp macro="" textlink="">
      <xdr:nvSpPr>
        <xdr:cNvPr id="1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325407</xdr:rowOff>
    </xdr:to>
    <xdr:sp macro="" textlink="">
      <xdr:nvSpPr>
        <xdr:cNvPr id="1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325407</xdr:rowOff>
    </xdr:to>
    <xdr:sp macro="" textlink="">
      <xdr:nvSpPr>
        <xdr:cNvPr id="1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325407</xdr:rowOff>
    </xdr:to>
    <xdr:sp macro="" textlink="">
      <xdr:nvSpPr>
        <xdr:cNvPr id="1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325407</xdr:rowOff>
    </xdr:to>
    <xdr:sp macro="" textlink="">
      <xdr:nvSpPr>
        <xdr:cNvPr id="1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316441</xdr:rowOff>
    </xdr:to>
    <xdr:sp macro="" textlink="">
      <xdr:nvSpPr>
        <xdr:cNvPr id="1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316441</xdr:rowOff>
    </xdr:to>
    <xdr:sp macro="" textlink="">
      <xdr:nvSpPr>
        <xdr:cNvPr id="1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316441</xdr:rowOff>
    </xdr:to>
    <xdr:sp macro="" textlink="">
      <xdr:nvSpPr>
        <xdr:cNvPr id="1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316441</xdr:rowOff>
    </xdr:to>
    <xdr:sp macro="" textlink="">
      <xdr:nvSpPr>
        <xdr:cNvPr id="1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325406</xdr:rowOff>
    </xdr:to>
    <xdr:sp macro="" textlink="">
      <xdr:nvSpPr>
        <xdr:cNvPr id="1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325406</xdr:rowOff>
    </xdr:to>
    <xdr:sp macro="" textlink="">
      <xdr:nvSpPr>
        <xdr:cNvPr id="1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325406</xdr:rowOff>
    </xdr:to>
    <xdr:sp macro="" textlink="">
      <xdr:nvSpPr>
        <xdr:cNvPr id="1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325406</xdr:rowOff>
    </xdr:to>
    <xdr:sp macro="" textlink="">
      <xdr:nvSpPr>
        <xdr:cNvPr id="1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316440</xdr:rowOff>
    </xdr:to>
    <xdr:sp macro="" textlink="">
      <xdr:nvSpPr>
        <xdr:cNvPr id="1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316440</xdr:rowOff>
    </xdr:to>
    <xdr:sp macro="" textlink="">
      <xdr:nvSpPr>
        <xdr:cNvPr id="1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107950</xdr:rowOff>
    </xdr:to>
    <xdr:sp macro="" textlink="">
      <xdr:nvSpPr>
        <xdr:cNvPr id="1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107950</xdr:rowOff>
    </xdr:to>
    <xdr:sp macro="" textlink="">
      <xdr:nvSpPr>
        <xdr:cNvPr id="1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107950</xdr:rowOff>
    </xdr:to>
    <xdr:sp macro="" textlink="">
      <xdr:nvSpPr>
        <xdr:cNvPr id="1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107950</xdr:rowOff>
    </xdr:to>
    <xdr:sp macro="" textlink="">
      <xdr:nvSpPr>
        <xdr:cNvPr id="1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107950</xdr:rowOff>
    </xdr:to>
    <xdr:sp macro="" textlink="">
      <xdr:nvSpPr>
        <xdr:cNvPr id="1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107950</xdr:rowOff>
    </xdr:to>
    <xdr:sp macro="" textlink="">
      <xdr:nvSpPr>
        <xdr:cNvPr id="1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107950</xdr:rowOff>
    </xdr:to>
    <xdr:sp macro="" textlink="">
      <xdr:nvSpPr>
        <xdr:cNvPr id="1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107950</xdr:rowOff>
    </xdr:to>
    <xdr:sp macro="" textlink="">
      <xdr:nvSpPr>
        <xdr:cNvPr id="1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316441</xdr:rowOff>
    </xdr:to>
    <xdr:sp macro="" textlink="">
      <xdr:nvSpPr>
        <xdr:cNvPr id="1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316441</xdr:rowOff>
    </xdr:to>
    <xdr:sp macro="" textlink="">
      <xdr:nvSpPr>
        <xdr:cNvPr id="1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316441</xdr:rowOff>
    </xdr:to>
    <xdr:sp macro="" textlink="">
      <xdr:nvSpPr>
        <xdr:cNvPr id="2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316441</xdr:rowOff>
    </xdr:to>
    <xdr:sp macro="" textlink="">
      <xdr:nvSpPr>
        <xdr:cNvPr id="2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325406</xdr:rowOff>
    </xdr:to>
    <xdr:sp macro="" textlink="">
      <xdr:nvSpPr>
        <xdr:cNvPr id="2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325406</xdr:rowOff>
    </xdr:to>
    <xdr:sp macro="" textlink="">
      <xdr:nvSpPr>
        <xdr:cNvPr id="2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325406</xdr:rowOff>
    </xdr:to>
    <xdr:sp macro="" textlink="">
      <xdr:nvSpPr>
        <xdr:cNvPr id="2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325406</xdr:rowOff>
    </xdr:to>
    <xdr:sp macro="" textlink="">
      <xdr:nvSpPr>
        <xdr:cNvPr id="2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316442</xdr:rowOff>
    </xdr:to>
    <xdr:sp macro="" textlink="">
      <xdr:nvSpPr>
        <xdr:cNvPr id="2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316442</xdr:rowOff>
    </xdr:to>
    <xdr:sp macro="" textlink="">
      <xdr:nvSpPr>
        <xdr:cNvPr id="2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316442</xdr:rowOff>
    </xdr:to>
    <xdr:sp macro="" textlink="">
      <xdr:nvSpPr>
        <xdr:cNvPr id="2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316442</xdr:rowOff>
    </xdr:to>
    <xdr:sp macro="" textlink="">
      <xdr:nvSpPr>
        <xdr:cNvPr id="2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325407</xdr:rowOff>
    </xdr:to>
    <xdr:sp macro="" textlink="">
      <xdr:nvSpPr>
        <xdr:cNvPr id="2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325407</xdr:rowOff>
    </xdr:to>
    <xdr:sp macro="" textlink="">
      <xdr:nvSpPr>
        <xdr:cNvPr id="2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325407</xdr:rowOff>
    </xdr:to>
    <xdr:sp macro="" textlink="">
      <xdr:nvSpPr>
        <xdr:cNvPr id="2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325407</xdr:rowOff>
    </xdr:to>
    <xdr:sp macro="" textlink="">
      <xdr:nvSpPr>
        <xdr:cNvPr id="2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316441</xdr:rowOff>
    </xdr:to>
    <xdr:sp macro="" textlink="">
      <xdr:nvSpPr>
        <xdr:cNvPr id="2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316441</xdr:rowOff>
    </xdr:to>
    <xdr:sp macro="" textlink="">
      <xdr:nvSpPr>
        <xdr:cNvPr id="2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316441</xdr:rowOff>
    </xdr:to>
    <xdr:sp macro="" textlink="">
      <xdr:nvSpPr>
        <xdr:cNvPr id="2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316441</xdr:rowOff>
    </xdr:to>
    <xdr:sp macro="" textlink="">
      <xdr:nvSpPr>
        <xdr:cNvPr id="2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325406</xdr:rowOff>
    </xdr:to>
    <xdr:sp macro="" textlink="">
      <xdr:nvSpPr>
        <xdr:cNvPr id="2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325406</xdr:rowOff>
    </xdr:to>
    <xdr:sp macro="" textlink="">
      <xdr:nvSpPr>
        <xdr:cNvPr id="2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325406</xdr:rowOff>
    </xdr:to>
    <xdr:sp macro="" textlink="">
      <xdr:nvSpPr>
        <xdr:cNvPr id="2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325406</xdr:rowOff>
    </xdr:to>
    <xdr:sp macro="" textlink="">
      <xdr:nvSpPr>
        <xdr:cNvPr id="2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316440</xdr:rowOff>
    </xdr:to>
    <xdr:sp macro="" textlink="">
      <xdr:nvSpPr>
        <xdr:cNvPr id="2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316440</xdr:rowOff>
    </xdr:to>
    <xdr:sp macro="" textlink="">
      <xdr:nvSpPr>
        <xdr:cNvPr id="2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107950</xdr:rowOff>
    </xdr:to>
    <xdr:sp macro="" textlink="">
      <xdr:nvSpPr>
        <xdr:cNvPr id="2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107950</xdr:rowOff>
    </xdr:to>
    <xdr:sp macro="" textlink="">
      <xdr:nvSpPr>
        <xdr:cNvPr id="2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107950</xdr:rowOff>
    </xdr:to>
    <xdr:sp macro="" textlink="">
      <xdr:nvSpPr>
        <xdr:cNvPr id="2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107950</xdr:rowOff>
    </xdr:to>
    <xdr:sp macro="" textlink="">
      <xdr:nvSpPr>
        <xdr:cNvPr id="2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107950</xdr:rowOff>
    </xdr:to>
    <xdr:sp macro="" textlink="">
      <xdr:nvSpPr>
        <xdr:cNvPr id="2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107950</xdr:rowOff>
    </xdr:to>
    <xdr:sp macro="" textlink="">
      <xdr:nvSpPr>
        <xdr:cNvPr id="2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107950</xdr:rowOff>
    </xdr:to>
    <xdr:sp macro="" textlink="">
      <xdr:nvSpPr>
        <xdr:cNvPr id="2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107950</xdr:rowOff>
    </xdr:to>
    <xdr:sp macro="" textlink="">
      <xdr:nvSpPr>
        <xdr:cNvPr id="2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316441</xdr:rowOff>
    </xdr:to>
    <xdr:sp macro="" textlink="">
      <xdr:nvSpPr>
        <xdr:cNvPr id="2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316441</xdr:rowOff>
    </xdr:to>
    <xdr:sp macro="" textlink="">
      <xdr:nvSpPr>
        <xdr:cNvPr id="2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316441</xdr:rowOff>
    </xdr:to>
    <xdr:sp macro="" textlink="">
      <xdr:nvSpPr>
        <xdr:cNvPr id="2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316441</xdr:rowOff>
    </xdr:to>
    <xdr:sp macro="" textlink="">
      <xdr:nvSpPr>
        <xdr:cNvPr id="2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325406</xdr:rowOff>
    </xdr:to>
    <xdr:sp macro="" textlink="">
      <xdr:nvSpPr>
        <xdr:cNvPr id="2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325406</xdr:rowOff>
    </xdr:to>
    <xdr:sp macro="" textlink="">
      <xdr:nvSpPr>
        <xdr:cNvPr id="2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325406</xdr:rowOff>
    </xdr:to>
    <xdr:sp macro="" textlink="">
      <xdr:nvSpPr>
        <xdr:cNvPr id="2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325406</xdr:rowOff>
    </xdr:to>
    <xdr:sp macro="" textlink="">
      <xdr:nvSpPr>
        <xdr:cNvPr id="2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316442</xdr:rowOff>
    </xdr:to>
    <xdr:sp macro="" textlink="">
      <xdr:nvSpPr>
        <xdr:cNvPr id="2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316442</xdr:rowOff>
    </xdr:to>
    <xdr:sp macro="" textlink="">
      <xdr:nvSpPr>
        <xdr:cNvPr id="2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316442</xdr:rowOff>
    </xdr:to>
    <xdr:sp macro="" textlink="">
      <xdr:nvSpPr>
        <xdr:cNvPr id="2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316442</xdr:rowOff>
    </xdr:to>
    <xdr:sp macro="" textlink="">
      <xdr:nvSpPr>
        <xdr:cNvPr id="2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325407</xdr:rowOff>
    </xdr:to>
    <xdr:sp macro="" textlink="">
      <xdr:nvSpPr>
        <xdr:cNvPr id="2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325407</xdr:rowOff>
    </xdr:to>
    <xdr:sp macro="" textlink="">
      <xdr:nvSpPr>
        <xdr:cNvPr id="2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325407</xdr:rowOff>
    </xdr:to>
    <xdr:sp macro="" textlink="">
      <xdr:nvSpPr>
        <xdr:cNvPr id="2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325407</xdr:rowOff>
    </xdr:to>
    <xdr:sp macro="" textlink="">
      <xdr:nvSpPr>
        <xdr:cNvPr id="2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316441</xdr:rowOff>
    </xdr:to>
    <xdr:sp macro="" textlink="">
      <xdr:nvSpPr>
        <xdr:cNvPr id="2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316441</xdr:rowOff>
    </xdr:to>
    <xdr:sp macro="" textlink="">
      <xdr:nvSpPr>
        <xdr:cNvPr id="2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316441</xdr:rowOff>
    </xdr:to>
    <xdr:sp macro="" textlink="">
      <xdr:nvSpPr>
        <xdr:cNvPr id="2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316441</xdr:rowOff>
    </xdr:to>
    <xdr:sp macro="" textlink="">
      <xdr:nvSpPr>
        <xdr:cNvPr id="2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325406</xdr:rowOff>
    </xdr:to>
    <xdr:sp macro="" textlink="">
      <xdr:nvSpPr>
        <xdr:cNvPr id="2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325406</xdr:rowOff>
    </xdr:to>
    <xdr:sp macro="" textlink="">
      <xdr:nvSpPr>
        <xdr:cNvPr id="2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325406</xdr:rowOff>
    </xdr:to>
    <xdr:sp macro="" textlink="">
      <xdr:nvSpPr>
        <xdr:cNvPr id="2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325406</xdr:rowOff>
    </xdr:to>
    <xdr:sp macro="" textlink="">
      <xdr:nvSpPr>
        <xdr:cNvPr id="2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0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316440</xdr:rowOff>
    </xdr:to>
    <xdr:sp macro="" textlink="">
      <xdr:nvSpPr>
        <xdr:cNvPr id="2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316440</xdr:rowOff>
    </xdr:to>
    <xdr:sp macro="" textlink="">
      <xdr:nvSpPr>
        <xdr:cNvPr id="2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107950</xdr:rowOff>
    </xdr:to>
    <xdr:sp macro="" textlink="">
      <xdr:nvSpPr>
        <xdr:cNvPr id="2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107950</xdr:rowOff>
    </xdr:to>
    <xdr:sp macro="" textlink="">
      <xdr:nvSpPr>
        <xdr:cNvPr id="2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107950</xdr:rowOff>
    </xdr:to>
    <xdr:sp macro="" textlink="">
      <xdr:nvSpPr>
        <xdr:cNvPr id="2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107950</xdr:rowOff>
    </xdr:to>
    <xdr:sp macro="" textlink="">
      <xdr:nvSpPr>
        <xdr:cNvPr id="2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107950</xdr:rowOff>
    </xdr:to>
    <xdr:sp macro="" textlink="">
      <xdr:nvSpPr>
        <xdr:cNvPr id="2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107950</xdr:rowOff>
    </xdr:to>
    <xdr:sp macro="" textlink="">
      <xdr:nvSpPr>
        <xdr:cNvPr id="2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107950</xdr:rowOff>
    </xdr:to>
    <xdr:sp macro="" textlink="">
      <xdr:nvSpPr>
        <xdr:cNvPr id="2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107950</xdr:rowOff>
    </xdr:to>
    <xdr:sp macro="" textlink="">
      <xdr:nvSpPr>
        <xdr:cNvPr id="2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438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316441</xdr:rowOff>
    </xdr:to>
    <xdr:sp macro="" textlink="">
      <xdr:nvSpPr>
        <xdr:cNvPr id="2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316441</xdr:rowOff>
    </xdr:to>
    <xdr:sp macro="" textlink="">
      <xdr:nvSpPr>
        <xdr:cNvPr id="2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316441</xdr:rowOff>
    </xdr:to>
    <xdr:sp macro="" textlink="">
      <xdr:nvSpPr>
        <xdr:cNvPr id="2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316441</xdr:rowOff>
    </xdr:to>
    <xdr:sp macro="" textlink="">
      <xdr:nvSpPr>
        <xdr:cNvPr id="2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325406</xdr:rowOff>
    </xdr:to>
    <xdr:sp macro="" textlink="">
      <xdr:nvSpPr>
        <xdr:cNvPr id="2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325406</xdr:rowOff>
    </xdr:to>
    <xdr:sp macro="" textlink="">
      <xdr:nvSpPr>
        <xdr:cNvPr id="2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325406</xdr:rowOff>
    </xdr:to>
    <xdr:sp macro="" textlink="">
      <xdr:nvSpPr>
        <xdr:cNvPr id="2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325406</xdr:rowOff>
    </xdr:to>
    <xdr:sp macro="" textlink="">
      <xdr:nvSpPr>
        <xdr:cNvPr id="2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316442</xdr:rowOff>
    </xdr:to>
    <xdr:sp macro="" textlink="">
      <xdr:nvSpPr>
        <xdr:cNvPr id="2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316442</xdr:rowOff>
    </xdr:to>
    <xdr:sp macro="" textlink="">
      <xdr:nvSpPr>
        <xdr:cNvPr id="2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316442</xdr:rowOff>
    </xdr:to>
    <xdr:sp macro="" textlink="">
      <xdr:nvSpPr>
        <xdr:cNvPr id="2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316442</xdr:rowOff>
    </xdr:to>
    <xdr:sp macro="" textlink="">
      <xdr:nvSpPr>
        <xdr:cNvPr id="2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8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325407</xdr:rowOff>
    </xdr:to>
    <xdr:sp macro="" textlink="">
      <xdr:nvSpPr>
        <xdr:cNvPr id="2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325407</xdr:rowOff>
    </xdr:to>
    <xdr:sp macro="" textlink="">
      <xdr:nvSpPr>
        <xdr:cNvPr id="2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325407</xdr:rowOff>
    </xdr:to>
    <xdr:sp macro="" textlink="">
      <xdr:nvSpPr>
        <xdr:cNvPr id="2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325407</xdr:rowOff>
    </xdr:to>
    <xdr:sp macro="" textlink="">
      <xdr:nvSpPr>
        <xdr:cNvPr id="2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316441</xdr:rowOff>
    </xdr:to>
    <xdr:sp macro="" textlink="">
      <xdr:nvSpPr>
        <xdr:cNvPr id="2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316441</xdr:rowOff>
    </xdr:to>
    <xdr:sp macro="" textlink="">
      <xdr:nvSpPr>
        <xdr:cNvPr id="2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316441</xdr:rowOff>
    </xdr:to>
    <xdr:sp macro="" textlink="">
      <xdr:nvSpPr>
        <xdr:cNvPr id="2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316441</xdr:rowOff>
    </xdr:to>
    <xdr:sp macro="" textlink="">
      <xdr:nvSpPr>
        <xdr:cNvPr id="2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937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325406</xdr:rowOff>
    </xdr:to>
    <xdr:sp macro="" textlink="">
      <xdr:nvSpPr>
        <xdr:cNvPr id="2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325406</xdr:rowOff>
    </xdr:to>
    <xdr:sp macro="" textlink="">
      <xdr:nvSpPr>
        <xdr:cNvPr id="2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325406</xdr:rowOff>
    </xdr:to>
    <xdr:sp macro="" textlink="">
      <xdr:nvSpPr>
        <xdr:cNvPr id="2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325406</xdr:rowOff>
    </xdr:to>
    <xdr:sp macro="" textlink="">
      <xdr:nvSpPr>
        <xdr:cNvPr id="2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83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260350</xdr:rowOff>
    </xdr:to>
    <xdr:sp macro="" textlink="">
      <xdr:nvSpPr>
        <xdr:cNvPr id="2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260350</xdr:rowOff>
    </xdr:to>
    <xdr:sp macro="" textlink="">
      <xdr:nvSpPr>
        <xdr:cNvPr id="2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260350</xdr:rowOff>
    </xdr:to>
    <xdr:sp macro="" textlink="">
      <xdr:nvSpPr>
        <xdr:cNvPr id="2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260350</xdr:rowOff>
    </xdr:to>
    <xdr:sp macro="" textlink="">
      <xdr:nvSpPr>
        <xdr:cNvPr id="2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260350</xdr:rowOff>
    </xdr:to>
    <xdr:sp macro="" textlink="">
      <xdr:nvSpPr>
        <xdr:cNvPr id="2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260350</xdr:rowOff>
    </xdr:to>
    <xdr:sp macro="" textlink="">
      <xdr:nvSpPr>
        <xdr:cNvPr id="2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260350</xdr:rowOff>
    </xdr:to>
    <xdr:sp macro="" textlink="">
      <xdr:nvSpPr>
        <xdr:cNvPr id="2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260350</xdr:rowOff>
    </xdr:to>
    <xdr:sp macro="" textlink="">
      <xdr:nvSpPr>
        <xdr:cNvPr id="2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260350</xdr:rowOff>
    </xdr:to>
    <xdr:sp macro="" textlink="">
      <xdr:nvSpPr>
        <xdr:cNvPr id="2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260350</xdr:rowOff>
    </xdr:to>
    <xdr:sp macro="" textlink="">
      <xdr:nvSpPr>
        <xdr:cNvPr id="2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260350</xdr:rowOff>
    </xdr:to>
    <xdr:sp macro="" textlink="">
      <xdr:nvSpPr>
        <xdr:cNvPr id="3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260350</xdr:rowOff>
    </xdr:to>
    <xdr:sp macro="" textlink="">
      <xdr:nvSpPr>
        <xdr:cNvPr id="3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260350</xdr:rowOff>
    </xdr:to>
    <xdr:sp macro="" textlink="">
      <xdr:nvSpPr>
        <xdr:cNvPr id="3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260350</xdr:rowOff>
    </xdr:to>
    <xdr:sp macro="" textlink="">
      <xdr:nvSpPr>
        <xdr:cNvPr id="3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260350</xdr:rowOff>
    </xdr:to>
    <xdr:sp macro="" textlink="">
      <xdr:nvSpPr>
        <xdr:cNvPr id="3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687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260350</xdr:rowOff>
    </xdr:to>
    <xdr:sp macro="" textlink="">
      <xdr:nvSpPr>
        <xdr:cNvPr id="3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68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313265</xdr:rowOff>
    </xdr:to>
    <xdr:sp macro="" textlink="">
      <xdr:nvSpPr>
        <xdr:cNvPr id="3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313265</xdr:rowOff>
    </xdr:to>
    <xdr:sp macro="" textlink="">
      <xdr:nvSpPr>
        <xdr:cNvPr id="3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3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3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3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3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3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3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3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3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3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3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3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3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3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3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3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3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313267</xdr:rowOff>
    </xdr:to>
    <xdr:sp macro="" textlink="">
      <xdr:nvSpPr>
        <xdr:cNvPr id="3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313267</xdr:rowOff>
    </xdr:to>
    <xdr:sp macro="" textlink="">
      <xdr:nvSpPr>
        <xdr:cNvPr id="3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313267</xdr:rowOff>
    </xdr:to>
    <xdr:sp macro="" textlink="">
      <xdr:nvSpPr>
        <xdr:cNvPr id="3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313267</xdr:rowOff>
    </xdr:to>
    <xdr:sp macro="" textlink="">
      <xdr:nvSpPr>
        <xdr:cNvPr id="3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322232</xdr:rowOff>
    </xdr:to>
    <xdr:sp macro="" textlink="">
      <xdr:nvSpPr>
        <xdr:cNvPr id="3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322232</xdr:rowOff>
    </xdr:to>
    <xdr:sp macro="" textlink="">
      <xdr:nvSpPr>
        <xdr:cNvPr id="3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322232</xdr:rowOff>
    </xdr:to>
    <xdr:sp macro="" textlink="">
      <xdr:nvSpPr>
        <xdr:cNvPr id="3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322232</xdr:rowOff>
    </xdr:to>
    <xdr:sp macro="" textlink="">
      <xdr:nvSpPr>
        <xdr:cNvPr id="3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3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3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3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3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3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3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3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3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313265</xdr:rowOff>
    </xdr:to>
    <xdr:sp macro="" textlink="">
      <xdr:nvSpPr>
        <xdr:cNvPr id="3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313265</xdr:rowOff>
    </xdr:to>
    <xdr:sp macro="" textlink="">
      <xdr:nvSpPr>
        <xdr:cNvPr id="3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3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3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3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3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3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3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3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3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3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3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3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3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3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3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3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3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313267</xdr:rowOff>
    </xdr:to>
    <xdr:sp macro="" textlink="">
      <xdr:nvSpPr>
        <xdr:cNvPr id="3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313267</xdr:rowOff>
    </xdr:to>
    <xdr:sp macro="" textlink="">
      <xdr:nvSpPr>
        <xdr:cNvPr id="3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313267</xdr:rowOff>
    </xdr:to>
    <xdr:sp macro="" textlink="">
      <xdr:nvSpPr>
        <xdr:cNvPr id="3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313267</xdr:rowOff>
    </xdr:to>
    <xdr:sp macro="" textlink="">
      <xdr:nvSpPr>
        <xdr:cNvPr id="3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322232</xdr:rowOff>
    </xdr:to>
    <xdr:sp macro="" textlink="">
      <xdr:nvSpPr>
        <xdr:cNvPr id="3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322232</xdr:rowOff>
    </xdr:to>
    <xdr:sp macro="" textlink="">
      <xdr:nvSpPr>
        <xdr:cNvPr id="3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322232</xdr:rowOff>
    </xdr:to>
    <xdr:sp macro="" textlink="">
      <xdr:nvSpPr>
        <xdr:cNvPr id="3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322232</xdr:rowOff>
    </xdr:to>
    <xdr:sp macro="" textlink="">
      <xdr:nvSpPr>
        <xdr:cNvPr id="3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3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3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3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3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3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3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3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3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313265</xdr:rowOff>
    </xdr:to>
    <xdr:sp macro="" textlink="">
      <xdr:nvSpPr>
        <xdr:cNvPr id="3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313265</xdr:rowOff>
    </xdr:to>
    <xdr:sp macro="" textlink="">
      <xdr:nvSpPr>
        <xdr:cNvPr id="3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3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3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3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3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3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3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3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3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3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3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3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3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3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3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3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3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313267</xdr:rowOff>
    </xdr:to>
    <xdr:sp macro="" textlink="">
      <xdr:nvSpPr>
        <xdr:cNvPr id="3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313267</xdr:rowOff>
    </xdr:to>
    <xdr:sp macro="" textlink="">
      <xdr:nvSpPr>
        <xdr:cNvPr id="3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313267</xdr:rowOff>
    </xdr:to>
    <xdr:sp macro="" textlink="">
      <xdr:nvSpPr>
        <xdr:cNvPr id="3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313267</xdr:rowOff>
    </xdr:to>
    <xdr:sp macro="" textlink="">
      <xdr:nvSpPr>
        <xdr:cNvPr id="3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322232</xdr:rowOff>
    </xdr:to>
    <xdr:sp macro="" textlink="">
      <xdr:nvSpPr>
        <xdr:cNvPr id="3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322232</xdr:rowOff>
    </xdr:to>
    <xdr:sp macro="" textlink="">
      <xdr:nvSpPr>
        <xdr:cNvPr id="3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322232</xdr:rowOff>
    </xdr:to>
    <xdr:sp macro="" textlink="">
      <xdr:nvSpPr>
        <xdr:cNvPr id="3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322232</xdr:rowOff>
    </xdr:to>
    <xdr:sp macro="" textlink="">
      <xdr:nvSpPr>
        <xdr:cNvPr id="3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4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4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4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4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4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4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4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4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313265</xdr:rowOff>
    </xdr:to>
    <xdr:sp macro="" textlink="">
      <xdr:nvSpPr>
        <xdr:cNvPr id="4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313265</xdr:rowOff>
    </xdr:to>
    <xdr:sp macro="" textlink="">
      <xdr:nvSpPr>
        <xdr:cNvPr id="4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4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4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4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4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4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4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4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4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745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4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4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4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4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4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4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4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4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313267</xdr:rowOff>
    </xdr:to>
    <xdr:sp macro="" textlink="">
      <xdr:nvSpPr>
        <xdr:cNvPr id="4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313267</xdr:rowOff>
    </xdr:to>
    <xdr:sp macro="" textlink="">
      <xdr:nvSpPr>
        <xdr:cNvPr id="4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313267</xdr:rowOff>
    </xdr:to>
    <xdr:sp macro="" textlink="">
      <xdr:nvSpPr>
        <xdr:cNvPr id="4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313267</xdr:rowOff>
    </xdr:to>
    <xdr:sp macro="" textlink="">
      <xdr:nvSpPr>
        <xdr:cNvPr id="4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322232</xdr:rowOff>
    </xdr:to>
    <xdr:sp macro="" textlink="">
      <xdr:nvSpPr>
        <xdr:cNvPr id="4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322232</xdr:rowOff>
    </xdr:to>
    <xdr:sp macro="" textlink="">
      <xdr:nvSpPr>
        <xdr:cNvPr id="4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322232</xdr:rowOff>
    </xdr:to>
    <xdr:sp macro="" textlink="">
      <xdr:nvSpPr>
        <xdr:cNvPr id="4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322232</xdr:rowOff>
    </xdr:to>
    <xdr:sp macro="" textlink="">
      <xdr:nvSpPr>
        <xdr:cNvPr id="4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4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4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4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4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4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4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4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4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257175</xdr:rowOff>
    </xdr:to>
    <xdr:sp macro="" textlink="">
      <xdr:nvSpPr>
        <xdr:cNvPr id="4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257175</xdr:rowOff>
    </xdr:to>
    <xdr:sp macro="" textlink="">
      <xdr:nvSpPr>
        <xdr:cNvPr id="4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257175</xdr:rowOff>
    </xdr:to>
    <xdr:sp macro="" textlink="">
      <xdr:nvSpPr>
        <xdr:cNvPr id="4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257175</xdr:rowOff>
    </xdr:to>
    <xdr:sp macro="" textlink="">
      <xdr:nvSpPr>
        <xdr:cNvPr id="4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257175</xdr:rowOff>
    </xdr:to>
    <xdr:sp macro="" textlink="">
      <xdr:nvSpPr>
        <xdr:cNvPr id="4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257175</xdr:rowOff>
    </xdr:to>
    <xdr:sp macro="" textlink="">
      <xdr:nvSpPr>
        <xdr:cNvPr id="4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257175</xdr:rowOff>
    </xdr:to>
    <xdr:sp macro="" textlink="">
      <xdr:nvSpPr>
        <xdr:cNvPr id="4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257175</xdr:rowOff>
    </xdr:to>
    <xdr:sp macro="" textlink="">
      <xdr:nvSpPr>
        <xdr:cNvPr id="4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257175</xdr:rowOff>
    </xdr:to>
    <xdr:sp macro="" textlink="">
      <xdr:nvSpPr>
        <xdr:cNvPr id="4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257175</xdr:rowOff>
    </xdr:to>
    <xdr:sp macro="" textlink="">
      <xdr:nvSpPr>
        <xdr:cNvPr id="4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257175</xdr:rowOff>
    </xdr:to>
    <xdr:sp macro="" textlink="">
      <xdr:nvSpPr>
        <xdr:cNvPr id="4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257175</xdr:rowOff>
    </xdr:to>
    <xdr:sp macro="" textlink="">
      <xdr:nvSpPr>
        <xdr:cNvPr id="4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257175</xdr:rowOff>
    </xdr:to>
    <xdr:sp macro="" textlink="">
      <xdr:nvSpPr>
        <xdr:cNvPr id="4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257175</xdr:rowOff>
    </xdr:to>
    <xdr:sp macro="" textlink="">
      <xdr:nvSpPr>
        <xdr:cNvPr id="4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257175</xdr:rowOff>
    </xdr:to>
    <xdr:sp macro="" textlink="">
      <xdr:nvSpPr>
        <xdr:cNvPr id="4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370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257175</xdr:rowOff>
    </xdr:to>
    <xdr:sp macro="" textlink="">
      <xdr:nvSpPr>
        <xdr:cNvPr id="4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37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310090</xdr:rowOff>
    </xdr:to>
    <xdr:sp macro="" textlink="">
      <xdr:nvSpPr>
        <xdr:cNvPr id="4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310090</xdr:rowOff>
    </xdr:to>
    <xdr:sp macro="" textlink="">
      <xdr:nvSpPr>
        <xdr:cNvPr id="4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4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4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4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4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4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4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4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4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4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4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4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4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4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4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4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4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310092</xdr:rowOff>
    </xdr:to>
    <xdr:sp macro="" textlink="">
      <xdr:nvSpPr>
        <xdr:cNvPr id="4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310092</xdr:rowOff>
    </xdr:to>
    <xdr:sp macro="" textlink="">
      <xdr:nvSpPr>
        <xdr:cNvPr id="4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310092</xdr:rowOff>
    </xdr:to>
    <xdr:sp macro="" textlink="">
      <xdr:nvSpPr>
        <xdr:cNvPr id="4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310092</xdr:rowOff>
    </xdr:to>
    <xdr:sp macro="" textlink="">
      <xdr:nvSpPr>
        <xdr:cNvPr id="4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319057</xdr:rowOff>
    </xdr:to>
    <xdr:sp macro="" textlink="">
      <xdr:nvSpPr>
        <xdr:cNvPr id="4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319057</xdr:rowOff>
    </xdr:to>
    <xdr:sp macro="" textlink="">
      <xdr:nvSpPr>
        <xdr:cNvPr id="4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319057</xdr:rowOff>
    </xdr:to>
    <xdr:sp macro="" textlink="">
      <xdr:nvSpPr>
        <xdr:cNvPr id="4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319057</xdr:rowOff>
    </xdr:to>
    <xdr:sp macro="" textlink="">
      <xdr:nvSpPr>
        <xdr:cNvPr id="4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4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4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4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4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4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4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4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4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310090</xdr:rowOff>
    </xdr:to>
    <xdr:sp macro="" textlink="">
      <xdr:nvSpPr>
        <xdr:cNvPr id="4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310090</xdr:rowOff>
    </xdr:to>
    <xdr:sp macro="" textlink="">
      <xdr:nvSpPr>
        <xdr:cNvPr id="4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4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4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4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4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4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4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5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5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5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5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5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5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5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5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5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5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310092</xdr:rowOff>
    </xdr:to>
    <xdr:sp macro="" textlink="">
      <xdr:nvSpPr>
        <xdr:cNvPr id="5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310092</xdr:rowOff>
    </xdr:to>
    <xdr:sp macro="" textlink="">
      <xdr:nvSpPr>
        <xdr:cNvPr id="5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1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310092</xdr:rowOff>
    </xdr:to>
    <xdr:sp macro="" textlink="">
      <xdr:nvSpPr>
        <xdr:cNvPr id="5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310092</xdr:rowOff>
    </xdr:to>
    <xdr:sp macro="" textlink="">
      <xdr:nvSpPr>
        <xdr:cNvPr id="5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319057</xdr:rowOff>
    </xdr:to>
    <xdr:sp macro="" textlink="">
      <xdr:nvSpPr>
        <xdr:cNvPr id="5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319057</xdr:rowOff>
    </xdr:to>
    <xdr:sp macro="" textlink="">
      <xdr:nvSpPr>
        <xdr:cNvPr id="5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319057</xdr:rowOff>
    </xdr:to>
    <xdr:sp macro="" textlink="">
      <xdr:nvSpPr>
        <xdr:cNvPr id="5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319057</xdr:rowOff>
    </xdr:to>
    <xdr:sp macro="" textlink="">
      <xdr:nvSpPr>
        <xdr:cNvPr id="5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5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5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5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5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5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5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5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5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310090</xdr:rowOff>
    </xdr:to>
    <xdr:sp macro="" textlink="">
      <xdr:nvSpPr>
        <xdr:cNvPr id="5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310090</xdr:rowOff>
    </xdr:to>
    <xdr:sp macro="" textlink="">
      <xdr:nvSpPr>
        <xdr:cNvPr id="5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5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5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5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5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5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5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5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5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5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5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5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5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5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5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5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5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310092</xdr:rowOff>
    </xdr:to>
    <xdr:sp macro="" textlink="">
      <xdr:nvSpPr>
        <xdr:cNvPr id="5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310092</xdr:rowOff>
    </xdr:to>
    <xdr:sp macro="" textlink="">
      <xdr:nvSpPr>
        <xdr:cNvPr id="5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310092</xdr:rowOff>
    </xdr:to>
    <xdr:sp macro="" textlink="">
      <xdr:nvSpPr>
        <xdr:cNvPr id="5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310092</xdr:rowOff>
    </xdr:to>
    <xdr:sp macro="" textlink="">
      <xdr:nvSpPr>
        <xdr:cNvPr id="5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319057</xdr:rowOff>
    </xdr:to>
    <xdr:sp macro="" textlink="">
      <xdr:nvSpPr>
        <xdr:cNvPr id="5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319057</xdr:rowOff>
    </xdr:to>
    <xdr:sp macro="" textlink="">
      <xdr:nvSpPr>
        <xdr:cNvPr id="5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319057</xdr:rowOff>
    </xdr:to>
    <xdr:sp macro="" textlink="">
      <xdr:nvSpPr>
        <xdr:cNvPr id="5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319057</xdr:rowOff>
    </xdr:to>
    <xdr:sp macro="" textlink="">
      <xdr:nvSpPr>
        <xdr:cNvPr id="5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5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5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5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5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5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5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5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5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310090</xdr:rowOff>
    </xdr:to>
    <xdr:sp macro="" textlink="">
      <xdr:nvSpPr>
        <xdr:cNvPr id="5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310090</xdr:rowOff>
    </xdr:to>
    <xdr:sp macro="" textlink="">
      <xdr:nvSpPr>
        <xdr:cNvPr id="5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5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5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5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5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5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5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5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5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610750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5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5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5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5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5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5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5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5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310092</xdr:rowOff>
    </xdr:to>
    <xdr:sp macro="" textlink="">
      <xdr:nvSpPr>
        <xdr:cNvPr id="5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310092</xdr:rowOff>
    </xdr:to>
    <xdr:sp macro="" textlink="">
      <xdr:nvSpPr>
        <xdr:cNvPr id="5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310092</xdr:rowOff>
    </xdr:to>
    <xdr:sp macro="" textlink="">
      <xdr:nvSpPr>
        <xdr:cNvPr id="5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310092</xdr:rowOff>
    </xdr:to>
    <xdr:sp macro="" textlink="">
      <xdr:nvSpPr>
        <xdr:cNvPr id="5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319057</xdr:rowOff>
    </xdr:to>
    <xdr:sp macro="" textlink="">
      <xdr:nvSpPr>
        <xdr:cNvPr id="5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319057</xdr:rowOff>
    </xdr:to>
    <xdr:sp macro="" textlink="">
      <xdr:nvSpPr>
        <xdr:cNvPr id="5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319057</xdr:rowOff>
    </xdr:to>
    <xdr:sp macro="" textlink="">
      <xdr:nvSpPr>
        <xdr:cNvPr id="5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319057</xdr:rowOff>
    </xdr:to>
    <xdr:sp macro="" textlink="">
      <xdr:nvSpPr>
        <xdr:cNvPr id="5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5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5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5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5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5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5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5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5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20000}"/>
            </a:ext>
          </a:extLst>
        </xdr:cNvPr>
        <xdr:cNvSpPr>
          <a:spLocks noChangeAspect="1" noChangeArrowheads="1"/>
        </xdr:cNvSpPr>
      </xdr:nvSpPr>
      <xdr:spPr bwMode="auto">
        <a:xfrm>
          <a:off x="14478000" y="2529612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254000</xdr:rowOff>
    </xdr:to>
    <xdr:sp macro="" textlink="">
      <xdr:nvSpPr>
        <xdr:cNvPr id="5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254000</xdr:rowOff>
    </xdr:to>
    <xdr:sp macro="" textlink="">
      <xdr:nvSpPr>
        <xdr:cNvPr id="5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254000</xdr:rowOff>
    </xdr:to>
    <xdr:sp macro="" textlink="">
      <xdr:nvSpPr>
        <xdr:cNvPr id="5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254000</xdr:rowOff>
    </xdr:to>
    <xdr:sp macro="" textlink="">
      <xdr:nvSpPr>
        <xdr:cNvPr id="5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254000</xdr:rowOff>
    </xdr:to>
    <xdr:sp macro="" textlink="">
      <xdr:nvSpPr>
        <xdr:cNvPr id="5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254000</xdr:rowOff>
    </xdr:to>
    <xdr:sp macro="" textlink="">
      <xdr:nvSpPr>
        <xdr:cNvPr id="5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254000</xdr:rowOff>
    </xdr:to>
    <xdr:sp macro="" textlink="">
      <xdr:nvSpPr>
        <xdr:cNvPr id="6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254000</xdr:rowOff>
    </xdr:to>
    <xdr:sp macro="" textlink="">
      <xdr:nvSpPr>
        <xdr:cNvPr id="6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254000</xdr:rowOff>
    </xdr:to>
    <xdr:sp macro="" textlink="">
      <xdr:nvSpPr>
        <xdr:cNvPr id="6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254000</xdr:rowOff>
    </xdr:to>
    <xdr:sp macro="" textlink="">
      <xdr:nvSpPr>
        <xdr:cNvPr id="6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254000</xdr:rowOff>
    </xdr:to>
    <xdr:sp macro="" textlink="">
      <xdr:nvSpPr>
        <xdr:cNvPr id="6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254000</xdr:rowOff>
    </xdr:to>
    <xdr:sp macro="" textlink="">
      <xdr:nvSpPr>
        <xdr:cNvPr id="6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254000</xdr:rowOff>
    </xdr:to>
    <xdr:sp macro="" textlink="">
      <xdr:nvSpPr>
        <xdr:cNvPr id="6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254000</xdr:rowOff>
    </xdr:to>
    <xdr:sp macro="" textlink="">
      <xdr:nvSpPr>
        <xdr:cNvPr id="6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254000</xdr:rowOff>
    </xdr:to>
    <xdr:sp macro="" textlink="">
      <xdr:nvSpPr>
        <xdr:cNvPr id="6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1095" cy="166052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254000</xdr:rowOff>
    </xdr:to>
    <xdr:sp macro="" textlink="">
      <xdr:nvSpPr>
        <xdr:cNvPr id="6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588771" y="2486025"/>
          <a:ext cx="162152" cy="166052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313265</xdr:rowOff>
    </xdr:to>
    <xdr:sp macro="" textlink="">
      <xdr:nvSpPr>
        <xdr:cNvPr id="6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313265</xdr:rowOff>
    </xdr:to>
    <xdr:sp macro="" textlink="">
      <xdr:nvSpPr>
        <xdr:cNvPr id="6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6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6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6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6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6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6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6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6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6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6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6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6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6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6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6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6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313267</xdr:rowOff>
    </xdr:to>
    <xdr:sp macro="" textlink="">
      <xdr:nvSpPr>
        <xdr:cNvPr id="6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313267</xdr:rowOff>
    </xdr:to>
    <xdr:sp macro="" textlink="">
      <xdr:nvSpPr>
        <xdr:cNvPr id="6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313267</xdr:rowOff>
    </xdr:to>
    <xdr:sp macro="" textlink="">
      <xdr:nvSpPr>
        <xdr:cNvPr id="6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313267</xdr:rowOff>
    </xdr:to>
    <xdr:sp macro="" textlink="">
      <xdr:nvSpPr>
        <xdr:cNvPr id="6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322232</xdr:rowOff>
    </xdr:to>
    <xdr:sp macro="" textlink="">
      <xdr:nvSpPr>
        <xdr:cNvPr id="6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322232</xdr:rowOff>
    </xdr:to>
    <xdr:sp macro="" textlink="">
      <xdr:nvSpPr>
        <xdr:cNvPr id="6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322232</xdr:rowOff>
    </xdr:to>
    <xdr:sp macro="" textlink="">
      <xdr:nvSpPr>
        <xdr:cNvPr id="6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322232</xdr:rowOff>
    </xdr:to>
    <xdr:sp macro="" textlink="">
      <xdr:nvSpPr>
        <xdr:cNvPr id="6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6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6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6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6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6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6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6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6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313265</xdr:rowOff>
    </xdr:to>
    <xdr:sp macro="" textlink="">
      <xdr:nvSpPr>
        <xdr:cNvPr id="6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313265</xdr:rowOff>
    </xdr:to>
    <xdr:sp macro="" textlink="">
      <xdr:nvSpPr>
        <xdr:cNvPr id="6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6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6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6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6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6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6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6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6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6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6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6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6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6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6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6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6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313267</xdr:rowOff>
    </xdr:to>
    <xdr:sp macro="" textlink="">
      <xdr:nvSpPr>
        <xdr:cNvPr id="6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313267</xdr:rowOff>
    </xdr:to>
    <xdr:sp macro="" textlink="">
      <xdr:nvSpPr>
        <xdr:cNvPr id="6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313267</xdr:rowOff>
    </xdr:to>
    <xdr:sp macro="" textlink="">
      <xdr:nvSpPr>
        <xdr:cNvPr id="6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313267</xdr:rowOff>
    </xdr:to>
    <xdr:sp macro="" textlink="">
      <xdr:nvSpPr>
        <xdr:cNvPr id="6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322232</xdr:rowOff>
    </xdr:to>
    <xdr:sp macro="" textlink="">
      <xdr:nvSpPr>
        <xdr:cNvPr id="6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322232</xdr:rowOff>
    </xdr:to>
    <xdr:sp macro="" textlink="">
      <xdr:nvSpPr>
        <xdr:cNvPr id="6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322232</xdr:rowOff>
    </xdr:to>
    <xdr:sp macro="" textlink="">
      <xdr:nvSpPr>
        <xdr:cNvPr id="6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322232</xdr:rowOff>
    </xdr:to>
    <xdr:sp macro="" textlink="">
      <xdr:nvSpPr>
        <xdr:cNvPr id="6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6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6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6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6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6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6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6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6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313265</xdr:rowOff>
    </xdr:to>
    <xdr:sp macro="" textlink="">
      <xdr:nvSpPr>
        <xdr:cNvPr id="6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313265</xdr:rowOff>
    </xdr:to>
    <xdr:sp macro="" textlink="">
      <xdr:nvSpPr>
        <xdr:cNvPr id="6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6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6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6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6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6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6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6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6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6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6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6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6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6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6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6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6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313267</xdr:rowOff>
    </xdr:to>
    <xdr:sp macro="" textlink="">
      <xdr:nvSpPr>
        <xdr:cNvPr id="6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313267</xdr:rowOff>
    </xdr:to>
    <xdr:sp macro="" textlink="">
      <xdr:nvSpPr>
        <xdr:cNvPr id="6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313267</xdr:rowOff>
    </xdr:to>
    <xdr:sp macro="" textlink="">
      <xdr:nvSpPr>
        <xdr:cNvPr id="6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313267</xdr:rowOff>
    </xdr:to>
    <xdr:sp macro="" textlink="">
      <xdr:nvSpPr>
        <xdr:cNvPr id="6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322232</xdr:rowOff>
    </xdr:to>
    <xdr:sp macro="" textlink="">
      <xdr:nvSpPr>
        <xdr:cNvPr id="7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322232</xdr:rowOff>
    </xdr:to>
    <xdr:sp macro="" textlink="">
      <xdr:nvSpPr>
        <xdr:cNvPr id="7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322232</xdr:rowOff>
    </xdr:to>
    <xdr:sp macro="" textlink="">
      <xdr:nvSpPr>
        <xdr:cNvPr id="7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322232</xdr:rowOff>
    </xdr:to>
    <xdr:sp macro="" textlink="">
      <xdr:nvSpPr>
        <xdr:cNvPr id="7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7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7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7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7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7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7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7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7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313265</xdr:rowOff>
    </xdr:to>
    <xdr:sp macro="" textlink="">
      <xdr:nvSpPr>
        <xdr:cNvPr id="7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313265</xdr:rowOff>
    </xdr:to>
    <xdr:sp macro="" textlink="">
      <xdr:nvSpPr>
        <xdr:cNvPr id="7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7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7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7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7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7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7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7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101600</xdr:rowOff>
    </xdr:to>
    <xdr:sp macro="" textlink="">
      <xdr:nvSpPr>
        <xdr:cNvPr id="7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427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7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7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7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7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7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7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7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7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313267</xdr:rowOff>
    </xdr:to>
    <xdr:sp macro="" textlink="">
      <xdr:nvSpPr>
        <xdr:cNvPr id="7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313267</xdr:rowOff>
    </xdr:to>
    <xdr:sp macro="" textlink="">
      <xdr:nvSpPr>
        <xdr:cNvPr id="7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313267</xdr:rowOff>
    </xdr:to>
    <xdr:sp macro="" textlink="">
      <xdr:nvSpPr>
        <xdr:cNvPr id="7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313267</xdr:rowOff>
    </xdr:to>
    <xdr:sp macro="" textlink="">
      <xdr:nvSpPr>
        <xdr:cNvPr id="7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322232</xdr:rowOff>
    </xdr:to>
    <xdr:sp macro="" textlink="">
      <xdr:nvSpPr>
        <xdr:cNvPr id="7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322232</xdr:rowOff>
    </xdr:to>
    <xdr:sp macro="" textlink="">
      <xdr:nvSpPr>
        <xdr:cNvPr id="7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322232</xdr:rowOff>
    </xdr:to>
    <xdr:sp macro="" textlink="">
      <xdr:nvSpPr>
        <xdr:cNvPr id="7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322232</xdr:rowOff>
    </xdr:to>
    <xdr:sp macro="" textlink="">
      <xdr:nvSpPr>
        <xdr:cNvPr id="7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7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7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7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313266</xdr:rowOff>
    </xdr:to>
    <xdr:sp macro="" textlink="">
      <xdr:nvSpPr>
        <xdr:cNvPr id="7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620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7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7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7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322231</xdr:rowOff>
    </xdr:to>
    <xdr:sp macro="" textlink="">
      <xdr:nvSpPr>
        <xdr:cNvPr id="7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51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249766</xdr:rowOff>
    </xdr:to>
    <xdr:sp macro="" textlink="">
      <xdr:nvSpPr>
        <xdr:cNvPr id="7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249766</xdr:rowOff>
    </xdr:to>
    <xdr:sp macro="" textlink="">
      <xdr:nvSpPr>
        <xdr:cNvPr id="7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249766</xdr:rowOff>
    </xdr:to>
    <xdr:sp macro="" textlink="">
      <xdr:nvSpPr>
        <xdr:cNvPr id="7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249766</xdr:rowOff>
    </xdr:to>
    <xdr:sp macro="" textlink="">
      <xdr:nvSpPr>
        <xdr:cNvPr id="7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249766</xdr:rowOff>
    </xdr:to>
    <xdr:sp macro="" textlink="">
      <xdr:nvSpPr>
        <xdr:cNvPr id="7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249766</xdr:rowOff>
    </xdr:to>
    <xdr:sp macro="" textlink="">
      <xdr:nvSpPr>
        <xdr:cNvPr id="7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249766</xdr:rowOff>
    </xdr:to>
    <xdr:sp macro="" textlink="">
      <xdr:nvSpPr>
        <xdr:cNvPr id="7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249766</xdr:rowOff>
    </xdr:to>
    <xdr:sp macro="" textlink="">
      <xdr:nvSpPr>
        <xdr:cNvPr id="7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249766</xdr:rowOff>
    </xdr:to>
    <xdr:sp macro="" textlink="">
      <xdr:nvSpPr>
        <xdr:cNvPr id="7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249766</xdr:rowOff>
    </xdr:to>
    <xdr:sp macro="" textlink="">
      <xdr:nvSpPr>
        <xdr:cNvPr id="7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249766</xdr:rowOff>
    </xdr:to>
    <xdr:sp macro="" textlink="">
      <xdr:nvSpPr>
        <xdr:cNvPr id="7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249766</xdr:rowOff>
    </xdr:to>
    <xdr:sp macro="" textlink="">
      <xdr:nvSpPr>
        <xdr:cNvPr id="7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249766</xdr:rowOff>
    </xdr:to>
    <xdr:sp macro="" textlink="">
      <xdr:nvSpPr>
        <xdr:cNvPr id="7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249766</xdr:rowOff>
    </xdr:to>
    <xdr:sp macro="" textlink="">
      <xdr:nvSpPr>
        <xdr:cNvPr id="7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249766</xdr:rowOff>
    </xdr:to>
    <xdr:sp macro="" textlink="">
      <xdr:nvSpPr>
        <xdr:cNvPr id="7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249766</xdr:rowOff>
    </xdr:to>
    <xdr:sp macro="" textlink="">
      <xdr:nvSpPr>
        <xdr:cNvPr id="7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310090</xdr:rowOff>
    </xdr:to>
    <xdr:sp macro="" textlink="">
      <xdr:nvSpPr>
        <xdr:cNvPr id="7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310090</xdr:rowOff>
    </xdr:to>
    <xdr:sp macro="" textlink="">
      <xdr:nvSpPr>
        <xdr:cNvPr id="7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7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7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7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7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2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7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7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7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7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7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7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7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7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7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7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7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7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310092</xdr:rowOff>
    </xdr:to>
    <xdr:sp macro="" textlink="">
      <xdr:nvSpPr>
        <xdr:cNvPr id="7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310092</xdr:rowOff>
    </xdr:to>
    <xdr:sp macro="" textlink="">
      <xdr:nvSpPr>
        <xdr:cNvPr id="7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310092</xdr:rowOff>
    </xdr:to>
    <xdr:sp macro="" textlink="">
      <xdr:nvSpPr>
        <xdr:cNvPr id="7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310092</xdr:rowOff>
    </xdr:to>
    <xdr:sp macro="" textlink="">
      <xdr:nvSpPr>
        <xdr:cNvPr id="7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319057</xdr:rowOff>
    </xdr:to>
    <xdr:sp macro="" textlink="">
      <xdr:nvSpPr>
        <xdr:cNvPr id="7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319057</xdr:rowOff>
    </xdr:to>
    <xdr:sp macro="" textlink="">
      <xdr:nvSpPr>
        <xdr:cNvPr id="7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319057</xdr:rowOff>
    </xdr:to>
    <xdr:sp macro="" textlink="">
      <xdr:nvSpPr>
        <xdr:cNvPr id="7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319057</xdr:rowOff>
    </xdr:to>
    <xdr:sp macro="" textlink="">
      <xdr:nvSpPr>
        <xdr:cNvPr id="7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7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7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7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7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7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7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7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7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310090</xdr:rowOff>
    </xdr:to>
    <xdr:sp macro="" textlink="">
      <xdr:nvSpPr>
        <xdr:cNvPr id="7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310090</xdr:rowOff>
    </xdr:to>
    <xdr:sp macro="" textlink="">
      <xdr:nvSpPr>
        <xdr:cNvPr id="7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7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7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8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8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8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8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8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8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8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8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8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8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8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8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8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8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310092</xdr:rowOff>
    </xdr:to>
    <xdr:sp macro="" textlink="">
      <xdr:nvSpPr>
        <xdr:cNvPr id="8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310092</xdr:rowOff>
    </xdr:to>
    <xdr:sp macro="" textlink="">
      <xdr:nvSpPr>
        <xdr:cNvPr id="8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310092</xdr:rowOff>
    </xdr:to>
    <xdr:sp macro="" textlink="">
      <xdr:nvSpPr>
        <xdr:cNvPr id="8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310092</xdr:rowOff>
    </xdr:to>
    <xdr:sp macro="" textlink="">
      <xdr:nvSpPr>
        <xdr:cNvPr id="8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319057</xdr:rowOff>
    </xdr:to>
    <xdr:sp macro="" textlink="">
      <xdr:nvSpPr>
        <xdr:cNvPr id="8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319057</xdr:rowOff>
    </xdr:to>
    <xdr:sp macro="" textlink="">
      <xdr:nvSpPr>
        <xdr:cNvPr id="8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319057</xdr:rowOff>
    </xdr:to>
    <xdr:sp macro="" textlink="">
      <xdr:nvSpPr>
        <xdr:cNvPr id="8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319057</xdr:rowOff>
    </xdr:to>
    <xdr:sp macro="" textlink="">
      <xdr:nvSpPr>
        <xdr:cNvPr id="8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8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8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8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8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8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8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8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8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310090</xdr:rowOff>
    </xdr:to>
    <xdr:sp macro="" textlink="">
      <xdr:nvSpPr>
        <xdr:cNvPr id="8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310090</xdr:rowOff>
    </xdr:to>
    <xdr:sp macro="" textlink="">
      <xdr:nvSpPr>
        <xdr:cNvPr id="8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8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8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8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8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8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8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8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8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8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8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8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8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8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8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8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8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310092</xdr:rowOff>
    </xdr:to>
    <xdr:sp macro="" textlink="">
      <xdr:nvSpPr>
        <xdr:cNvPr id="8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310092</xdr:rowOff>
    </xdr:to>
    <xdr:sp macro="" textlink="">
      <xdr:nvSpPr>
        <xdr:cNvPr id="8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310092</xdr:rowOff>
    </xdr:to>
    <xdr:sp macro="" textlink="">
      <xdr:nvSpPr>
        <xdr:cNvPr id="8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310092</xdr:rowOff>
    </xdr:to>
    <xdr:sp macro="" textlink="">
      <xdr:nvSpPr>
        <xdr:cNvPr id="8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319057</xdr:rowOff>
    </xdr:to>
    <xdr:sp macro="" textlink="">
      <xdr:nvSpPr>
        <xdr:cNvPr id="8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319057</xdr:rowOff>
    </xdr:to>
    <xdr:sp macro="" textlink="">
      <xdr:nvSpPr>
        <xdr:cNvPr id="8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319057</xdr:rowOff>
    </xdr:to>
    <xdr:sp macro="" textlink="">
      <xdr:nvSpPr>
        <xdr:cNvPr id="8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319057</xdr:rowOff>
    </xdr:to>
    <xdr:sp macro="" textlink="">
      <xdr:nvSpPr>
        <xdr:cNvPr id="8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8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8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8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8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8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8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8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8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310090</xdr:rowOff>
    </xdr:to>
    <xdr:sp macro="" textlink="">
      <xdr:nvSpPr>
        <xdr:cNvPr id="8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310090</xdr:rowOff>
    </xdr:to>
    <xdr:sp macro="" textlink="">
      <xdr:nvSpPr>
        <xdr:cNvPr id="8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8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8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8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8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8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8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8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98425</xdr:rowOff>
    </xdr:to>
    <xdr:sp macro="" textlink="">
      <xdr:nvSpPr>
        <xdr:cNvPr id="8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124725"/>
          <a:ext cx="47625" cy="203110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8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8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8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8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8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8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8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8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310092</xdr:rowOff>
    </xdr:to>
    <xdr:sp macro="" textlink="">
      <xdr:nvSpPr>
        <xdr:cNvPr id="8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310092</xdr:rowOff>
    </xdr:to>
    <xdr:sp macro="" textlink="">
      <xdr:nvSpPr>
        <xdr:cNvPr id="8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310092</xdr:rowOff>
    </xdr:to>
    <xdr:sp macro="" textlink="">
      <xdr:nvSpPr>
        <xdr:cNvPr id="8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310092</xdr:rowOff>
    </xdr:to>
    <xdr:sp macro="" textlink="">
      <xdr:nvSpPr>
        <xdr:cNvPr id="8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3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319057</xdr:rowOff>
    </xdr:to>
    <xdr:sp macro="" textlink="">
      <xdr:nvSpPr>
        <xdr:cNvPr id="8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319057</xdr:rowOff>
    </xdr:to>
    <xdr:sp macro="" textlink="">
      <xdr:nvSpPr>
        <xdr:cNvPr id="8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319057</xdr:rowOff>
    </xdr:to>
    <xdr:sp macro="" textlink="">
      <xdr:nvSpPr>
        <xdr:cNvPr id="8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319057</xdr:rowOff>
    </xdr:to>
    <xdr:sp macro="" textlink="">
      <xdr:nvSpPr>
        <xdr:cNvPr id="8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8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8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8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310091</xdr:rowOff>
    </xdr:to>
    <xdr:sp macro="" textlink="">
      <xdr:nvSpPr>
        <xdr:cNvPr id="8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730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8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8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8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319056</xdr:rowOff>
    </xdr:to>
    <xdr:sp macro="" textlink="">
      <xdr:nvSpPr>
        <xdr:cNvPr id="8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3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43587"/>
          <a:ext cx="45719" cy="168199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249766</xdr:rowOff>
    </xdr:to>
    <xdr:sp macro="" textlink="">
      <xdr:nvSpPr>
        <xdr:cNvPr id="8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249766</xdr:rowOff>
    </xdr:to>
    <xdr:sp macro="" textlink="">
      <xdr:nvSpPr>
        <xdr:cNvPr id="8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249766</xdr:rowOff>
    </xdr:to>
    <xdr:sp macro="" textlink="">
      <xdr:nvSpPr>
        <xdr:cNvPr id="9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249766</xdr:rowOff>
    </xdr:to>
    <xdr:sp macro="" textlink="">
      <xdr:nvSpPr>
        <xdr:cNvPr id="9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249766</xdr:rowOff>
    </xdr:to>
    <xdr:sp macro="" textlink="">
      <xdr:nvSpPr>
        <xdr:cNvPr id="9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249766</xdr:rowOff>
    </xdr:to>
    <xdr:sp macro="" textlink="">
      <xdr:nvSpPr>
        <xdr:cNvPr id="9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249766</xdr:rowOff>
    </xdr:to>
    <xdr:sp macro="" textlink="">
      <xdr:nvSpPr>
        <xdr:cNvPr id="9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249766</xdr:rowOff>
    </xdr:to>
    <xdr:sp macro="" textlink="">
      <xdr:nvSpPr>
        <xdr:cNvPr id="9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249766</xdr:rowOff>
    </xdr:to>
    <xdr:sp macro="" textlink="">
      <xdr:nvSpPr>
        <xdr:cNvPr id="9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249766</xdr:rowOff>
    </xdr:to>
    <xdr:sp macro="" textlink="">
      <xdr:nvSpPr>
        <xdr:cNvPr id="9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249766</xdr:rowOff>
    </xdr:to>
    <xdr:sp macro="" textlink="">
      <xdr:nvSpPr>
        <xdr:cNvPr id="9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249766</xdr:rowOff>
    </xdr:to>
    <xdr:sp macro="" textlink="">
      <xdr:nvSpPr>
        <xdr:cNvPr id="9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249766</xdr:rowOff>
    </xdr:to>
    <xdr:sp macro="" textlink="">
      <xdr:nvSpPr>
        <xdr:cNvPr id="9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249766</xdr:rowOff>
    </xdr:to>
    <xdr:sp macro="" textlink="">
      <xdr:nvSpPr>
        <xdr:cNvPr id="9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154516</xdr:colOff>
      <xdr:row>11</xdr:row>
      <xdr:rowOff>249766</xdr:rowOff>
    </xdr:to>
    <xdr:sp macro="" textlink="">
      <xdr:nvSpPr>
        <xdr:cNvPr id="9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1095" cy="165629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406171</xdr:colOff>
      <xdr:row>9</xdr:row>
      <xdr:rowOff>0</xdr:rowOff>
    </xdr:from>
    <xdr:to>
      <xdr:col>10</xdr:col>
      <xdr:colOff>155573</xdr:colOff>
      <xdr:row>11</xdr:row>
      <xdr:rowOff>249766</xdr:rowOff>
    </xdr:to>
    <xdr:sp macro="" textlink="">
      <xdr:nvSpPr>
        <xdr:cNvPr id="9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464321" y="0"/>
          <a:ext cx="162152" cy="1656291"/>
        </a:xfrm>
        <a:prstGeom prst="rect">
          <a:avLst/>
        </a:prstGeom>
        <a:noFill/>
      </xdr:spPr>
    </xdr:sp>
    <xdr:clientData/>
  </xdr:twoCellAnchor>
  <xdr:oneCellAnchor>
    <xdr:from>
      <xdr:col>10</xdr:col>
      <xdr:colOff>0</xdr:colOff>
      <xdr:row>105</xdr:row>
      <xdr:rowOff>43587</xdr:rowOff>
    </xdr:from>
    <xdr:ext cx="45719" cy="1669853"/>
    <xdr:sp macro="" textlink="">
      <xdr:nvSpPr>
        <xdr:cNvPr id="9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3"/>
    <xdr:sp macro="" textlink="">
      <xdr:nvSpPr>
        <xdr:cNvPr id="9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3"/>
    <xdr:sp macro="" textlink="">
      <xdr:nvSpPr>
        <xdr:cNvPr id="9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3"/>
    <xdr:sp macro="" textlink="">
      <xdr:nvSpPr>
        <xdr:cNvPr id="9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3"/>
    <xdr:sp macro="" textlink="">
      <xdr:nvSpPr>
        <xdr:cNvPr id="9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3"/>
    <xdr:sp macro="" textlink="">
      <xdr:nvSpPr>
        <xdr:cNvPr id="9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9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9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3"/>
    <xdr:sp macro="" textlink="">
      <xdr:nvSpPr>
        <xdr:cNvPr id="9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3"/>
    <xdr:sp macro="" textlink="">
      <xdr:nvSpPr>
        <xdr:cNvPr id="9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9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9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10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10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10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10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10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5"/>
    <xdr:sp macro="" textlink="">
      <xdr:nvSpPr>
        <xdr:cNvPr id="10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10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10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10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20"/>
    <xdr:sp macro="" textlink="">
      <xdr:nvSpPr>
        <xdr:cNvPr id="10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10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10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10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854"/>
    <xdr:sp macro="" textlink="">
      <xdr:nvSpPr>
        <xdr:cNvPr id="10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10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10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10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8819"/>
    <xdr:sp macro="" textlink="">
      <xdr:nvSpPr>
        <xdr:cNvPr id="10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7350"/>
    <xdr:sp macro="" textlink="">
      <xdr:nvSpPr>
        <xdr:cNvPr id="10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7350"/>
    <xdr:sp macro="" textlink="">
      <xdr:nvSpPr>
        <xdr:cNvPr id="10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7350"/>
    <xdr:sp macro="" textlink="">
      <xdr:nvSpPr>
        <xdr:cNvPr id="10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7350"/>
    <xdr:sp macro="" textlink="">
      <xdr:nvSpPr>
        <xdr:cNvPr id="10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7350"/>
    <xdr:sp macro="" textlink="">
      <xdr:nvSpPr>
        <xdr:cNvPr id="10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7350"/>
    <xdr:sp macro="" textlink="">
      <xdr:nvSpPr>
        <xdr:cNvPr id="10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3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7350"/>
    <xdr:sp macro="" textlink="">
      <xdr:nvSpPr>
        <xdr:cNvPr id="10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7350"/>
    <xdr:sp macro="" textlink="">
      <xdr:nvSpPr>
        <xdr:cNvPr id="10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7350"/>
    <xdr:sp macro="" textlink="">
      <xdr:nvSpPr>
        <xdr:cNvPr id="10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7350"/>
    <xdr:sp macro="" textlink="">
      <xdr:nvSpPr>
        <xdr:cNvPr id="10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7350"/>
    <xdr:sp macro="" textlink="">
      <xdr:nvSpPr>
        <xdr:cNvPr id="10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7350"/>
    <xdr:sp macro="" textlink="">
      <xdr:nvSpPr>
        <xdr:cNvPr id="10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7350"/>
    <xdr:sp macro="" textlink="">
      <xdr:nvSpPr>
        <xdr:cNvPr id="10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7350"/>
    <xdr:sp macro="" textlink="">
      <xdr:nvSpPr>
        <xdr:cNvPr id="10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7350"/>
    <xdr:sp macro="" textlink="">
      <xdr:nvSpPr>
        <xdr:cNvPr id="10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7350"/>
    <xdr:sp macro="" textlink="">
      <xdr:nvSpPr>
        <xdr:cNvPr id="10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8"/>
    <xdr:sp macro="" textlink="">
      <xdr:nvSpPr>
        <xdr:cNvPr id="10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8"/>
    <xdr:sp macro="" textlink="">
      <xdr:nvSpPr>
        <xdr:cNvPr id="10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0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0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0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0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8"/>
    <xdr:sp macro="" textlink="">
      <xdr:nvSpPr>
        <xdr:cNvPr id="10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8"/>
    <xdr:sp macro="" textlink="">
      <xdr:nvSpPr>
        <xdr:cNvPr id="10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0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0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0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0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8"/>
    <xdr:sp macro="" textlink="">
      <xdr:nvSpPr>
        <xdr:cNvPr id="10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8"/>
    <xdr:sp macro="" textlink="">
      <xdr:nvSpPr>
        <xdr:cNvPr id="10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0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0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0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1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1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1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1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8"/>
    <xdr:sp macro="" textlink="">
      <xdr:nvSpPr>
        <xdr:cNvPr id="11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8"/>
    <xdr:sp macro="" textlink="">
      <xdr:nvSpPr>
        <xdr:cNvPr id="11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1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1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1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80"/>
    <xdr:sp macro="" textlink="">
      <xdr:nvSpPr>
        <xdr:cNvPr id="11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1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1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1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5"/>
    <xdr:sp macro="" textlink="">
      <xdr:nvSpPr>
        <xdr:cNvPr id="11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6679"/>
    <xdr:sp macro="" textlink="">
      <xdr:nvSpPr>
        <xdr:cNvPr id="11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5644"/>
    <xdr:sp macro="" textlink="">
      <xdr:nvSpPr>
        <xdr:cNvPr id="11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4175"/>
    <xdr:sp macro="" textlink="">
      <xdr:nvSpPr>
        <xdr:cNvPr id="11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4175"/>
    <xdr:sp macro="" textlink="">
      <xdr:nvSpPr>
        <xdr:cNvPr id="11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4175"/>
    <xdr:sp macro="" textlink="">
      <xdr:nvSpPr>
        <xdr:cNvPr id="11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4175"/>
    <xdr:sp macro="" textlink="">
      <xdr:nvSpPr>
        <xdr:cNvPr id="11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4175"/>
    <xdr:sp macro="" textlink="">
      <xdr:nvSpPr>
        <xdr:cNvPr id="11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4175"/>
    <xdr:sp macro="" textlink="">
      <xdr:nvSpPr>
        <xdr:cNvPr id="11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4175"/>
    <xdr:sp macro="" textlink="">
      <xdr:nvSpPr>
        <xdr:cNvPr id="11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4175"/>
    <xdr:sp macro="" textlink="">
      <xdr:nvSpPr>
        <xdr:cNvPr id="11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4175"/>
    <xdr:sp macro="" textlink="">
      <xdr:nvSpPr>
        <xdr:cNvPr id="11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4175"/>
    <xdr:sp macro="" textlink="">
      <xdr:nvSpPr>
        <xdr:cNvPr id="11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4175"/>
    <xdr:sp macro="" textlink="">
      <xdr:nvSpPr>
        <xdr:cNvPr id="11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4175"/>
    <xdr:sp macro="" textlink="">
      <xdr:nvSpPr>
        <xdr:cNvPr id="11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4175"/>
    <xdr:sp macro="" textlink="">
      <xdr:nvSpPr>
        <xdr:cNvPr id="11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4175"/>
    <xdr:sp macro="" textlink="">
      <xdr:nvSpPr>
        <xdr:cNvPr id="11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4175"/>
    <xdr:sp macro="" textlink="">
      <xdr:nvSpPr>
        <xdr:cNvPr id="11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4175"/>
    <xdr:sp macro="" textlink="">
      <xdr:nvSpPr>
        <xdr:cNvPr id="11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1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1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1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1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1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1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1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1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1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1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1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1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1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1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1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1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1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1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1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1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1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1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2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2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2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2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2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2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2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2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2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2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2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2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2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2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2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2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2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2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2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2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2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2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1000"/>
    <xdr:sp macro="" textlink="">
      <xdr:nvSpPr>
        <xdr:cNvPr id="12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1000"/>
    <xdr:sp macro="" textlink="">
      <xdr:nvSpPr>
        <xdr:cNvPr id="12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1000"/>
    <xdr:sp macro="" textlink="">
      <xdr:nvSpPr>
        <xdr:cNvPr id="12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1000"/>
    <xdr:sp macro="" textlink="">
      <xdr:nvSpPr>
        <xdr:cNvPr id="12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1000"/>
    <xdr:sp macro="" textlink="">
      <xdr:nvSpPr>
        <xdr:cNvPr id="12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1000"/>
    <xdr:sp macro="" textlink="">
      <xdr:nvSpPr>
        <xdr:cNvPr id="12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1000"/>
    <xdr:sp macro="" textlink="">
      <xdr:nvSpPr>
        <xdr:cNvPr id="12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1000"/>
    <xdr:sp macro="" textlink="">
      <xdr:nvSpPr>
        <xdr:cNvPr id="12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1000"/>
    <xdr:sp macro="" textlink="">
      <xdr:nvSpPr>
        <xdr:cNvPr id="12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1000"/>
    <xdr:sp macro="" textlink="">
      <xdr:nvSpPr>
        <xdr:cNvPr id="12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1000"/>
    <xdr:sp macro="" textlink="">
      <xdr:nvSpPr>
        <xdr:cNvPr id="12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1000"/>
    <xdr:sp macro="" textlink="">
      <xdr:nvSpPr>
        <xdr:cNvPr id="12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1000"/>
    <xdr:sp macro="" textlink="">
      <xdr:nvSpPr>
        <xdr:cNvPr id="12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1000"/>
    <xdr:sp macro="" textlink="">
      <xdr:nvSpPr>
        <xdr:cNvPr id="12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51000"/>
    <xdr:sp macro="" textlink="">
      <xdr:nvSpPr>
        <xdr:cNvPr id="12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51000"/>
    <xdr:sp macro="" textlink="">
      <xdr:nvSpPr>
        <xdr:cNvPr id="12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4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2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2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2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2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2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2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2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2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2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2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2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2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2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2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2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2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2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2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2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2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2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2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2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2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2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2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3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3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3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3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3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3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3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3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3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3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47825"/>
    <xdr:sp macro="" textlink="">
      <xdr:nvSpPr>
        <xdr:cNvPr id="13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47825"/>
    <xdr:sp macro="" textlink="">
      <xdr:nvSpPr>
        <xdr:cNvPr id="13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47825"/>
    <xdr:sp macro="" textlink="">
      <xdr:nvSpPr>
        <xdr:cNvPr id="13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47825"/>
    <xdr:sp macro="" textlink="">
      <xdr:nvSpPr>
        <xdr:cNvPr id="13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47825"/>
    <xdr:sp macro="" textlink="">
      <xdr:nvSpPr>
        <xdr:cNvPr id="13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47825"/>
    <xdr:sp macro="" textlink="">
      <xdr:nvSpPr>
        <xdr:cNvPr id="13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47825"/>
    <xdr:sp macro="" textlink="">
      <xdr:nvSpPr>
        <xdr:cNvPr id="13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47825"/>
    <xdr:sp macro="" textlink="">
      <xdr:nvSpPr>
        <xdr:cNvPr id="13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47825"/>
    <xdr:sp macro="" textlink="">
      <xdr:nvSpPr>
        <xdr:cNvPr id="13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47825"/>
    <xdr:sp macro="" textlink="">
      <xdr:nvSpPr>
        <xdr:cNvPr id="13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47825"/>
    <xdr:sp macro="" textlink="">
      <xdr:nvSpPr>
        <xdr:cNvPr id="13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47825"/>
    <xdr:sp macro="" textlink="">
      <xdr:nvSpPr>
        <xdr:cNvPr id="13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47825"/>
    <xdr:sp macro="" textlink="">
      <xdr:nvSpPr>
        <xdr:cNvPr id="13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47825"/>
    <xdr:sp macro="" textlink="">
      <xdr:nvSpPr>
        <xdr:cNvPr id="13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1095" cy="1647825"/>
    <xdr:sp macro="" textlink="">
      <xdr:nvSpPr>
        <xdr:cNvPr id="13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105</xdr:row>
      <xdr:rowOff>0</xdr:rowOff>
    </xdr:from>
    <xdr:ext cx="162152" cy="1647825"/>
    <xdr:sp macro="" textlink="">
      <xdr:nvSpPr>
        <xdr:cNvPr id="13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3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3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3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3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3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3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4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4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4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4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4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3"/>
    <xdr:sp macro="" textlink="">
      <xdr:nvSpPr>
        <xdr:cNvPr id="14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5"/>
    <xdr:sp macro="" textlink="">
      <xdr:nvSpPr>
        <xdr:cNvPr id="14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70"/>
    <xdr:sp macro="" textlink="">
      <xdr:nvSpPr>
        <xdr:cNvPr id="14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3504"/>
    <xdr:sp macro="" textlink="">
      <xdr:nvSpPr>
        <xdr:cNvPr id="14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72469"/>
    <xdr:sp macro="" textlink="">
      <xdr:nvSpPr>
        <xdr:cNvPr id="14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4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4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5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5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5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5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5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5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5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5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5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5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5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5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5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5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5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5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5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5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5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5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5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5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5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5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5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8"/>
    <xdr:sp macro="" textlink="">
      <xdr:nvSpPr>
        <xdr:cNvPr id="15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5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5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6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6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6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6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6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30"/>
    <xdr:sp macro="" textlink="">
      <xdr:nvSpPr>
        <xdr:cNvPr id="16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6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6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6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5"/>
    <xdr:sp macro="" textlink="">
      <xdr:nvSpPr>
        <xdr:cNvPr id="16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6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6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6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0329"/>
    <xdr:sp macro="" textlink="">
      <xdr:nvSpPr>
        <xdr:cNvPr id="16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6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6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6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105</xdr:row>
      <xdr:rowOff>43587</xdr:rowOff>
    </xdr:from>
    <xdr:ext cx="45719" cy="1669294"/>
    <xdr:sp macro="" textlink="">
      <xdr:nvSpPr>
        <xdr:cNvPr id="16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6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6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6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6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6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6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6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6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6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6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6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6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6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6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1095" cy="1643591"/>
    <xdr:sp macro="" textlink="">
      <xdr:nvSpPr>
        <xdr:cNvPr id="16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105</xdr:row>
      <xdr:rowOff>0</xdr:rowOff>
    </xdr:from>
    <xdr:ext cx="162152" cy="1643591"/>
    <xdr:sp macro="" textlink="">
      <xdr:nvSpPr>
        <xdr:cNvPr id="16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3"/>
    <xdr:sp macro="" textlink="">
      <xdr:nvSpPr>
        <xdr:cNvPr id="16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3"/>
    <xdr:sp macro="" textlink="">
      <xdr:nvSpPr>
        <xdr:cNvPr id="16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6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6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6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6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3"/>
    <xdr:sp macro="" textlink="">
      <xdr:nvSpPr>
        <xdr:cNvPr id="16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3"/>
    <xdr:sp macro="" textlink="">
      <xdr:nvSpPr>
        <xdr:cNvPr id="16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6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6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6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6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3"/>
    <xdr:sp macro="" textlink="">
      <xdr:nvSpPr>
        <xdr:cNvPr id="16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3"/>
    <xdr:sp macro="" textlink="">
      <xdr:nvSpPr>
        <xdr:cNvPr id="16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6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6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6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7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7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7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7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3"/>
    <xdr:sp macro="" textlink="">
      <xdr:nvSpPr>
        <xdr:cNvPr id="17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3"/>
    <xdr:sp macro="" textlink="">
      <xdr:nvSpPr>
        <xdr:cNvPr id="17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7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7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7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5"/>
    <xdr:sp macro="" textlink="">
      <xdr:nvSpPr>
        <xdr:cNvPr id="17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7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7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7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20"/>
    <xdr:sp macro="" textlink="">
      <xdr:nvSpPr>
        <xdr:cNvPr id="17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854"/>
    <xdr:sp macro="" textlink="">
      <xdr:nvSpPr>
        <xdr:cNvPr id="17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8819"/>
    <xdr:sp macro="" textlink="">
      <xdr:nvSpPr>
        <xdr:cNvPr id="17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7350"/>
    <xdr:sp macro="" textlink="">
      <xdr:nvSpPr>
        <xdr:cNvPr id="17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7350"/>
    <xdr:sp macro="" textlink="">
      <xdr:nvSpPr>
        <xdr:cNvPr id="17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7350"/>
    <xdr:sp macro="" textlink="">
      <xdr:nvSpPr>
        <xdr:cNvPr id="17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7350"/>
    <xdr:sp macro="" textlink="">
      <xdr:nvSpPr>
        <xdr:cNvPr id="17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7350"/>
    <xdr:sp macro="" textlink="">
      <xdr:nvSpPr>
        <xdr:cNvPr id="17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7350"/>
    <xdr:sp macro="" textlink="">
      <xdr:nvSpPr>
        <xdr:cNvPr id="17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7350"/>
    <xdr:sp macro="" textlink="">
      <xdr:nvSpPr>
        <xdr:cNvPr id="17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7350"/>
    <xdr:sp macro="" textlink="">
      <xdr:nvSpPr>
        <xdr:cNvPr id="17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7350"/>
    <xdr:sp macro="" textlink="">
      <xdr:nvSpPr>
        <xdr:cNvPr id="17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7350"/>
    <xdr:sp macro="" textlink="">
      <xdr:nvSpPr>
        <xdr:cNvPr id="17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7350"/>
    <xdr:sp macro="" textlink="">
      <xdr:nvSpPr>
        <xdr:cNvPr id="17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7350"/>
    <xdr:sp macro="" textlink="">
      <xdr:nvSpPr>
        <xdr:cNvPr id="17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7350"/>
    <xdr:sp macro="" textlink="">
      <xdr:nvSpPr>
        <xdr:cNvPr id="17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7350"/>
    <xdr:sp macro="" textlink="">
      <xdr:nvSpPr>
        <xdr:cNvPr id="17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7350"/>
    <xdr:sp macro="" textlink="">
      <xdr:nvSpPr>
        <xdr:cNvPr id="17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7350"/>
    <xdr:sp macro="" textlink="">
      <xdr:nvSpPr>
        <xdr:cNvPr id="17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6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8"/>
    <xdr:sp macro="" textlink="">
      <xdr:nvSpPr>
        <xdr:cNvPr id="17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8"/>
    <xdr:sp macro="" textlink="">
      <xdr:nvSpPr>
        <xdr:cNvPr id="17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7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7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7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7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7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7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7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7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8"/>
    <xdr:sp macro="" textlink="">
      <xdr:nvSpPr>
        <xdr:cNvPr id="17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8"/>
    <xdr:sp macro="" textlink="">
      <xdr:nvSpPr>
        <xdr:cNvPr id="17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7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7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7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6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7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7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7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7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7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7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7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8"/>
    <xdr:sp macro="" textlink="">
      <xdr:nvSpPr>
        <xdr:cNvPr id="18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8"/>
    <xdr:sp macro="" textlink="">
      <xdr:nvSpPr>
        <xdr:cNvPr id="18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8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8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8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8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8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8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8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8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8"/>
    <xdr:sp macro="" textlink="">
      <xdr:nvSpPr>
        <xdr:cNvPr id="18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8"/>
    <xdr:sp macro="" textlink="">
      <xdr:nvSpPr>
        <xdr:cNvPr id="18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8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8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8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80"/>
    <xdr:sp macro="" textlink="">
      <xdr:nvSpPr>
        <xdr:cNvPr id="18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8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8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8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5"/>
    <xdr:sp macro="" textlink="">
      <xdr:nvSpPr>
        <xdr:cNvPr id="18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6679"/>
    <xdr:sp macro="" textlink="">
      <xdr:nvSpPr>
        <xdr:cNvPr id="18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5644"/>
    <xdr:sp macro="" textlink="">
      <xdr:nvSpPr>
        <xdr:cNvPr id="18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4175"/>
    <xdr:sp macro="" textlink="">
      <xdr:nvSpPr>
        <xdr:cNvPr id="18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4175"/>
    <xdr:sp macro="" textlink="">
      <xdr:nvSpPr>
        <xdr:cNvPr id="18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4175"/>
    <xdr:sp macro="" textlink="">
      <xdr:nvSpPr>
        <xdr:cNvPr id="18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4175"/>
    <xdr:sp macro="" textlink="">
      <xdr:nvSpPr>
        <xdr:cNvPr id="18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4175"/>
    <xdr:sp macro="" textlink="">
      <xdr:nvSpPr>
        <xdr:cNvPr id="18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4175"/>
    <xdr:sp macro="" textlink="">
      <xdr:nvSpPr>
        <xdr:cNvPr id="18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4175"/>
    <xdr:sp macro="" textlink="">
      <xdr:nvSpPr>
        <xdr:cNvPr id="18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4175"/>
    <xdr:sp macro="" textlink="">
      <xdr:nvSpPr>
        <xdr:cNvPr id="18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4175"/>
    <xdr:sp macro="" textlink="">
      <xdr:nvSpPr>
        <xdr:cNvPr id="18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4175"/>
    <xdr:sp macro="" textlink="">
      <xdr:nvSpPr>
        <xdr:cNvPr id="18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4175"/>
    <xdr:sp macro="" textlink="">
      <xdr:nvSpPr>
        <xdr:cNvPr id="18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4175"/>
    <xdr:sp macro="" textlink="">
      <xdr:nvSpPr>
        <xdr:cNvPr id="18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4175"/>
    <xdr:sp macro="" textlink="">
      <xdr:nvSpPr>
        <xdr:cNvPr id="18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4175"/>
    <xdr:sp macro="" textlink="">
      <xdr:nvSpPr>
        <xdr:cNvPr id="18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4175"/>
    <xdr:sp macro="" textlink="">
      <xdr:nvSpPr>
        <xdr:cNvPr id="18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4175"/>
    <xdr:sp macro="" textlink="">
      <xdr:nvSpPr>
        <xdr:cNvPr id="18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18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18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8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8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8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8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8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8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8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8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8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8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8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8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8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8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8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8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8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8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8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8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8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8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8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8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19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19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19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19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19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19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19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19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19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19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1000"/>
    <xdr:sp macro="" textlink="">
      <xdr:nvSpPr>
        <xdr:cNvPr id="19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1000"/>
    <xdr:sp macro="" textlink="">
      <xdr:nvSpPr>
        <xdr:cNvPr id="19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1000"/>
    <xdr:sp macro="" textlink="">
      <xdr:nvSpPr>
        <xdr:cNvPr id="19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1000"/>
    <xdr:sp macro="" textlink="">
      <xdr:nvSpPr>
        <xdr:cNvPr id="19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1000"/>
    <xdr:sp macro="" textlink="">
      <xdr:nvSpPr>
        <xdr:cNvPr id="19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1000"/>
    <xdr:sp macro="" textlink="">
      <xdr:nvSpPr>
        <xdr:cNvPr id="19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1000"/>
    <xdr:sp macro="" textlink="">
      <xdr:nvSpPr>
        <xdr:cNvPr id="19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1000"/>
    <xdr:sp macro="" textlink="">
      <xdr:nvSpPr>
        <xdr:cNvPr id="19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1000"/>
    <xdr:sp macro="" textlink="">
      <xdr:nvSpPr>
        <xdr:cNvPr id="19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1000"/>
    <xdr:sp macro="" textlink="">
      <xdr:nvSpPr>
        <xdr:cNvPr id="19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1000"/>
    <xdr:sp macro="" textlink="">
      <xdr:nvSpPr>
        <xdr:cNvPr id="19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1000"/>
    <xdr:sp macro="" textlink="">
      <xdr:nvSpPr>
        <xdr:cNvPr id="19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1000"/>
    <xdr:sp macro="" textlink="">
      <xdr:nvSpPr>
        <xdr:cNvPr id="19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1000"/>
    <xdr:sp macro="" textlink="">
      <xdr:nvSpPr>
        <xdr:cNvPr id="19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51000"/>
    <xdr:sp macro="" textlink="">
      <xdr:nvSpPr>
        <xdr:cNvPr id="19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51000"/>
    <xdr:sp macro="" textlink="">
      <xdr:nvSpPr>
        <xdr:cNvPr id="19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7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19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19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19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19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19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19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0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0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0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0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7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0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0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0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0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0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0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47825"/>
    <xdr:sp macro="" textlink="">
      <xdr:nvSpPr>
        <xdr:cNvPr id="20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47825"/>
    <xdr:sp macro="" textlink="">
      <xdr:nvSpPr>
        <xdr:cNvPr id="20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47825"/>
    <xdr:sp macro="" textlink="">
      <xdr:nvSpPr>
        <xdr:cNvPr id="21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47825"/>
    <xdr:sp macro="" textlink="">
      <xdr:nvSpPr>
        <xdr:cNvPr id="21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47825"/>
    <xdr:sp macro="" textlink="">
      <xdr:nvSpPr>
        <xdr:cNvPr id="21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47825"/>
    <xdr:sp macro="" textlink="">
      <xdr:nvSpPr>
        <xdr:cNvPr id="21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47825"/>
    <xdr:sp macro="" textlink="">
      <xdr:nvSpPr>
        <xdr:cNvPr id="21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47825"/>
    <xdr:sp macro="" textlink="">
      <xdr:nvSpPr>
        <xdr:cNvPr id="21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47825"/>
    <xdr:sp macro="" textlink="">
      <xdr:nvSpPr>
        <xdr:cNvPr id="21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47825"/>
    <xdr:sp macro="" textlink="">
      <xdr:nvSpPr>
        <xdr:cNvPr id="21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47825"/>
    <xdr:sp macro="" textlink="">
      <xdr:nvSpPr>
        <xdr:cNvPr id="21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47825"/>
    <xdr:sp macro="" textlink="">
      <xdr:nvSpPr>
        <xdr:cNvPr id="21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47825"/>
    <xdr:sp macro="" textlink="">
      <xdr:nvSpPr>
        <xdr:cNvPr id="21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47825"/>
    <xdr:sp macro="" textlink="">
      <xdr:nvSpPr>
        <xdr:cNvPr id="21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1095" cy="1647825"/>
    <xdr:sp macro="" textlink="">
      <xdr:nvSpPr>
        <xdr:cNvPr id="21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106</xdr:row>
      <xdr:rowOff>0</xdr:rowOff>
    </xdr:from>
    <xdr:ext cx="162152" cy="1647825"/>
    <xdr:sp macro="" textlink="">
      <xdr:nvSpPr>
        <xdr:cNvPr id="21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428875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21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21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21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21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21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21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1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1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21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3"/>
    <xdr:sp macro="" textlink="">
      <xdr:nvSpPr>
        <xdr:cNvPr id="21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1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1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2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2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2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2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2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5"/>
    <xdr:sp macro="" textlink="">
      <xdr:nvSpPr>
        <xdr:cNvPr id="22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2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2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2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70"/>
    <xdr:sp macro="" textlink="">
      <xdr:nvSpPr>
        <xdr:cNvPr id="22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2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2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2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3504"/>
    <xdr:sp macro="" textlink="">
      <xdr:nvSpPr>
        <xdr:cNvPr id="22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2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2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2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72469"/>
    <xdr:sp macro="" textlink="">
      <xdr:nvSpPr>
        <xdr:cNvPr id="22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2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2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2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2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2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2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2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2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2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2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2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2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2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2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2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2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8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2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2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2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2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2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2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2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2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2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2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2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2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2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2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2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2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2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3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3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3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3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8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3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8"/>
    <xdr:sp macro="" textlink="">
      <xdr:nvSpPr>
        <xdr:cNvPr id="23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3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3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3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30"/>
    <xdr:sp macro="" textlink="">
      <xdr:nvSpPr>
        <xdr:cNvPr id="23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3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3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3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5"/>
    <xdr:sp macro="" textlink="">
      <xdr:nvSpPr>
        <xdr:cNvPr id="23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0329"/>
    <xdr:sp macro="" textlink="">
      <xdr:nvSpPr>
        <xdr:cNvPr id="23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106</xdr:row>
      <xdr:rowOff>43587</xdr:rowOff>
    </xdr:from>
    <xdr:ext cx="45719" cy="1669294"/>
    <xdr:sp macro="" textlink="">
      <xdr:nvSpPr>
        <xdr:cNvPr id="23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9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472462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3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3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3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3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3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3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3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3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3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3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3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3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3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3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1095" cy="1643591"/>
    <xdr:sp macro="" textlink="">
      <xdr:nvSpPr>
        <xdr:cNvPr id="23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106</xdr:row>
      <xdr:rowOff>0</xdr:rowOff>
    </xdr:from>
    <xdr:ext cx="162152" cy="1643591"/>
    <xdr:sp macro="" textlink="">
      <xdr:nvSpPr>
        <xdr:cNvPr id="23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428875"/>
          <a:ext cx="162152" cy="1643591"/>
        </a:xfrm>
        <a:prstGeom prst="rect">
          <a:avLst/>
        </a:prstGeom>
        <a:noFill/>
      </xdr:spPr>
    </xdr:sp>
    <xdr:clientData/>
  </xdr:one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357247</xdr:rowOff>
    </xdr:to>
    <xdr:sp macro="" textlink="">
      <xdr:nvSpPr>
        <xdr:cNvPr id="23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357247</xdr:rowOff>
    </xdr:to>
    <xdr:sp macro="" textlink="">
      <xdr:nvSpPr>
        <xdr:cNvPr id="23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151087</xdr:rowOff>
    </xdr:to>
    <xdr:sp macro="" textlink="">
      <xdr:nvSpPr>
        <xdr:cNvPr id="23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151087</xdr:rowOff>
    </xdr:to>
    <xdr:sp macro="" textlink="">
      <xdr:nvSpPr>
        <xdr:cNvPr id="23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151087</xdr:rowOff>
    </xdr:to>
    <xdr:sp macro="" textlink="">
      <xdr:nvSpPr>
        <xdr:cNvPr id="23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151087</xdr:rowOff>
    </xdr:to>
    <xdr:sp macro="" textlink="">
      <xdr:nvSpPr>
        <xdr:cNvPr id="23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151087</xdr:rowOff>
    </xdr:to>
    <xdr:sp macro="" textlink="">
      <xdr:nvSpPr>
        <xdr:cNvPr id="23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151087</xdr:rowOff>
    </xdr:to>
    <xdr:sp macro="" textlink="">
      <xdr:nvSpPr>
        <xdr:cNvPr id="23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151087</xdr:rowOff>
    </xdr:to>
    <xdr:sp macro="" textlink="">
      <xdr:nvSpPr>
        <xdr:cNvPr id="23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151087</xdr:rowOff>
    </xdr:to>
    <xdr:sp macro="" textlink="">
      <xdr:nvSpPr>
        <xdr:cNvPr id="23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357248</xdr:rowOff>
    </xdr:to>
    <xdr:sp macro="" textlink="">
      <xdr:nvSpPr>
        <xdr:cNvPr id="23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357248</xdr:rowOff>
    </xdr:to>
    <xdr:sp macro="" textlink="">
      <xdr:nvSpPr>
        <xdr:cNvPr id="23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357248</xdr:rowOff>
    </xdr:to>
    <xdr:sp macro="" textlink="">
      <xdr:nvSpPr>
        <xdr:cNvPr id="23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357248</xdr:rowOff>
    </xdr:to>
    <xdr:sp macro="" textlink="">
      <xdr:nvSpPr>
        <xdr:cNvPr id="23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366213</xdr:rowOff>
    </xdr:to>
    <xdr:sp macro="" textlink="">
      <xdr:nvSpPr>
        <xdr:cNvPr id="23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366213</xdr:rowOff>
    </xdr:to>
    <xdr:sp macro="" textlink="">
      <xdr:nvSpPr>
        <xdr:cNvPr id="23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366213</xdr:rowOff>
    </xdr:to>
    <xdr:sp macro="" textlink="">
      <xdr:nvSpPr>
        <xdr:cNvPr id="23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366213</xdr:rowOff>
    </xdr:to>
    <xdr:sp macro="" textlink="">
      <xdr:nvSpPr>
        <xdr:cNvPr id="23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357249</xdr:rowOff>
    </xdr:to>
    <xdr:sp macro="" textlink="">
      <xdr:nvSpPr>
        <xdr:cNvPr id="23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357249</xdr:rowOff>
    </xdr:to>
    <xdr:sp macro="" textlink="">
      <xdr:nvSpPr>
        <xdr:cNvPr id="23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357249</xdr:rowOff>
    </xdr:to>
    <xdr:sp macro="" textlink="">
      <xdr:nvSpPr>
        <xdr:cNvPr id="23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357249</xdr:rowOff>
    </xdr:to>
    <xdr:sp macro="" textlink="">
      <xdr:nvSpPr>
        <xdr:cNvPr id="23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366214</xdr:rowOff>
    </xdr:to>
    <xdr:sp macro="" textlink="">
      <xdr:nvSpPr>
        <xdr:cNvPr id="23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366214</xdr:rowOff>
    </xdr:to>
    <xdr:sp macro="" textlink="">
      <xdr:nvSpPr>
        <xdr:cNvPr id="23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366214</xdr:rowOff>
    </xdr:to>
    <xdr:sp macro="" textlink="">
      <xdr:nvSpPr>
        <xdr:cNvPr id="23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366214</xdr:rowOff>
    </xdr:to>
    <xdr:sp macro="" textlink="">
      <xdr:nvSpPr>
        <xdr:cNvPr id="23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357248</xdr:rowOff>
    </xdr:to>
    <xdr:sp macro="" textlink="">
      <xdr:nvSpPr>
        <xdr:cNvPr id="23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357248</xdr:rowOff>
    </xdr:to>
    <xdr:sp macro="" textlink="">
      <xdr:nvSpPr>
        <xdr:cNvPr id="23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357248</xdr:rowOff>
    </xdr:to>
    <xdr:sp macro="" textlink="">
      <xdr:nvSpPr>
        <xdr:cNvPr id="23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357248</xdr:rowOff>
    </xdr:to>
    <xdr:sp macro="" textlink="">
      <xdr:nvSpPr>
        <xdr:cNvPr id="23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366213</xdr:rowOff>
    </xdr:to>
    <xdr:sp macro="" textlink="">
      <xdr:nvSpPr>
        <xdr:cNvPr id="23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366213</xdr:rowOff>
    </xdr:to>
    <xdr:sp macro="" textlink="">
      <xdr:nvSpPr>
        <xdr:cNvPr id="23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366213</xdr:rowOff>
    </xdr:to>
    <xdr:sp macro="" textlink="">
      <xdr:nvSpPr>
        <xdr:cNvPr id="23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366213</xdr:rowOff>
    </xdr:to>
    <xdr:sp macro="" textlink="">
      <xdr:nvSpPr>
        <xdr:cNvPr id="23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357247</xdr:rowOff>
    </xdr:to>
    <xdr:sp macro="" textlink="">
      <xdr:nvSpPr>
        <xdr:cNvPr id="23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357247</xdr:rowOff>
    </xdr:to>
    <xdr:sp macro="" textlink="">
      <xdr:nvSpPr>
        <xdr:cNvPr id="23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151087</xdr:rowOff>
    </xdr:to>
    <xdr:sp macro="" textlink="">
      <xdr:nvSpPr>
        <xdr:cNvPr id="23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151087</xdr:rowOff>
    </xdr:to>
    <xdr:sp macro="" textlink="">
      <xdr:nvSpPr>
        <xdr:cNvPr id="23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151087</xdr:rowOff>
    </xdr:to>
    <xdr:sp macro="" textlink="">
      <xdr:nvSpPr>
        <xdr:cNvPr id="23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151087</xdr:rowOff>
    </xdr:to>
    <xdr:sp macro="" textlink="">
      <xdr:nvSpPr>
        <xdr:cNvPr id="23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151087</xdr:rowOff>
    </xdr:to>
    <xdr:sp macro="" textlink="">
      <xdr:nvSpPr>
        <xdr:cNvPr id="23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151087</xdr:rowOff>
    </xdr:to>
    <xdr:sp macro="" textlink="">
      <xdr:nvSpPr>
        <xdr:cNvPr id="23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151087</xdr:rowOff>
    </xdr:to>
    <xdr:sp macro="" textlink="">
      <xdr:nvSpPr>
        <xdr:cNvPr id="23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151087</xdr:rowOff>
    </xdr:to>
    <xdr:sp macro="" textlink="">
      <xdr:nvSpPr>
        <xdr:cNvPr id="23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357248</xdr:rowOff>
    </xdr:to>
    <xdr:sp macro="" textlink="">
      <xdr:nvSpPr>
        <xdr:cNvPr id="23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357248</xdr:rowOff>
    </xdr:to>
    <xdr:sp macro="" textlink="">
      <xdr:nvSpPr>
        <xdr:cNvPr id="23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357248</xdr:rowOff>
    </xdr:to>
    <xdr:sp macro="" textlink="">
      <xdr:nvSpPr>
        <xdr:cNvPr id="24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357248</xdr:rowOff>
    </xdr:to>
    <xdr:sp macro="" textlink="">
      <xdr:nvSpPr>
        <xdr:cNvPr id="24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366213</xdr:rowOff>
    </xdr:to>
    <xdr:sp macro="" textlink="">
      <xdr:nvSpPr>
        <xdr:cNvPr id="24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366213</xdr:rowOff>
    </xdr:to>
    <xdr:sp macro="" textlink="">
      <xdr:nvSpPr>
        <xdr:cNvPr id="24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366213</xdr:rowOff>
    </xdr:to>
    <xdr:sp macro="" textlink="">
      <xdr:nvSpPr>
        <xdr:cNvPr id="24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366213</xdr:rowOff>
    </xdr:to>
    <xdr:sp macro="" textlink="">
      <xdr:nvSpPr>
        <xdr:cNvPr id="24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357249</xdr:rowOff>
    </xdr:to>
    <xdr:sp macro="" textlink="">
      <xdr:nvSpPr>
        <xdr:cNvPr id="24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357249</xdr:rowOff>
    </xdr:to>
    <xdr:sp macro="" textlink="">
      <xdr:nvSpPr>
        <xdr:cNvPr id="24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357249</xdr:rowOff>
    </xdr:to>
    <xdr:sp macro="" textlink="">
      <xdr:nvSpPr>
        <xdr:cNvPr id="24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357249</xdr:rowOff>
    </xdr:to>
    <xdr:sp macro="" textlink="">
      <xdr:nvSpPr>
        <xdr:cNvPr id="24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366214</xdr:rowOff>
    </xdr:to>
    <xdr:sp macro="" textlink="">
      <xdr:nvSpPr>
        <xdr:cNvPr id="24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366214</xdr:rowOff>
    </xdr:to>
    <xdr:sp macro="" textlink="">
      <xdr:nvSpPr>
        <xdr:cNvPr id="24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366214</xdr:rowOff>
    </xdr:to>
    <xdr:sp macro="" textlink="">
      <xdr:nvSpPr>
        <xdr:cNvPr id="24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366214</xdr:rowOff>
    </xdr:to>
    <xdr:sp macro="" textlink="">
      <xdr:nvSpPr>
        <xdr:cNvPr id="24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357248</xdr:rowOff>
    </xdr:to>
    <xdr:sp macro="" textlink="">
      <xdr:nvSpPr>
        <xdr:cNvPr id="24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357248</xdr:rowOff>
    </xdr:to>
    <xdr:sp macro="" textlink="">
      <xdr:nvSpPr>
        <xdr:cNvPr id="24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357248</xdr:rowOff>
    </xdr:to>
    <xdr:sp macro="" textlink="">
      <xdr:nvSpPr>
        <xdr:cNvPr id="24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357248</xdr:rowOff>
    </xdr:to>
    <xdr:sp macro="" textlink="">
      <xdr:nvSpPr>
        <xdr:cNvPr id="24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366213</xdr:rowOff>
    </xdr:to>
    <xdr:sp macro="" textlink="">
      <xdr:nvSpPr>
        <xdr:cNvPr id="24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366213</xdr:rowOff>
    </xdr:to>
    <xdr:sp macro="" textlink="">
      <xdr:nvSpPr>
        <xdr:cNvPr id="24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366213</xdr:rowOff>
    </xdr:to>
    <xdr:sp macro="" textlink="">
      <xdr:nvSpPr>
        <xdr:cNvPr id="24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366213</xdr:rowOff>
    </xdr:to>
    <xdr:sp macro="" textlink="">
      <xdr:nvSpPr>
        <xdr:cNvPr id="24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357247</xdr:rowOff>
    </xdr:to>
    <xdr:sp macro="" textlink="">
      <xdr:nvSpPr>
        <xdr:cNvPr id="24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357247</xdr:rowOff>
    </xdr:to>
    <xdr:sp macro="" textlink="">
      <xdr:nvSpPr>
        <xdr:cNvPr id="24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151087</xdr:rowOff>
    </xdr:to>
    <xdr:sp macro="" textlink="">
      <xdr:nvSpPr>
        <xdr:cNvPr id="24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151087</xdr:rowOff>
    </xdr:to>
    <xdr:sp macro="" textlink="">
      <xdr:nvSpPr>
        <xdr:cNvPr id="24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151087</xdr:rowOff>
    </xdr:to>
    <xdr:sp macro="" textlink="">
      <xdr:nvSpPr>
        <xdr:cNvPr id="24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151087</xdr:rowOff>
    </xdr:to>
    <xdr:sp macro="" textlink="">
      <xdr:nvSpPr>
        <xdr:cNvPr id="24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151087</xdr:rowOff>
    </xdr:to>
    <xdr:sp macro="" textlink="">
      <xdr:nvSpPr>
        <xdr:cNvPr id="24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151087</xdr:rowOff>
    </xdr:to>
    <xdr:sp macro="" textlink="">
      <xdr:nvSpPr>
        <xdr:cNvPr id="24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151087</xdr:rowOff>
    </xdr:to>
    <xdr:sp macro="" textlink="">
      <xdr:nvSpPr>
        <xdr:cNvPr id="24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151087</xdr:rowOff>
    </xdr:to>
    <xdr:sp macro="" textlink="">
      <xdr:nvSpPr>
        <xdr:cNvPr id="24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357248</xdr:rowOff>
    </xdr:to>
    <xdr:sp macro="" textlink="">
      <xdr:nvSpPr>
        <xdr:cNvPr id="24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357248</xdr:rowOff>
    </xdr:to>
    <xdr:sp macro="" textlink="">
      <xdr:nvSpPr>
        <xdr:cNvPr id="24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357248</xdr:rowOff>
    </xdr:to>
    <xdr:sp macro="" textlink="">
      <xdr:nvSpPr>
        <xdr:cNvPr id="24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357248</xdr:rowOff>
    </xdr:to>
    <xdr:sp macro="" textlink="">
      <xdr:nvSpPr>
        <xdr:cNvPr id="24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366213</xdr:rowOff>
    </xdr:to>
    <xdr:sp macro="" textlink="">
      <xdr:nvSpPr>
        <xdr:cNvPr id="24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366213</xdr:rowOff>
    </xdr:to>
    <xdr:sp macro="" textlink="">
      <xdr:nvSpPr>
        <xdr:cNvPr id="24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366213</xdr:rowOff>
    </xdr:to>
    <xdr:sp macro="" textlink="">
      <xdr:nvSpPr>
        <xdr:cNvPr id="24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366213</xdr:rowOff>
    </xdr:to>
    <xdr:sp macro="" textlink="">
      <xdr:nvSpPr>
        <xdr:cNvPr id="24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357249</xdr:rowOff>
    </xdr:to>
    <xdr:sp macro="" textlink="">
      <xdr:nvSpPr>
        <xdr:cNvPr id="24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357249</xdr:rowOff>
    </xdr:to>
    <xdr:sp macro="" textlink="">
      <xdr:nvSpPr>
        <xdr:cNvPr id="24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357249</xdr:rowOff>
    </xdr:to>
    <xdr:sp macro="" textlink="">
      <xdr:nvSpPr>
        <xdr:cNvPr id="24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357249</xdr:rowOff>
    </xdr:to>
    <xdr:sp macro="" textlink="">
      <xdr:nvSpPr>
        <xdr:cNvPr id="24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366214</xdr:rowOff>
    </xdr:to>
    <xdr:sp macro="" textlink="">
      <xdr:nvSpPr>
        <xdr:cNvPr id="24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366214</xdr:rowOff>
    </xdr:to>
    <xdr:sp macro="" textlink="">
      <xdr:nvSpPr>
        <xdr:cNvPr id="24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366214</xdr:rowOff>
    </xdr:to>
    <xdr:sp macro="" textlink="">
      <xdr:nvSpPr>
        <xdr:cNvPr id="24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366214</xdr:rowOff>
    </xdr:to>
    <xdr:sp macro="" textlink="">
      <xdr:nvSpPr>
        <xdr:cNvPr id="24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357248</xdr:rowOff>
    </xdr:to>
    <xdr:sp macro="" textlink="">
      <xdr:nvSpPr>
        <xdr:cNvPr id="24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357248</xdr:rowOff>
    </xdr:to>
    <xdr:sp macro="" textlink="">
      <xdr:nvSpPr>
        <xdr:cNvPr id="24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357248</xdr:rowOff>
    </xdr:to>
    <xdr:sp macro="" textlink="">
      <xdr:nvSpPr>
        <xdr:cNvPr id="24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357248</xdr:rowOff>
    </xdr:to>
    <xdr:sp macro="" textlink="">
      <xdr:nvSpPr>
        <xdr:cNvPr id="24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366213</xdr:rowOff>
    </xdr:to>
    <xdr:sp macro="" textlink="">
      <xdr:nvSpPr>
        <xdr:cNvPr id="24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366213</xdr:rowOff>
    </xdr:to>
    <xdr:sp macro="" textlink="">
      <xdr:nvSpPr>
        <xdr:cNvPr id="24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366213</xdr:rowOff>
    </xdr:to>
    <xdr:sp macro="" textlink="">
      <xdr:nvSpPr>
        <xdr:cNvPr id="24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366213</xdr:rowOff>
    </xdr:to>
    <xdr:sp macro="" textlink="">
      <xdr:nvSpPr>
        <xdr:cNvPr id="24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357247</xdr:rowOff>
    </xdr:to>
    <xdr:sp macro="" textlink="">
      <xdr:nvSpPr>
        <xdr:cNvPr id="24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357247</xdr:rowOff>
    </xdr:to>
    <xdr:sp macro="" textlink="">
      <xdr:nvSpPr>
        <xdr:cNvPr id="24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151087</xdr:rowOff>
    </xdr:to>
    <xdr:sp macro="" textlink="">
      <xdr:nvSpPr>
        <xdr:cNvPr id="24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151087</xdr:rowOff>
    </xdr:to>
    <xdr:sp macro="" textlink="">
      <xdr:nvSpPr>
        <xdr:cNvPr id="24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151087</xdr:rowOff>
    </xdr:to>
    <xdr:sp macro="" textlink="">
      <xdr:nvSpPr>
        <xdr:cNvPr id="24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151087</xdr:rowOff>
    </xdr:to>
    <xdr:sp macro="" textlink="">
      <xdr:nvSpPr>
        <xdr:cNvPr id="24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151087</xdr:rowOff>
    </xdr:to>
    <xdr:sp macro="" textlink="">
      <xdr:nvSpPr>
        <xdr:cNvPr id="24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151087</xdr:rowOff>
    </xdr:to>
    <xdr:sp macro="" textlink="">
      <xdr:nvSpPr>
        <xdr:cNvPr id="24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151087</xdr:rowOff>
    </xdr:to>
    <xdr:sp macro="" textlink="">
      <xdr:nvSpPr>
        <xdr:cNvPr id="24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151087</xdr:rowOff>
    </xdr:to>
    <xdr:sp macro="" textlink="">
      <xdr:nvSpPr>
        <xdr:cNvPr id="24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693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357248</xdr:rowOff>
    </xdr:to>
    <xdr:sp macro="" textlink="">
      <xdr:nvSpPr>
        <xdr:cNvPr id="24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357248</xdr:rowOff>
    </xdr:to>
    <xdr:sp macro="" textlink="">
      <xdr:nvSpPr>
        <xdr:cNvPr id="24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357248</xdr:rowOff>
    </xdr:to>
    <xdr:sp macro="" textlink="">
      <xdr:nvSpPr>
        <xdr:cNvPr id="24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357248</xdr:rowOff>
    </xdr:to>
    <xdr:sp macro="" textlink="">
      <xdr:nvSpPr>
        <xdr:cNvPr id="24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366213</xdr:rowOff>
    </xdr:to>
    <xdr:sp macro="" textlink="">
      <xdr:nvSpPr>
        <xdr:cNvPr id="24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366213</xdr:rowOff>
    </xdr:to>
    <xdr:sp macro="" textlink="">
      <xdr:nvSpPr>
        <xdr:cNvPr id="24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366213</xdr:rowOff>
    </xdr:to>
    <xdr:sp macro="" textlink="">
      <xdr:nvSpPr>
        <xdr:cNvPr id="24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366213</xdr:rowOff>
    </xdr:to>
    <xdr:sp macro="" textlink="">
      <xdr:nvSpPr>
        <xdr:cNvPr id="24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357249</xdr:rowOff>
    </xdr:to>
    <xdr:sp macro="" textlink="">
      <xdr:nvSpPr>
        <xdr:cNvPr id="24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357249</xdr:rowOff>
    </xdr:to>
    <xdr:sp macro="" textlink="">
      <xdr:nvSpPr>
        <xdr:cNvPr id="24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357249</xdr:rowOff>
    </xdr:to>
    <xdr:sp macro="" textlink="">
      <xdr:nvSpPr>
        <xdr:cNvPr id="24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357249</xdr:rowOff>
    </xdr:to>
    <xdr:sp macro="" textlink="">
      <xdr:nvSpPr>
        <xdr:cNvPr id="24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366214</xdr:rowOff>
    </xdr:to>
    <xdr:sp macro="" textlink="">
      <xdr:nvSpPr>
        <xdr:cNvPr id="24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366214</xdr:rowOff>
    </xdr:to>
    <xdr:sp macro="" textlink="">
      <xdr:nvSpPr>
        <xdr:cNvPr id="24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366214</xdr:rowOff>
    </xdr:to>
    <xdr:sp macro="" textlink="">
      <xdr:nvSpPr>
        <xdr:cNvPr id="24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366214</xdr:rowOff>
    </xdr:to>
    <xdr:sp macro="" textlink="">
      <xdr:nvSpPr>
        <xdr:cNvPr id="24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357248</xdr:rowOff>
    </xdr:to>
    <xdr:sp macro="" textlink="">
      <xdr:nvSpPr>
        <xdr:cNvPr id="24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357248</xdr:rowOff>
    </xdr:to>
    <xdr:sp macro="" textlink="">
      <xdr:nvSpPr>
        <xdr:cNvPr id="24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357248</xdr:rowOff>
    </xdr:to>
    <xdr:sp macro="" textlink="">
      <xdr:nvSpPr>
        <xdr:cNvPr id="24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357248</xdr:rowOff>
    </xdr:to>
    <xdr:sp macro="" textlink="">
      <xdr:nvSpPr>
        <xdr:cNvPr id="24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018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366213</xdr:rowOff>
    </xdr:to>
    <xdr:sp macro="" textlink="">
      <xdr:nvSpPr>
        <xdr:cNvPr id="24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366213</xdr:rowOff>
    </xdr:to>
    <xdr:sp macro="" textlink="">
      <xdr:nvSpPr>
        <xdr:cNvPr id="24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366213</xdr:rowOff>
    </xdr:to>
    <xdr:sp macro="" textlink="">
      <xdr:nvSpPr>
        <xdr:cNvPr id="24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366213</xdr:rowOff>
    </xdr:to>
    <xdr:sp macro="" textlink="">
      <xdr:nvSpPr>
        <xdr:cNvPr id="24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915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301157</xdr:rowOff>
    </xdr:to>
    <xdr:sp macro="" textlink="">
      <xdr:nvSpPr>
        <xdr:cNvPr id="24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301157</xdr:rowOff>
    </xdr:to>
    <xdr:sp macro="" textlink="">
      <xdr:nvSpPr>
        <xdr:cNvPr id="24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301157</xdr:rowOff>
    </xdr:to>
    <xdr:sp macro="" textlink="">
      <xdr:nvSpPr>
        <xdr:cNvPr id="24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301157</xdr:rowOff>
    </xdr:to>
    <xdr:sp macro="" textlink="">
      <xdr:nvSpPr>
        <xdr:cNvPr id="24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301157</xdr:rowOff>
    </xdr:to>
    <xdr:sp macro="" textlink="">
      <xdr:nvSpPr>
        <xdr:cNvPr id="24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301157</xdr:rowOff>
    </xdr:to>
    <xdr:sp macro="" textlink="">
      <xdr:nvSpPr>
        <xdr:cNvPr id="24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301157</xdr:rowOff>
    </xdr:to>
    <xdr:sp macro="" textlink="">
      <xdr:nvSpPr>
        <xdr:cNvPr id="24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301157</xdr:rowOff>
    </xdr:to>
    <xdr:sp macro="" textlink="">
      <xdr:nvSpPr>
        <xdr:cNvPr id="24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301157</xdr:rowOff>
    </xdr:to>
    <xdr:sp macro="" textlink="">
      <xdr:nvSpPr>
        <xdr:cNvPr id="24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301157</xdr:rowOff>
    </xdr:to>
    <xdr:sp macro="" textlink="">
      <xdr:nvSpPr>
        <xdr:cNvPr id="24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301157</xdr:rowOff>
    </xdr:to>
    <xdr:sp macro="" textlink="">
      <xdr:nvSpPr>
        <xdr:cNvPr id="25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301157</xdr:rowOff>
    </xdr:to>
    <xdr:sp macro="" textlink="">
      <xdr:nvSpPr>
        <xdr:cNvPr id="25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301157</xdr:rowOff>
    </xdr:to>
    <xdr:sp macro="" textlink="">
      <xdr:nvSpPr>
        <xdr:cNvPr id="25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301157</xdr:rowOff>
    </xdr:to>
    <xdr:sp macro="" textlink="">
      <xdr:nvSpPr>
        <xdr:cNvPr id="25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301157</xdr:rowOff>
    </xdr:to>
    <xdr:sp macro="" textlink="">
      <xdr:nvSpPr>
        <xdr:cNvPr id="25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7682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301157</xdr:rowOff>
    </xdr:to>
    <xdr:sp macro="" textlink="">
      <xdr:nvSpPr>
        <xdr:cNvPr id="25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9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768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354072</xdr:rowOff>
    </xdr:to>
    <xdr:sp macro="" textlink="">
      <xdr:nvSpPr>
        <xdr:cNvPr id="25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354072</xdr:rowOff>
    </xdr:to>
    <xdr:sp macro="" textlink="">
      <xdr:nvSpPr>
        <xdr:cNvPr id="25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147912</xdr:rowOff>
    </xdr:to>
    <xdr:sp macro="" textlink="">
      <xdr:nvSpPr>
        <xdr:cNvPr id="25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147912</xdr:rowOff>
    </xdr:to>
    <xdr:sp macro="" textlink="">
      <xdr:nvSpPr>
        <xdr:cNvPr id="25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147912</xdr:rowOff>
    </xdr:to>
    <xdr:sp macro="" textlink="">
      <xdr:nvSpPr>
        <xdr:cNvPr id="25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147912</xdr:rowOff>
    </xdr:to>
    <xdr:sp macro="" textlink="">
      <xdr:nvSpPr>
        <xdr:cNvPr id="25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147912</xdr:rowOff>
    </xdr:to>
    <xdr:sp macro="" textlink="">
      <xdr:nvSpPr>
        <xdr:cNvPr id="25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147912</xdr:rowOff>
    </xdr:to>
    <xdr:sp macro="" textlink="">
      <xdr:nvSpPr>
        <xdr:cNvPr id="25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147912</xdr:rowOff>
    </xdr:to>
    <xdr:sp macro="" textlink="">
      <xdr:nvSpPr>
        <xdr:cNvPr id="25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147912</xdr:rowOff>
    </xdr:to>
    <xdr:sp macro="" textlink="">
      <xdr:nvSpPr>
        <xdr:cNvPr id="25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354073</xdr:rowOff>
    </xdr:to>
    <xdr:sp macro="" textlink="">
      <xdr:nvSpPr>
        <xdr:cNvPr id="25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354073</xdr:rowOff>
    </xdr:to>
    <xdr:sp macro="" textlink="">
      <xdr:nvSpPr>
        <xdr:cNvPr id="25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354073</xdr:rowOff>
    </xdr:to>
    <xdr:sp macro="" textlink="">
      <xdr:nvSpPr>
        <xdr:cNvPr id="25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354073</xdr:rowOff>
    </xdr:to>
    <xdr:sp macro="" textlink="">
      <xdr:nvSpPr>
        <xdr:cNvPr id="25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363038</xdr:rowOff>
    </xdr:to>
    <xdr:sp macro="" textlink="">
      <xdr:nvSpPr>
        <xdr:cNvPr id="25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363038</xdr:rowOff>
    </xdr:to>
    <xdr:sp macro="" textlink="">
      <xdr:nvSpPr>
        <xdr:cNvPr id="25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363038</xdr:rowOff>
    </xdr:to>
    <xdr:sp macro="" textlink="">
      <xdr:nvSpPr>
        <xdr:cNvPr id="25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363038</xdr:rowOff>
    </xdr:to>
    <xdr:sp macro="" textlink="">
      <xdr:nvSpPr>
        <xdr:cNvPr id="25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354074</xdr:rowOff>
    </xdr:to>
    <xdr:sp macro="" textlink="">
      <xdr:nvSpPr>
        <xdr:cNvPr id="25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354074</xdr:rowOff>
    </xdr:to>
    <xdr:sp macro="" textlink="">
      <xdr:nvSpPr>
        <xdr:cNvPr id="25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354074</xdr:rowOff>
    </xdr:to>
    <xdr:sp macro="" textlink="">
      <xdr:nvSpPr>
        <xdr:cNvPr id="25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354074</xdr:rowOff>
    </xdr:to>
    <xdr:sp macro="" textlink="">
      <xdr:nvSpPr>
        <xdr:cNvPr id="25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363039</xdr:rowOff>
    </xdr:to>
    <xdr:sp macro="" textlink="">
      <xdr:nvSpPr>
        <xdr:cNvPr id="25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363039</xdr:rowOff>
    </xdr:to>
    <xdr:sp macro="" textlink="">
      <xdr:nvSpPr>
        <xdr:cNvPr id="25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363039</xdr:rowOff>
    </xdr:to>
    <xdr:sp macro="" textlink="">
      <xdr:nvSpPr>
        <xdr:cNvPr id="25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363039</xdr:rowOff>
    </xdr:to>
    <xdr:sp macro="" textlink="">
      <xdr:nvSpPr>
        <xdr:cNvPr id="25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354073</xdr:rowOff>
    </xdr:to>
    <xdr:sp macro="" textlink="">
      <xdr:nvSpPr>
        <xdr:cNvPr id="25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354073</xdr:rowOff>
    </xdr:to>
    <xdr:sp macro="" textlink="">
      <xdr:nvSpPr>
        <xdr:cNvPr id="25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354073</xdr:rowOff>
    </xdr:to>
    <xdr:sp macro="" textlink="">
      <xdr:nvSpPr>
        <xdr:cNvPr id="25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354073</xdr:rowOff>
    </xdr:to>
    <xdr:sp macro="" textlink="">
      <xdr:nvSpPr>
        <xdr:cNvPr id="25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363038</xdr:rowOff>
    </xdr:to>
    <xdr:sp macro="" textlink="">
      <xdr:nvSpPr>
        <xdr:cNvPr id="25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363038</xdr:rowOff>
    </xdr:to>
    <xdr:sp macro="" textlink="">
      <xdr:nvSpPr>
        <xdr:cNvPr id="25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363038</xdr:rowOff>
    </xdr:to>
    <xdr:sp macro="" textlink="">
      <xdr:nvSpPr>
        <xdr:cNvPr id="25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363038</xdr:rowOff>
    </xdr:to>
    <xdr:sp macro="" textlink="">
      <xdr:nvSpPr>
        <xdr:cNvPr id="25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354072</xdr:rowOff>
    </xdr:to>
    <xdr:sp macro="" textlink="">
      <xdr:nvSpPr>
        <xdr:cNvPr id="25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354072</xdr:rowOff>
    </xdr:to>
    <xdr:sp macro="" textlink="">
      <xdr:nvSpPr>
        <xdr:cNvPr id="25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147912</xdr:rowOff>
    </xdr:to>
    <xdr:sp macro="" textlink="">
      <xdr:nvSpPr>
        <xdr:cNvPr id="25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147912</xdr:rowOff>
    </xdr:to>
    <xdr:sp macro="" textlink="">
      <xdr:nvSpPr>
        <xdr:cNvPr id="25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147912</xdr:rowOff>
    </xdr:to>
    <xdr:sp macro="" textlink="">
      <xdr:nvSpPr>
        <xdr:cNvPr id="25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147912</xdr:rowOff>
    </xdr:to>
    <xdr:sp macro="" textlink="">
      <xdr:nvSpPr>
        <xdr:cNvPr id="25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147912</xdr:rowOff>
    </xdr:to>
    <xdr:sp macro="" textlink="">
      <xdr:nvSpPr>
        <xdr:cNvPr id="25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147912</xdr:rowOff>
    </xdr:to>
    <xdr:sp macro="" textlink="">
      <xdr:nvSpPr>
        <xdr:cNvPr id="25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147912</xdr:rowOff>
    </xdr:to>
    <xdr:sp macro="" textlink="">
      <xdr:nvSpPr>
        <xdr:cNvPr id="25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147912</xdr:rowOff>
    </xdr:to>
    <xdr:sp macro="" textlink="">
      <xdr:nvSpPr>
        <xdr:cNvPr id="25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354073</xdr:rowOff>
    </xdr:to>
    <xdr:sp macro="" textlink="">
      <xdr:nvSpPr>
        <xdr:cNvPr id="25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354073</xdr:rowOff>
    </xdr:to>
    <xdr:sp macro="" textlink="">
      <xdr:nvSpPr>
        <xdr:cNvPr id="25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354073</xdr:rowOff>
    </xdr:to>
    <xdr:sp macro="" textlink="">
      <xdr:nvSpPr>
        <xdr:cNvPr id="25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354073</xdr:rowOff>
    </xdr:to>
    <xdr:sp macro="" textlink="">
      <xdr:nvSpPr>
        <xdr:cNvPr id="25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363038</xdr:rowOff>
    </xdr:to>
    <xdr:sp macro="" textlink="">
      <xdr:nvSpPr>
        <xdr:cNvPr id="25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363038</xdr:rowOff>
    </xdr:to>
    <xdr:sp macro="" textlink="">
      <xdr:nvSpPr>
        <xdr:cNvPr id="25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363038</xdr:rowOff>
    </xdr:to>
    <xdr:sp macro="" textlink="">
      <xdr:nvSpPr>
        <xdr:cNvPr id="25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363038</xdr:rowOff>
    </xdr:to>
    <xdr:sp macro="" textlink="">
      <xdr:nvSpPr>
        <xdr:cNvPr id="25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354074</xdr:rowOff>
    </xdr:to>
    <xdr:sp macro="" textlink="">
      <xdr:nvSpPr>
        <xdr:cNvPr id="25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354074</xdr:rowOff>
    </xdr:to>
    <xdr:sp macro="" textlink="">
      <xdr:nvSpPr>
        <xdr:cNvPr id="25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9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354074</xdr:rowOff>
    </xdr:to>
    <xdr:sp macro="" textlink="">
      <xdr:nvSpPr>
        <xdr:cNvPr id="25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354074</xdr:rowOff>
    </xdr:to>
    <xdr:sp macro="" textlink="">
      <xdr:nvSpPr>
        <xdr:cNvPr id="25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363039</xdr:rowOff>
    </xdr:to>
    <xdr:sp macro="" textlink="">
      <xdr:nvSpPr>
        <xdr:cNvPr id="25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363039</xdr:rowOff>
    </xdr:to>
    <xdr:sp macro="" textlink="">
      <xdr:nvSpPr>
        <xdr:cNvPr id="25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363039</xdr:rowOff>
    </xdr:to>
    <xdr:sp macro="" textlink="">
      <xdr:nvSpPr>
        <xdr:cNvPr id="25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363039</xdr:rowOff>
    </xdr:to>
    <xdr:sp macro="" textlink="">
      <xdr:nvSpPr>
        <xdr:cNvPr id="25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354073</xdr:rowOff>
    </xdr:to>
    <xdr:sp macro="" textlink="">
      <xdr:nvSpPr>
        <xdr:cNvPr id="25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354073</xdr:rowOff>
    </xdr:to>
    <xdr:sp macro="" textlink="">
      <xdr:nvSpPr>
        <xdr:cNvPr id="25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354073</xdr:rowOff>
    </xdr:to>
    <xdr:sp macro="" textlink="">
      <xdr:nvSpPr>
        <xdr:cNvPr id="25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354073</xdr:rowOff>
    </xdr:to>
    <xdr:sp macro="" textlink="">
      <xdr:nvSpPr>
        <xdr:cNvPr id="25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363038</xdr:rowOff>
    </xdr:to>
    <xdr:sp macro="" textlink="">
      <xdr:nvSpPr>
        <xdr:cNvPr id="25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363038</xdr:rowOff>
    </xdr:to>
    <xdr:sp macro="" textlink="">
      <xdr:nvSpPr>
        <xdr:cNvPr id="25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363038</xdr:rowOff>
    </xdr:to>
    <xdr:sp macro="" textlink="">
      <xdr:nvSpPr>
        <xdr:cNvPr id="25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363038</xdr:rowOff>
    </xdr:to>
    <xdr:sp macro="" textlink="">
      <xdr:nvSpPr>
        <xdr:cNvPr id="25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354072</xdr:rowOff>
    </xdr:to>
    <xdr:sp macro="" textlink="">
      <xdr:nvSpPr>
        <xdr:cNvPr id="25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354072</xdr:rowOff>
    </xdr:to>
    <xdr:sp macro="" textlink="">
      <xdr:nvSpPr>
        <xdr:cNvPr id="25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147912</xdr:rowOff>
    </xdr:to>
    <xdr:sp macro="" textlink="">
      <xdr:nvSpPr>
        <xdr:cNvPr id="25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147912</xdr:rowOff>
    </xdr:to>
    <xdr:sp macro="" textlink="">
      <xdr:nvSpPr>
        <xdr:cNvPr id="25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147912</xdr:rowOff>
    </xdr:to>
    <xdr:sp macro="" textlink="">
      <xdr:nvSpPr>
        <xdr:cNvPr id="25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147912</xdr:rowOff>
    </xdr:to>
    <xdr:sp macro="" textlink="">
      <xdr:nvSpPr>
        <xdr:cNvPr id="25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147912</xdr:rowOff>
    </xdr:to>
    <xdr:sp macro="" textlink="">
      <xdr:nvSpPr>
        <xdr:cNvPr id="25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147912</xdr:rowOff>
    </xdr:to>
    <xdr:sp macro="" textlink="">
      <xdr:nvSpPr>
        <xdr:cNvPr id="25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147912</xdr:rowOff>
    </xdr:to>
    <xdr:sp macro="" textlink="">
      <xdr:nvSpPr>
        <xdr:cNvPr id="25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147912</xdr:rowOff>
    </xdr:to>
    <xdr:sp macro="" textlink="">
      <xdr:nvSpPr>
        <xdr:cNvPr id="25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354073</xdr:rowOff>
    </xdr:to>
    <xdr:sp macro="" textlink="">
      <xdr:nvSpPr>
        <xdr:cNvPr id="25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354073</xdr:rowOff>
    </xdr:to>
    <xdr:sp macro="" textlink="">
      <xdr:nvSpPr>
        <xdr:cNvPr id="25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354073</xdr:rowOff>
    </xdr:to>
    <xdr:sp macro="" textlink="">
      <xdr:nvSpPr>
        <xdr:cNvPr id="25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354073</xdr:rowOff>
    </xdr:to>
    <xdr:sp macro="" textlink="">
      <xdr:nvSpPr>
        <xdr:cNvPr id="25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363038</xdr:rowOff>
    </xdr:to>
    <xdr:sp macro="" textlink="">
      <xdr:nvSpPr>
        <xdr:cNvPr id="25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363038</xdr:rowOff>
    </xdr:to>
    <xdr:sp macro="" textlink="">
      <xdr:nvSpPr>
        <xdr:cNvPr id="25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363038</xdr:rowOff>
    </xdr:to>
    <xdr:sp macro="" textlink="">
      <xdr:nvSpPr>
        <xdr:cNvPr id="25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363038</xdr:rowOff>
    </xdr:to>
    <xdr:sp macro="" textlink="">
      <xdr:nvSpPr>
        <xdr:cNvPr id="25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354074</xdr:rowOff>
    </xdr:to>
    <xdr:sp macro="" textlink="">
      <xdr:nvSpPr>
        <xdr:cNvPr id="25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354074</xdr:rowOff>
    </xdr:to>
    <xdr:sp macro="" textlink="">
      <xdr:nvSpPr>
        <xdr:cNvPr id="25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354074</xdr:rowOff>
    </xdr:to>
    <xdr:sp macro="" textlink="">
      <xdr:nvSpPr>
        <xdr:cNvPr id="25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354074</xdr:rowOff>
    </xdr:to>
    <xdr:sp macro="" textlink="">
      <xdr:nvSpPr>
        <xdr:cNvPr id="25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363039</xdr:rowOff>
    </xdr:to>
    <xdr:sp macro="" textlink="">
      <xdr:nvSpPr>
        <xdr:cNvPr id="25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363039</xdr:rowOff>
    </xdr:to>
    <xdr:sp macro="" textlink="">
      <xdr:nvSpPr>
        <xdr:cNvPr id="25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363039</xdr:rowOff>
    </xdr:to>
    <xdr:sp macro="" textlink="">
      <xdr:nvSpPr>
        <xdr:cNvPr id="25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363039</xdr:rowOff>
    </xdr:to>
    <xdr:sp macro="" textlink="">
      <xdr:nvSpPr>
        <xdr:cNvPr id="25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354073</xdr:rowOff>
    </xdr:to>
    <xdr:sp macro="" textlink="">
      <xdr:nvSpPr>
        <xdr:cNvPr id="26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354073</xdr:rowOff>
    </xdr:to>
    <xdr:sp macro="" textlink="">
      <xdr:nvSpPr>
        <xdr:cNvPr id="26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354073</xdr:rowOff>
    </xdr:to>
    <xdr:sp macro="" textlink="">
      <xdr:nvSpPr>
        <xdr:cNvPr id="26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354073</xdr:rowOff>
    </xdr:to>
    <xdr:sp macro="" textlink="">
      <xdr:nvSpPr>
        <xdr:cNvPr id="26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363038</xdr:rowOff>
    </xdr:to>
    <xdr:sp macro="" textlink="">
      <xdr:nvSpPr>
        <xdr:cNvPr id="26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363038</xdr:rowOff>
    </xdr:to>
    <xdr:sp macro="" textlink="">
      <xdr:nvSpPr>
        <xdr:cNvPr id="26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363038</xdr:rowOff>
    </xdr:to>
    <xdr:sp macro="" textlink="">
      <xdr:nvSpPr>
        <xdr:cNvPr id="26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363038</xdr:rowOff>
    </xdr:to>
    <xdr:sp macro="" textlink="">
      <xdr:nvSpPr>
        <xdr:cNvPr id="26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354072</xdr:rowOff>
    </xdr:to>
    <xdr:sp macro="" textlink="">
      <xdr:nvSpPr>
        <xdr:cNvPr id="26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354072</xdr:rowOff>
    </xdr:to>
    <xdr:sp macro="" textlink="">
      <xdr:nvSpPr>
        <xdr:cNvPr id="26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147912</xdr:rowOff>
    </xdr:to>
    <xdr:sp macro="" textlink="">
      <xdr:nvSpPr>
        <xdr:cNvPr id="26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147912</xdr:rowOff>
    </xdr:to>
    <xdr:sp macro="" textlink="">
      <xdr:nvSpPr>
        <xdr:cNvPr id="26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147912</xdr:rowOff>
    </xdr:to>
    <xdr:sp macro="" textlink="">
      <xdr:nvSpPr>
        <xdr:cNvPr id="26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147912</xdr:rowOff>
    </xdr:to>
    <xdr:sp macro="" textlink="">
      <xdr:nvSpPr>
        <xdr:cNvPr id="26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147912</xdr:rowOff>
    </xdr:to>
    <xdr:sp macro="" textlink="">
      <xdr:nvSpPr>
        <xdr:cNvPr id="26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147912</xdr:rowOff>
    </xdr:to>
    <xdr:sp macro="" textlink="">
      <xdr:nvSpPr>
        <xdr:cNvPr id="26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147912</xdr:rowOff>
    </xdr:to>
    <xdr:sp macro="" textlink="">
      <xdr:nvSpPr>
        <xdr:cNvPr id="26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147912</xdr:rowOff>
    </xdr:to>
    <xdr:sp macro="" textlink="">
      <xdr:nvSpPr>
        <xdr:cNvPr id="26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124725"/>
          <a:ext cx="47625" cy="208376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354073</xdr:rowOff>
    </xdr:to>
    <xdr:sp macro="" textlink="">
      <xdr:nvSpPr>
        <xdr:cNvPr id="26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354073</xdr:rowOff>
    </xdr:to>
    <xdr:sp macro="" textlink="">
      <xdr:nvSpPr>
        <xdr:cNvPr id="26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354073</xdr:rowOff>
    </xdr:to>
    <xdr:sp macro="" textlink="">
      <xdr:nvSpPr>
        <xdr:cNvPr id="26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354073</xdr:rowOff>
    </xdr:to>
    <xdr:sp macro="" textlink="">
      <xdr:nvSpPr>
        <xdr:cNvPr id="26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363038</xdr:rowOff>
    </xdr:to>
    <xdr:sp macro="" textlink="">
      <xdr:nvSpPr>
        <xdr:cNvPr id="26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363038</xdr:rowOff>
    </xdr:to>
    <xdr:sp macro="" textlink="">
      <xdr:nvSpPr>
        <xdr:cNvPr id="26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363038</xdr:rowOff>
    </xdr:to>
    <xdr:sp macro="" textlink="">
      <xdr:nvSpPr>
        <xdr:cNvPr id="26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363038</xdr:rowOff>
    </xdr:to>
    <xdr:sp macro="" textlink="">
      <xdr:nvSpPr>
        <xdr:cNvPr id="26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354074</xdr:rowOff>
    </xdr:to>
    <xdr:sp macro="" textlink="">
      <xdr:nvSpPr>
        <xdr:cNvPr id="26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354074</xdr:rowOff>
    </xdr:to>
    <xdr:sp macro="" textlink="">
      <xdr:nvSpPr>
        <xdr:cNvPr id="26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354074</xdr:rowOff>
    </xdr:to>
    <xdr:sp macro="" textlink="">
      <xdr:nvSpPr>
        <xdr:cNvPr id="26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354074</xdr:rowOff>
    </xdr:to>
    <xdr:sp macro="" textlink="">
      <xdr:nvSpPr>
        <xdr:cNvPr id="26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2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363039</xdr:rowOff>
    </xdr:to>
    <xdr:sp macro="" textlink="">
      <xdr:nvSpPr>
        <xdr:cNvPr id="26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363039</xdr:rowOff>
    </xdr:to>
    <xdr:sp macro="" textlink="">
      <xdr:nvSpPr>
        <xdr:cNvPr id="26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363039</xdr:rowOff>
    </xdr:to>
    <xdr:sp macro="" textlink="">
      <xdr:nvSpPr>
        <xdr:cNvPr id="26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363039</xdr:rowOff>
    </xdr:to>
    <xdr:sp macro="" textlink="">
      <xdr:nvSpPr>
        <xdr:cNvPr id="26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354073</xdr:rowOff>
    </xdr:to>
    <xdr:sp macro="" textlink="">
      <xdr:nvSpPr>
        <xdr:cNvPr id="26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354073</xdr:rowOff>
    </xdr:to>
    <xdr:sp macro="" textlink="">
      <xdr:nvSpPr>
        <xdr:cNvPr id="26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354073</xdr:rowOff>
    </xdr:to>
    <xdr:sp macro="" textlink="">
      <xdr:nvSpPr>
        <xdr:cNvPr id="26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354073</xdr:rowOff>
    </xdr:to>
    <xdr:sp macro="" textlink="">
      <xdr:nvSpPr>
        <xdr:cNvPr id="26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1701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363038</xdr:rowOff>
    </xdr:to>
    <xdr:sp macro="" textlink="">
      <xdr:nvSpPr>
        <xdr:cNvPr id="26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363038</xdr:rowOff>
    </xdr:to>
    <xdr:sp macro="" textlink="">
      <xdr:nvSpPr>
        <xdr:cNvPr id="26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363038</xdr:rowOff>
    </xdr:to>
    <xdr:sp macro="" textlink="">
      <xdr:nvSpPr>
        <xdr:cNvPr id="26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363038</xdr:rowOff>
    </xdr:to>
    <xdr:sp macro="" textlink="">
      <xdr:nvSpPr>
        <xdr:cNvPr id="26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A0000}"/>
            </a:ext>
          </a:extLst>
        </xdr:cNvPr>
        <xdr:cNvSpPr>
          <a:spLocks noChangeAspect="1" noChangeArrowheads="1"/>
        </xdr:cNvSpPr>
      </xdr:nvSpPr>
      <xdr:spPr bwMode="auto">
        <a:xfrm>
          <a:off x="10210800" y="43587"/>
          <a:ext cx="45719" cy="172597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297982</xdr:rowOff>
    </xdr:to>
    <xdr:sp macro="" textlink="">
      <xdr:nvSpPr>
        <xdr:cNvPr id="26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297982</xdr:rowOff>
    </xdr:to>
    <xdr:sp macro="" textlink="">
      <xdr:nvSpPr>
        <xdr:cNvPr id="26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297982</xdr:rowOff>
    </xdr:to>
    <xdr:sp macro="" textlink="">
      <xdr:nvSpPr>
        <xdr:cNvPr id="26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297982</xdr:rowOff>
    </xdr:to>
    <xdr:sp macro="" textlink="">
      <xdr:nvSpPr>
        <xdr:cNvPr id="26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297982</xdr:rowOff>
    </xdr:to>
    <xdr:sp macro="" textlink="">
      <xdr:nvSpPr>
        <xdr:cNvPr id="26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297982</xdr:rowOff>
    </xdr:to>
    <xdr:sp macro="" textlink="">
      <xdr:nvSpPr>
        <xdr:cNvPr id="26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297982</xdr:rowOff>
    </xdr:to>
    <xdr:sp macro="" textlink="">
      <xdr:nvSpPr>
        <xdr:cNvPr id="26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297982</xdr:rowOff>
    </xdr:to>
    <xdr:sp macro="" textlink="">
      <xdr:nvSpPr>
        <xdr:cNvPr id="26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297982</xdr:rowOff>
    </xdr:to>
    <xdr:sp macro="" textlink="">
      <xdr:nvSpPr>
        <xdr:cNvPr id="26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297982</xdr:rowOff>
    </xdr:to>
    <xdr:sp macro="" textlink="">
      <xdr:nvSpPr>
        <xdr:cNvPr id="26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297982</xdr:rowOff>
    </xdr:to>
    <xdr:sp macro="" textlink="">
      <xdr:nvSpPr>
        <xdr:cNvPr id="26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297982</xdr:rowOff>
    </xdr:to>
    <xdr:sp macro="" textlink="">
      <xdr:nvSpPr>
        <xdr:cNvPr id="26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297982</xdr:rowOff>
    </xdr:to>
    <xdr:sp macro="" textlink="">
      <xdr:nvSpPr>
        <xdr:cNvPr id="26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297982</xdr:rowOff>
    </xdr:to>
    <xdr:sp macro="" textlink="">
      <xdr:nvSpPr>
        <xdr:cNvPr id="26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297982</xdr:rowOff>
    </xdr:to>
    <xdr:sp macro="" textlink="">
      <xdr:nvSpPr>
        <xdr:cNvPr id="26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1095" cy="1704507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297982</xdr:rowOff>
    </xdr:to>
    <xdr:sp macro="" textlink="">
      <xdr:nvSpPr>
        <xdr:cNvPr id="26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9797821" y="0"/>
          <a:ext cx="162152" cy="1704507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6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6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93004</xdr:rowOff>
    </xdr:to>
    <xdr:sp macro="" textlink="">
      <xdr:nvSpPr>
        <xdr:cNvPr id="26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93004</xdr:rowOff>
    </xdr:to>
    <xdr:sp macro="" textlink="">
      <xdr:nvSpPr>
        <xdr:cNvPr id="26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93004</xdr:rowOff>
    </xdr:to>
    <xdr:sp macro="" textlink="">
      <xdr:nvSpPr>
        <xdr:cNvPr id="26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93004</xdr:rowOff>
    </xdr:to>
    <xdr:sp macro="" textlink="">
      <xdr:nvSpPr>
        <xdr:cNvPr id="26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93004</xdr:rowOff>
    </xdr:to>
    <xdr:sp macro="" textlink="">
      <xdr:nvSpPr>
        <xdr:cNvPr id="26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93004</xdr:rowOff>
    </xdr:to>
    <xdr:sp macro="" textlink="">
      <xdr:nvSpPr>
        <xdr:cNvPr id="26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93004</xdr:rowOff>
    </xdr:to>
    <xdr:sp macro="" textlink="">
      <xdr:nvSpPr>
        <xdr:cNvPr id="26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93004</xdr:rowOff>
    </xdr:to>
    <xdr:sp macro="" textlink="">
      <xdr:nvSpPr>
        <xdr:cNvPr id="26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6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6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6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6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6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6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6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6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6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6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6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6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6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6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6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6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6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6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6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6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6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6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6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6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6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6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93004</xdr:rowOff>
    </xdr:to>
    <xdr:sp macro="" textlink="">
      <xdr:nvSpPr>
        <xdr:cNvPr id="26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93004</xdr:rowOff>
    </xdr:to>
    <xdr:sp macro="" textlink="">
      <xdr:nvSpPr>
        <xdr:cNvPr id="26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93004</xdr:rowOff>
    </xdr:to>
    <xdr:sp macro="" textlink="">
      <xdr:nvSpPr>
        <xdr:cNvPr id="26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93004</xdr:rowOff>
    </xdr:to>
    <xdr:sp macro="" textlink="">
      <xdr:nvSpPr>
        <xdr:cNvPr id="26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93004</xdr:rowOff>
    </xdr:to>
    <xdr:sp macro="" textlink="">
      <xdr:nvSpPr>
        <xdr:cNvPr id="26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93004</xdr:rowOff>
    </xdr:to>
    <xdr:sp macro="" textlink="">
      <xdr:nvSpPr>
        <xdr:cNvPr id="26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93004</xdr:rowOff>
    </xdr:to>
    <xdr:sp macro="" textlink="">
      <xdr:nvSpPr>
        <xdr:cNvPr id="27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93004</xdr:rowOff>
    </xdr:to>
    <xdr:sp macro="" textlink="">
      <xdr:nvSpPr>
        <xdr:cNvPr id="27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93004</xdr:rowOff>
    </xdr:to>
    <xdr:sp macro="" textlink="">
      <xdr:nvSpPr>
        <xdr:cNvPr id="27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93004</xdr:rowOff>
    </xdr:to>
    <xdr:sp macro="" textlink="">
      <xdr:nvSpPr>
        <xdr:cNvPr id="27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93004</xdr:rowOff>
    </xdr:to>
    <xdr:sp macro="" textlink="">
      <xdr:nvSpPr>
        <xdr:cNvPr id="27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93004</xdr:rowOff>
    </xdr:to>
    <xdr:sp macro="" textlink="">
      <xdr:nvSpPr>
        <xdr:cNvPr id="27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93004</xdr:rowOff>
    </xdr:to>
    <xdr:sp macro="" textlink="">
      <xdr:nvSpPr>
        <xdr:cNvPr id="27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93004</xdr:rowOff>
    </xdr:to>
    <xdr:sp macro="" textlink="">
      <xdr:nvSpPr>
        <xdr:cNvPr id="27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93004</xdr:rowOff>
    </xdr:to>
    <xdr:sp macro="" textlink="">
      <xdr:nvSpPr>
        <xdr:cNvPr id="27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93004</xdr:rowOff>
    </xdr:to>
    <xdr:sp macro="" textlink="">
      <xdr:nvSpPr>
        <xdr:cNvPr id="27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93004</xdr:rowOff>
    </xdr:to>
    <xdr:sp macro="" textlink="">
      <xdr:nvSpPr>
        <xdr:cNvPr id="27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93004</xdr:rowOff>
    </xdr:to>
    <xdr:sp macro="" textlink="">
      <xdr:nvSpPr>
        <xdr:cNvPr id="27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93004</xdr:rowOff>
    </xdr:to>
    <xdr:sp macro="" textlink="">
      <xdr:nvSpPr>
        <xdr:cNvPr id="27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93004</xdr:rowOff>
    </xdr:to>
    <xdr:sp macro="" textlink="">
      <xdr:nvSpPr>
        <xdr:cNvPr id="27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93004</xdr:rowOff>
    </xdr:to>
    <xdr:sp macro="" textlink="">
      <xdr:nvSpPr>
        <xdr:cNvPr id="27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93004</xdr:rowOff>
    </xdr:to>
    <xdr:sp macro="" textlink="">
      <xdr:nvSpPr>
        <xdr:cNvPr id="27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93004</xdr:rowOff>
    </xdr:to>
    <xdr:sp macro="" textlink="">
      <xdr:nvSpPr>
        <xdr:cNvPr id="27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93004</xdr:rowOff>
    </xdr:to>
    <xdr:sp macro="" textlink="">
      <xdr:nvSpPr>
        <xdr:cNvPr id="27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2885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7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7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231051</xdr:rowOff>
    </xdr:to>
    <xdr:sp macro="" textlink="">
      <xdr:nvSpPr>
        <xdr:cNvPr id="27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231051</xdr:rowOff>
    </xdr:to>
    <xdr:sp macro="" textlink="">
      <xdr:nvSpPr>
        <xdr:cNvPr id="27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231051</xdr:rowOff>
    </xdr:to>
    <xdr:sp macro="" textlink="">
      <xdr:nvSpPr>
        <xdr:cNvPr id="27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231051</xdr:rowOff>
    </xdr:to>
    <xdr:sp macro="" textlink="">
      <xdr:nvSpPr>
        <xdr:cNvPr id="27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231051</xdr:rowOff>
    </xdr:to>
    <xdr:sp macro="" textlink="">
      <xdr:nvSpPr>
        <xdr:cNvPr id="27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231051</xdr:rowOff>
    </xdr:to>
    <xdr:sp macro="" textlink="">
      <xdr:nvSpPr>
        <xdr:cNvPr id="27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231051</xdr:rowOff>
    </xdr:to>
    <xdr:sp macro="" textlink="">
      <xdr:nvSpPr>
        <xdr:cNvPr id="28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231051</xdr:rowOff>
    </xdr:to>
    <xdr:sp macro="" textlink="">
      <xdr:nvSpPr>
        <xdr:cNvPr id="28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231051</xdr:rowOff>
    </xdr:to>
    <xdr:sp macro="" textlink="">
      <xdr:nvSpPr>
        <xdr:cNvPr id="28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231051</xdr:rowOff>
    </xdr:to>
    <xdr:sp macro="" textlink="">
      <xdr:nvSpPr>
        <xdr:cNvPr id="28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231051</xdr:rowOff>
    </xdr:to>
    <xdr:sp macro="" textlink="">
      <xdr:nvSpPr>
        <xdr:cNvPr id="28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231051</xdr:rowOff>
    </xdr:to>
    <xdr:sp macro="" textlink="">
      <xdr:nvSpPr>
        <xdr:cNvPr id="28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231051</xdr:rowOff>
    </xdr:to>
    <xdr:sp macro="" textlink="">
      <xdr:nvSpPr>
        <xdr:cNvPr id="28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231051</xdr:rowOff>
    </xdr:to>
    <xdr:sp macro="" textlink="">
      <xdr:nvSpPr>
        <xdr:cNvPr id="28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231051</xdr:rowOff>
    </xdr:to>
    <xdr:sp macro="" textlink="">
      <xdr:nvSpPr>
        <xdr:cNvPr id="28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231051</xdr:rowOff>
    </xdr:to>
    <xdr:sp macro="" textlink="">
      <xdr:nvSpPr>
        <xdr:cNvPr id="28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A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83346</xdr:rowOff>
    </xdr:to>
    <xdr:sp macro="" textlink="">
      <xdr:nvSpPr>
        <xdr:cNvPr id="28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83346</xdr:rowOff>
    </xdr:to>
    <xdr:sp macro="" textlink="">
      <xdr:nvSpPr>
        <xdr:cNvPr id="28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83346</xdr:rowOff>
    </xdr:to>
    <xdr:sp macro="" textlink="">
      <xdr:nvSpPr>
        <xdr:cNvPr id="28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83346</xdr:rowOff>
    </xdr:to>
    <xdr:sp macro="" textlink="">
      <xdr:nvSpPr>
        <xdr:cNvPr id="28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A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83346</xdr:rowOff>
    </xdr:to>
    <xdr:sp macro="" textlink="">
      <xdr:nvSpPr>
        <xdr:cNvPr id="28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83346</xdr:rowOff>
    </xdr:to>
    <xdr:sp macro="" textlink="">
      <xdr:nvSpPr>
        <xdr:cNvPr id="28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83346</xdr:rowOff>
    </xdr:to>
    <xdr:sp macro="" textlink="">
      <xdr:nvSpPr>
        <xdr:cNvPr id="28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83346</xdr:rowOff>
    </xdr:to>
    <xdr:sp macro="" textlink="">
      <xdr:nvSpPr>
        <xdr:cNvPr id="28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8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8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8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8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8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8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8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8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8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8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8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8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83346</xdr:rowOff>
    </xdr:to>
    <xdr:sp macro="" textlink="">
      <xdr:nvSpPr>
        <xdr:cNvPr id="28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83346</xdr:rowOff>
    </xdr:to>
    <xdr:sp macro="" textlink="">
      <xdr:nvSpPr>
        <xdr:cNvPr id="28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83346</xdr:rowOff>
    </xdr:to>
    <xdr:sp macro="" textlink="">
      <xdr:nvSpPr>
        <xdr:cNvPr id="28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83346</xdr:rowOff>
    </xdr:to>
    <xdr:sp macro="" textlink="">
      <xdr:nvSpPr>
        <xdr:cNvPr id="28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83346</xdr:rowOff>
    </xdr:to>
    <xdr:sp macro="" textlink="">
      <xdr:nvSpPr>
        <xdr:cNvPr id="28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83346</xdr:rowOff>
    </xdr:to>
    <xdr:sp macro="" textlink="">
      <xdr:nvSpPr>
        <xdr:cNvPr id="28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83346</xdr:rowOff>
    </xdr:to>
    <xdr:sp macro="" textlink="">
      <xdr:nvSpPr>
        <xdr:cNvPr id="28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83346</xdr:rowOff>
    </xdr:to>
    <xdr:sp macro="" textlink="">
      <xdr:nvSpPr>
        <xdr:cNvPr id="28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8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8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8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8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8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8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8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8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8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8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8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8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83346</xdr:rowOff>
    </xdr:to>
    <xdr:sp macro="" textlink="">
      <xdr:nvSpPr>
        <xdr:cNvPr id="28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83346</xdr:rowOff>
    </xdr:to>
    <xdr:sp macro="" textlink="">
      <xdr:nvSpPr>
        <xdr:cNvPr id="28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83346</xdr:rowOff>
    </xdr:to>
    <xdr:sp macro="" textlink="">
      <xdr:nvSpPr>
        <xdr:cNvPr id="28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83346</xdr:rowOff>
    </xdr:to>
    <xdr:sp macro="" textlink="">
      <xdr:nvSpPr>
        <xdr:cNvPr id="28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83346</xdr:rowOff>
    </xdr:to>
    <xdr:sp macro="" textlink="">
      <xdr:nvSpPr>
        <xdr:cNvPr id="28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83346</xdr:rowOff>
    </xdr:to>
    <xdr:sp macro="" textlink="">
      <xdr:nvSpPr>
        <xdr:cNvPr id="28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83346</xdr:rowOff>
    </xdr:to>
    <xdr:sp macro="" textlink="">
      <xdr:nvSpPr>
        <xdr:cNvPr id="28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83346</xdr:rowOff>
    </xdr:to>
    <xdr:sp macro="" textlink="">
      <xdr:nvSpPr>
        <xdr:cNvPr id="28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8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8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8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8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8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9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9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9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9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9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9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9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9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9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9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9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9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9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9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83346</xdr:rowOff>
    </xdr:to>
    <xdr:sp macro="" textlink="">
      <xdr:nvSpPr>
        <xdr:cNvPr id="29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83346</xdr:rowOff>
    </xdr:to>
    <xdr:sp macro="" textlink="">
      <xdr:nvSpPr>
        <xdr:cNvPr id="29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83346</xdr:rowOff>
    </xdr:to>
    <xdr:sp macro="" textlink="">
      <xdr:nvSpPr>
        <xdr:cNvPr id="29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83346</xdr:rowOff>
    </xdr:to>
    <xdr:sp macro="" textlink="">
      <xdr:nvSpPr>
        <xdr:cNvPr id="29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83346</xdr:rowOff>
    </xdr:to>
    <xdr:sp macro="" textlink="">
      <xdr:nvSpPr>
        <xdr:cNvPr id="29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83346</xdr:rowOff>
    </xdr:to>
    <xdr:sp macro="" textlink="">
      <xdr:nvSpPr>
        <xdr:cNvPr id="29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124725</xdr:rowOff>
    </xdr:from>
    <xdr:to>
      <xdr:col>10</xdr:col>
      <xdr:colOff>47625</xdr:colOff>
      <xdr:row>12</xdr:row>
      <xdr:rowOff>83346</xdr:rowOff>
    </xdr:to>
    <xdr:sp macro="" textlink="">
      <xdr:nvSpPr>
        <xdr:cNvPr id="29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124725"/>
          <a:ext cx="47625" cy="201919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9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9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9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9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9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9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9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9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9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9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9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9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9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9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9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9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9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9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9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307975</xdr:rowOff>
    </xdr:to>
    <xdr:sp macro="" textlink="">
      <xdr:nvSpPr>
        <xdr:cNvPr id="29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7091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9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9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9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9</xdr:row>
      <xdr:rowOff>43587</xdr:rowOff>
    </xdr:from>
    <xdr:to>
      <xdr:col>10</xdr:col>
      <xdr:colOff>45719</xdr:colOff>
      <xdr:row>11</xdr:row>
      <xdr:rowOff>319591</xdr:rowOff>
    </xdr:to>
    <xdr:sp macro="" textlink="">
      <xdr:nvSpPr>
        <xdr:cNvPr id="29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B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43587"/>
          <a:ext cx="45719" cy="168252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231051</xdr:rowOff>
    </xdr:to>
    <xdr:sp macro="" textlink="">
      <xdr:nvSpPr>
        <xdr:cNvPr id="29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B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231051</xdr:rowOff>
    </xdr:to>
    <xdr:sp macro="" textlink="">
      <xdr:nvSpPr>
        <xdr:cNvPr id="29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B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231051</xdr:rowOff>
    </xdr:to>
    <xdr:sp macro="" textlink="">
      <xdr:nvSpPr>
        <xdr:cNvPr id="29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B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231051</xdr:rowOff>
    </xdr:to>
    <xdr:sp macro="" textlink="">
      <xdr:nvSpPr>
        <xdr:cNvPr id="29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B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154516</xdr:colOff>
      <xdr:row>11</xdr:row>
      <xdr:rowOff>231051</xdr:rowOff>
    </xdr:to>
    <xdr:sp macro="" textlink="">
      <xdr:nvSpPr>
        <xdr:cNvPr id="29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B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472846</xdr:colOff>
      <xdr:row>9</xdr:row>
      <xdr:rowOff>0</xdr:rowOff>
    </xdr:from>
    <xdr:to>
      <xdr:col>10</xdr:col>
      <xdr:colOff>155573</xdr:colOff>
      <xdr:row>11</xdr:row>
      <xdr:rowOff>231051</xdr:rowOff>
    </xdr:to>
    <xdr:sp macro="" textlink="">
      <xdr:nvSpPr>
        <xdr:cNvPr id="29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B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7492771" y="0"/>
          <a:ext cx="162152" cy="1647101"/>
        </a:xfrm>
        <a:prstGeom prst="rect">
          <a:avLst/>
        </a:prstGeom>
        <a:noFill/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10</xdr:col>
      <xdr:colOff>440003</xdr:colOff>
      <xdr:row>9</xdr:row>
      <xdr:rowOff>0</xdr:rowOff>
    </xdr:from>
    <xdr:to>
      <xdr:col>10</xdr:col>
      <xdr:colOff>601098</xdr:colOff>
      <xdr:row>11</xdr:row>
      <xdr:rowOff>231051</xdr:rowOff>
    </xdr:to>
    <xdr:sp macro="" textlink="">
      <xdr:nvSpPr>
        <xdr:cNvPr id="29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B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8555303" y="0"/>
          <a:ext cx="161095" cy="164710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67743</xdr:rowOff>
    </xdr:to>
    <xdr:sp macro="" textlink="">
      <xdr:nvSpPr>
        <xdr:cNvPr id="29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67743</xdr:rowOff>
    </xdr:to>
    <xdr:sp macro="" textlink="">
      <xdr:nvSpPr>
        <xdr:cNvPr id="29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67744</xdr:rowOff>
    </xdr:to>
    <xdr:sp macro="" textlink="">
      <xdr:nvSpPr>
        <xdr:cNvPr id="29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67744</xdr:rowOff>
    </xdr:to>
    <xdr:sp macro="" textlink="">
      <xdr:nvSpPr>
        <xdr:cNvPr id="29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67744</xdr:rowOff>
    </xdr:to>
    <xdr:sp macro="" textlink="">
      <xdr:nvSpPr>
        <xdr:cNvPr id="29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67744</xdr:rowOff>
    </xdr:to>
    <xdr:sp macro="" textlink="">
      <xdr:nvSpPr>
        <xdr:cNvPr id="29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78845</xdr:rowOff>
    </xdr:to>
    <xdr:sp macro="" textlink="">
      <xdr:nvSpPr>
        <xdr:cNvPr id="29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78845</xdr:rowOff>
    </xdr:to>
    <xdr:sp macro="" textlink="">
      <xdr:nvSpPr>
        <xdr:cNvPr id="29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78845</xdr:rowOff>
    </xdr:to>
    <xdr:sp macro="" textlink="">
      <xdr:nvSpPr>
        <xdr:cNvPr id="29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78845</xdr:rowOff>
    </xdr:to>
    <xdr:sp macro="" textlink="">
      <xdr:nvSpPr>
        <xdr:cNvPr id="29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67745</xdr:rowOff>
    </xdr:to>
    <xdr:sp macro="" textlink="">
      <xdr:nvSpPr>
        <xdr:cNvPr id="29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67745</xdr:rowOff>
    </xdr:to>
    <xdr:sp macro="" textlink="">
      <xdr:nvSpPr>
        <xdr:cNvPr id="29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67745</xdr:rowOff>
    </xdr:to>
    <xdr:sp macro="" textlink="">
      <xdr:nvSpPr>
        <xdr:cNvPr id="29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67745</xdr:rowOff>
    </xdr:to>
    <xdr:sp macro="" textlink="">
      <xdr:nvSpPr>
        <xdr:cNvPr id="29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78846</xdr:rowOff>
    </xdr:to>
    <xdr:sp macro="" textlink="">
      <xdr:nvSpPr>
        <xdr:cNvPr id="29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78846</xdr:rowOff>
    </xdr:to>
    <xdr:sp macro="" textlink="">
      <xdr:nvSpPr>
        <xdr:cNvPr id="29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78846</xdr:rowOff>
    </xdr:to>
    <xdr:sp macro="" textlink="">
      <xdr:nvSpPr>
        <xdr:cNvPr id="29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78846</xdr:rowOff>
    </xdr:to>
    <xdr:sp macro="" textlink="">
      <xdr:nvSpPr>
        <xdr:cNvPr id="29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67744</xdr:rowOff>
    </xdr:to>
    <xdr:sp macro="" textlink="">
      <xdr:nvSpPr>
        <xdr:cNvPr id="29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67744</xdr:rowOff>
    </xdr:to>
    <xdr:sp macro="" textlink="">
      <xdr:nvSpPr>
        <xdr:cNvPr id="29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67744</xdr:rowOff>
    </xdr:to>
    <xdr:sp macro="" textlink="">
      <xdr:nvSpPr>
        <xdr:cNvPr id="29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67744</xdr:rowOff>
    </xdr:to>
    <xdr:sp macro="" textlink="">
      <xdr:nvSpPr>
        <xdr:cNvPr id="29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78845</xdr:rowOff>
    </xdr:to>
    <xdr:sp macro="" textlink="">
      <xdr:nvSpPr>
        <xdr:cNvPr id="29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78845</xdr:rowOff>
    </xdr:to>
    <xdr:sp macro="" textlink="">
      <xdr:nvSpPr>
        <xdr:cNvPr id="29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78845</xdr:rowOff>
    </xdr:to>
    <xdr:sp macro="" textlink="">
      <xdr:nvSpPr>
        <xdr:cNvPr id="29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78845</xdr:rowOff>
    </xdr:to>
    <xdr:sp macro="" textlink="">
      <xdr:nvSpPr>
        <xdr:cNvPr id="29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67743</xdr:rowOff>
    </xdr:to>
    <xdr:sp macro="" textlink="">
      <xdr:nvSpPr>
        <xdr:cNvPr id="29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67743</xdr:rowOff>
    </xdr:to>
    <xdr:sp macro="" textlink="">
      <xdr:nvSpPr>
        <xdr:cNvPr id="29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67744</xdr:rowOff>
    </xdr:to>
    <xdr:sp macro="" textlink="">
      <xdr:nvSpPr>
        <xdr:cNvPr id="29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67744</xdr:rowOff>
    </xdr:to>
    <xdr:sp macro="" textlink="">
      <xdr:nvSpPr>
        <xdr:cNvPr id="29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67744</xdr:rowOff>
    </xdr:to>
    <xdr:sp macro="" textlink="">
      <xdr:nvSpPr>
        <xdr:cNvPr id="29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67744</xdr:rowOff>
    </xdr:to>
    <xdr:sp macro="" textlink="">
      <xdr:nvSpPr>
        <xdr:cNvPr id="29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78845</xdr:rowOff>
    </xdr:to>
    <xdr:sp macro="" textlink="">
      <xdr:nvSpPr>
        <xdr:cNvPr id="29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78845</xdr:rowOff>
    </xdr:to>
    <xdr:sp macro="" textlink="">
      <xdr:nvSpPr>
        <xdr:cNvPr id="29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78845</xdr:rowOff>
    </xdr:to>
    <xdr:sp macro="" textlink="">
      <xdr:nvSpPr>
        <xdr:cNvPr id="29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78845</xdr:rowOff>
    </xdr:to>
    <xdr:sp macro="" textlink="">
      <xdr:nvSpPr>
        <xdr:cNvPr id="29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67745</xdr:rowOff>
    </xdr:to>
    <xdr:sp macro="" textlink="">
      <xdr:nvSpPr>
        <xdr:cNvPr id="29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67745</xdr:rowOff>
    </xdr:to>
    <xdr:sp macro="" textlink="">
      <xdr:nvSpPr>
        <xdr:cNvPr id="29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67745</xdr:rowOff>
    </xdr:to>
    <xdr:sp macro="" textlink="">
      <xdr:nvSpPr>
        <xdr:cNvPr id="29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67745</xdr:rowOff>
    </xdr:to>
    <xdr:sp macro="" textlink="">
      <xdr:nvSpPr>
        <xdr:cNvPr id="29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78846</xdr:rowOff>
    </xdr:to>
    <xdr:sp macro="" textlink="">
      <xdr:nvSpPr>
        <xdr:cNvPr id="29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78846</xdr:rowOff>
    </xdr:to>
    <xdr:sp macro="" textlink="">
      <xdr:nvSpPr>
        <xdr:cNvPr id="29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78846</xdr:rowOff>
    </xdr:to>
    <xdr:sp macro="" textlink="">
      <xdr:nvSpPr>
        <xdr:cNvPr id="29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78846</xdr:rowOff>
    </xdr:to>
    <xdr:sp macro="" textlink="">
      <xdr:nvSpPr>
        <xdr:cNvPr id="29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67744</xdr:rowOff>
    </xdr:to>
    <xdr:sp macro="" textlink="">
      <xdr:nvSpPr>
        <xdr:cNvPr id="29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67744</xdr:rowOff>
    </xdr:to>
    <xdr:sp macro="" textlink="">
      <xdr:nvSpPr>
        <xdr:cNvPr id="29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67744</xdr:rowOff>
    </xdr:to>
    <xdr:sp macro="" textlink="">
      <xdr:nvSpPr>
        <xdr:cNvPr id="29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67744</xdr:rowOff>
    </xdr:to>
    <xdr:sp macro="" textlink="">
      <xdr:nvSpPr>
        <xdr:cNvPr id="30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78845</xdr:rowOff>
    </xdr:to>
    <xdr:sp macro="" textlink="">
      <xdr:nvSpPr>
        <xdr:cNvPr id="30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78845</xdr:rowOff>
    </xdr:to>
    <xdr:sp macro="" textlink="">
      <xdr:nvSpPr>
        <xdr:cNvPr id="30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78845</xdr:rowOff>
    </xdr:to>
    <xdr:sp macro="" textlink="">
      <xdr:nvSpPr>
        <xdr:cNvPr id="30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78845</xdr:rowOff>
    </xdr:to>
    <xdr:sp macro="" textlink="">
      <xdr:nvSpPr>
        <xdr:cNvPr id="30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67743</xdr:rowOff>
    </xdr:to>
    <xdr:sp macro="" textlink="">
      <xdr:nvSpPr>
        <xdr:cNvPr id="30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67743</xdr:rowOff>
    </xdr:to>
    <xdr:sp macro="" textlink="">
      <xdr:nvSpPr>
        <xdr:cNvPr id="30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67744</xdr:rowOff>
    </xdr:to>
    <xdr:sp macro="" textlink="">
      <xdr:nvSpPr>
        <xdr:cNvPr id="30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67744</xdr:rowOff>
    </xdr:to>
    <xdr:sp macro="" textlink="">
      <xdr:nvSpPr>
        <xdr:cNvPr id="30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67744</xdr:rowOff>
    </xdr:to>
    <xdr:sp macro="" textlink="">
      <xdr:nvSpPr>
        <xdr:cNvPr id="30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67744</xdr:rowOff>
    </xdr:to>
    <xdr:sp macro="" textlink="">
      <xdr:nvSpPr>
        <xdr:cNvPr id="30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78845</xdr:rowOff>
    </xdr:to>
    <xdr:sp macro="" textlink="">
      <xdr:nvSpPr>
        <xdr:cNvPr id="30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78845</xdr:rowOff>
    </xdr:to>
    <xdr:sp macro="" textlink="">
      <xdr:nvSpPr>
        <xdr:cNvPr id="30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78845</xdr:rowOff>
    </xdr:to>
    <xdr:sp macro="" textlink="">
      <xdr:nvSpPr>
        <xdr:cNvPr id="30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78845</xdr:rowOff>
    </xdr:to>
    <xdr:sp macro="" textlink="">
      <xdr:nvSpPr>
        <xdr:cNvPr id="30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67745</xdr:rowOff>
    </xdr:to>
    <xdr:sp macro="" textlink="">
      <xdr:nvSpPr>
        <xdr:cNvPr id="30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67745</xdr:rowOff>
    </xdr:to>
    <xdr:sp macro="" textlink="">
      <xdr:nvSpPr>
        <xdr:cNvPr id="30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67745</xdr:rowOff>
    </xdr:to>
    <xdr:sp macro="" textlink="">
      <xdr:nvSpPr>
        <xdr:cNvPr id="30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67745</xdr:rowOff>
    </xdr:to>
    <xdr:sp macro="" textlink="">
      <xdr:nvSpPr>
        <xdr:cNvPr id="30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78846</xdr:rowOff>
    </xdr:to>
    <xdr:sp macro="" textlink="">
      <xdr:nvSpPr>
        <xdr:cNvPr id="30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78846</xdr:rowOff>
    </xdr:to>
    <xdr:sp macro="" textlink="">
      <xdr:nvSpPr>
        <xdr:cNvPr id="30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78846</xdr:rowOff>
    </xdr:to>
    <xdr:sp macro="" textlink="">
      <xdr:nvSpPr>
        <xdr:cNvPr id="30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78846</xdr:rowOff>
    </xdr:to>
    <xdr:sp macro="" textlink="">
      <xdr:nvSpPr>
        <xdr:cNvPr id="30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67744</xdr:rowOff>
    </xdr:to>
    <xdr:sp macro="" textlink="">
      <xdr:nvSpPr>
        <xdr:cNvPr id="30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67744</xdr:rowOff>
    </xdr:to>
    <xdr:sp macro="" textlink="">
      <xdr:nvSpPr>
        <xdr:cNvPr id="30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67744</xdr:rowOff>
    </xdr:to>
    <xdr:sp macro="" textlink="">
      <xdr:nvSpPr>
        <xdr:cNvPr id="30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67744</xdr:rowOff>
    </xdr:to>
    <xdr:sp macro="" textlink="">
      <xdr:nvSpPr>
        <xdr:cNvPr id="30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78845</xdr:rowOff>
    </xdr:to>
    <xdr:sp macro="" textlink="">
      <xdr:nvSpPr>
        <xdr:cNvPr id="30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78845</xdr:rowOff>
    </xdr:to>
    <xdr:sp macro="" textlink="">
      <xdr:nvSpPr>
        <xdr:cNvPr id="30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78845</xdr:rowOff>
    </xdr:to>
    <xdr:sp macro="" textlink="">
      <xdr:nvSpPr>
        <xdr:cNvPr id="30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78845</xdr:rowOff>
    </xdr:to>
    <xdr:sp macro="" textlink="">
      <xdr:nvSpPr>
        <xdr:cNvPr id="30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67743</xdr:rowOff>
    </xdr:to>
    <xdr:sp macro="" textlink="">
      <xdr:nvSpPr>
        <xdr:cNvPr id="30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67743</xdr:rowOff>
    </xdr:to>
    <xdr:sp macro="" textlink="">
      <xdr:nvSpPr>
        <xdr:cNvPr id="30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67744</xdr:rowOff>
    </xdr:to>
    <xdr:sp macro="" textlink="">
      <xdr:nvSpPr>
        <xdr:cNvPr id="30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67744</xdr:rowOff>
    </xdr:to>
    <xdr:sp macro="" textlink="">
      <xdr:nvSpPr>
        <xdr:cNvPr id="30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67744</xdr:rowOff>
    </xdr:to>
    <xdr:sp macro="" textlink="">
      <xdr:nvSpPr>
        <xdr:cNvPr id="30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67744</xdr:rowOff>
    </xdr:to>
    <xdr:sp macro="" textlink="">
      <xdr:nvSpPr>
        <xdr:cNvPr id="30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78845</xdr:rowOff>
    </xdr:to>
    <xdr:sp macro="" textlink="">
      <xdr:nvSpPr>
        <xdr:cNvPr id="30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78845</xdr:rowOff>
    </xdr:to>
    <xdr:sp macro="" textlink="">
      <xdr:nvSpPr>
        <xdr:cNvPr id="30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78845</xdr:rowOff>
    </xdr:to>
    <xdr:sp macro="" textlink="">
      <xdr:nvSpPr>
        <xdr:cNvPr id="30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78845</xdr:rowOff>
    </xdr:to>
    <xdr:sp macro="" textlink="">
      <xdr:nvSpPr>
        <xdr:cNvPr id="30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67745</xdr:rowOff>
    </xdr:to>
    <xdr:sp macro="" textlink="">
      <xdr:nvSpPr>
        <xdr:cNvPr id="30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67745</xdr:rowOff>
    </xdr:to>
    <xdr:sp macro="" textlink="">
      <xdr:nvSpPr>
        <xdr:cNvPr id="30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67745</xdr:rowOff>
    </xdr:to>
    <xdr:sp macro="" textlink="">
      <xdr:nvSpPr>
        <xdr:cNvPr id="30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67745</xdr:rowOff>
    </xdr:to>
    <xdr:sp macro="" textlink="">
      <xdr:nvSpPr>
        <xdr:cNvPr id="30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78846</xdr:rowOff>
    </xdr:to>
    <xdr:sp macro="" textlink="">
      <xdr:nvSpPr>
        <xdr:cNvPr id="30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78846</xdr:rowOff>
    </xdr:to>
    <xdr:sp macro="" textlink="">
      <xdr:nvSpPr>
        <xdr:cNvPr id="30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78846</xdr:rowOff>
    </xdr:to>
    <xdr:sp macro="" textlink="">
      <xdr:nvSpPr>
        <xdr:cNvPr id="30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78846</xdr:rowOff>
    </xdr:to>
    <xdr:sp macro="" textlink="">
      <xdr:nvSpPr>
        <xdr:cNvPr id="30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67744</xdr:rowOff>
    </xdr:to>
    <xdr:sp macro="" textlink="">
      <xdr:nvSpPr>
        <xdr:cNvPr id="30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67744</xdr:rowOff>
    </xdr:to>
    <xdr:sp macro="" textlink="">
      <xdr:nvSpPr>
        <xdr:cNvPr id="30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67744</xdr:rowOff>
    </xdr:to>
    <xdr:sp macro="" textlink="">
      <xdr:nvSpPr>
        <xdr:cNvPr id="30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67744</xdr:rowOff>
    </xdr:to>
    <xdr:sp macro="" textlink="">
      <xdr:nvSpPr>
        <xdr:cNvPr id="30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78845</xdr:rowOff>
    </xdr:to>
    <xdr:sp macro="" textlink="">
      <xdr:nvSpPr>
        <xdr:cNvPr id="30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78845</xdr:rowOff>
    </xdr:to>
    <xdr:sp macro="" textlink="">
      <xdr:nvSpPr>
        <xdr:cNvPr id="30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78845</xdr:rowOff>
    </xdr:to>
    <xdr:sp macro="" textlink="">
      <xdr:nvSpPr>
        <xdr:cNvPr id="30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78845</xdr:rowOff>
    </xdr:to>
    <xdr:sp macro="" textlink="">
      <xdr:nvSpPr>
        <xdr:cNvPr id="30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64568</xdr:rowOff>
    </xdr:to>
    <xdr:sp macro="" textlink="">
      <xdr:nvSpPr>
        <xdr:cNvPr id="30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64568</xdr:rowOff>
    </xdr:to>
    <xdr:sp macro="" textlink="">
      <xdr:nvSpPr>
        <xdr:cNvPr id="30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64569</xdr:rowOff>
    </xdr:to>
    <xdr:sp macro="" textlink="">
      <xdr:nvSpPr>
        <xdr:cNvPr id="30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64569</xdr:rowOff>
    </xdr:to>
    <xdr:sp macro="" textlink="">
      <xdr:nvSpPr>
        <xdr:cNvPr id="30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64569</xdr:rowOff>
    </xdr:to>
    <xdr:sp macro="" textlink="">
      <xdr:nvSpPr>
        <xdr:cNvPr id="30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64569</xdr:rowOff>
    </xdr:to>
    <xdr:sp macro="" textlink="">
      <xdr:nvSpPr>
        <xdr:cNvPr id="30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75670</xdr:rowOff>
    </xdr:to>
    <xdr:sp macro="" textlink="">
      <xdr:nvSpPr>
        <xdr:cNvPr id="30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75670</xdr:rowOff>
    </xdr:to>
    <xdr:sp macro="" textlink="">
      <xdr:nvSpPr>
        <xdr:cNvPr id="30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75670</xdr:rowOff>
    </xdr:to>
    <xdr:sp macro="" textlink="">
      <xdr:nvSpPr>
        <xdr:cNvPr id="30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75670</xdr:rowOff>
    </xdr:to>
    <xdr:sp macro="" textlink="">
      <xdr:nvSpPr>
        <xdr:cNvPr id="30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64570</xdr:rowOff>
    </xdr:to>
    <xdr:sp macro="" textlink="">
      <xdr:nvSpPr>
        <xdr:cNvPr id="30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64570</xdr:rowOff>
    </xdr:to>
    <xdr:sp macro="" textlink="">
      <xdr:nvSpPr>
        <xdr:cNvPr id="30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64570</xdr:rowOff>
    </xdr:to>
    <xdr:sp macro="" textlink="">
      <xdr:nvSpPr>
        <xdr:cNvPr id="30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64570</xdr:rowOff>
    </xdr:to>
    <xdr:sp macro="" textlink="">
      <xdr:nvSpPr>
        <xdr:cNvPr id="30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75671</xdr:rowOff>
    </xdr:to>
    <xdr:sp macro="" textlink="">
      <xdr:nvSpPr>
        <xdr:cNvPr id="30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B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75671</xdr:rowOff>
    </xdr:to>
    <xdr:sp macro="" textlink="">
      <xdr:nvSpPr>
        <xdr:cNvPr id="30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75671</xdr:rowOff>
    </xdr:to>
    <xdr:sp macro="" textlink="">
      <xdr:nvSpPr>
        <xdr:cNvPr id="30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75671</xdr:rowOff>
    </xdr:to>
    <xdr:sp macro="" textlink="">
      <xdr:nvSpPr>
        <xdr:cNvPr id="30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64569</xdr:rowOff>
    </xdr:to>
    <xdr:sp macro="" textlink="">
      <xdr:nvSpPr>
        <xdr:cNvPr id="30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64569</xdr:rowOff>
    </xdr:to>
    <xdr:sp macro="" textlink="">
      <xdr:nvSpPr>
        <xdr:cNvPr id="30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64569</xdr:rowOff>
    </xdr:to>
    <xdr:sp macro="" textlink="">
      <xdr:nvSpPr>
        <xdr:cNvPr id="30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64569</xdr:rowOff>
    </xdr:to>
    <xdr:sp macro="" textlink="">
      <xdr:nvSpPr>
        <xdr:cNvPr id="30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75670</xdr:rowOff>
    </xdr:to>
    <xdr:sp macro="" textlink="">
      <xdr:nvSpPr>
        <xdr:cNvPr id="30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75670</xdr:rowOff>
    </xdr:to>
    <xdr:sp macro="" textlink="">
      <xdr:nvSpPr>
        <xdr:cNvPr id="30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75670</xdr:rowOff>
    </xdr:to>
    <xdr:sp macro="" textlink="">
      <xdr:nvSpPr>
        <xdr:cNvPr id="30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75670</xdr:rowOff>
    </xdr:to>
    <xdr:sp macro="" textlink="">
      <xdr:nvSpPr>
        <xdr:cNvPr id="30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64568</xdr:rowOff>
    </xdr:to>
    <xdr:sp macro="" textlink="">
      <xdr:nvSpPr>
        <xdr:cNvPr id="30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64568</xdr:rowOff>
    </xdr:to>
    <xdr:sp macro="" textlink="">
      <xdr:nvSpPr>
        <xdr:cNvPr id="30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64569</xdr:rowOff>
    </xdr:to>
    <xdr:sp macro="" textlink="">
      <xdr:nvSpPr>
        <xdr:cNvPr id="30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64569</xdr:rowOff>
    </xdr:to>
    <xdr:sp macro="" textlink="">
      <xdr:nvSpPr>
        <xdr:cNvPr id="30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64569</xdr:rowOff>
    </xdr:to>
    <xdr:sp macro="" textlink="">
      <xdr:nvSpPr>
        <xdr:cNvPr id="30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64569</xdr:rowOff>
    </xdr:to>
    <xdr:sp macro="" textlink="">
      <xdr:nvSpPr>
        <xdr:cNvPr id="30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75670</xdr:rowOff>
    </xdr:to>
    <xdr:sp macro="" textlink="">
      <xdr:nvSpPr>
        <xdr:cNvPr id="30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75670</xdr:rowOff>
    </xdr:to>
    <xdr:sp macro="" textlink="">
      <xdr:nvSpPr>
        <xdr:cNvPr id="30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75670</xdr:rowOff>
    </xdr:to>
    <xdr:sp macro="" textlink="">
      <xdr:nvSpPr>
        <xdr:cNvPr id="30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75670</xdr:rowOff>
    </xdr:to>
    <xdr:sp macro="" textlink="">
      <xdr:nvSpPr>
        <xdr:cNvPr id="30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64570</xdr:rowOff>
    </xdr:to>
    <xdr:sp macro="" textlink="">
      <xdr:nvSpPr>
        <xdr:cNvPr id="30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64570</xdr:rowOff>
    </xdr:to>
    <xdr:sp macro="" textlink="">
      <xdr:nvSpPr>
        <xdr:cNvPr id="30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64570</xdr:rowOff>
    </xdr:to>
    <xdr:sp macro="" textlink="">
      <xdr:nvSpPr>
        <xdr:cNvPr id="30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64570</xdr:rowOff>
    </xdr:to>
    <xdr:sp macro="" textlink="">
      <xdr:nvSpPr>
        <xdr:cNvPr id="30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75671</xdr:rowOff>
    </xdr:to>
    <xdr:sp macro="" textlink="">
      <xdr:nvSpPr>
        <xdr:cNvPr id="30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75671</xdr:rowOff>
    </xdr:to>
    <xdr:sp macro="" textlink="">
      <xdr:nvSpPr>
        <xdr:cNvPr id="30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75671</xdr:rowOff>
    </xdr:to>
    <xdr:sp macro="" textlink="">
      <xdr:nvSpPr>
        <xdr:cNvPr id="30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75671</xdr:rowOff>
    </xdr:to>
    <xdr:sp macro="" textlink="">
      <xdr:nvSpPr>
        <xdr:cNvPr id="31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64569</xdr:rowOff>
    </xdr:to>
    <xdr:sp macro="" textlink="">
      <xdr:nvSpPr>
        <xdr:cNvPr id="31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64569</xdr:rowOff>
    </xdr:to>
    <xdr:sp macro="" textlink="">
      <xdr:nvSpPr>
        <xdr:cNvPr id="31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64569</xdr:rowOff>
    </xdr:to>
    <xdr:sp macro="" textlink="">
      <xdr:nvSpPr>
        <xdr:cNvPr id="31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64569</xdr:rowOff>
    </xdr:to>
    <xdr:sp macro="" textlink="">
      <xdr:nvSpPr>
        <xdr:cNvPr id="31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75670</xdr:rowOff>
    </xdr:to>
    <xdr:sp macro="" textlink="">
      <xdr:nvSpPr>
        <xdr:cNvPr id="31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75670</xdr:rowOff>
    </xdr:to>
    <xdr:sp macro="" textlink="">
      <xdr:nvSpPr>
        <xdr:cNvPr id="31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75670</xdr:rowOff>
    </xdr:to>
    <xdr:sp macro="" textlink="">
      <xdr:nvSpPr>
        <xdr:cNvPr id="31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75670</xdr:rowOff>
    </xdr:to>
    <xdr:sp macro="" textlink="">
      <xdr:nvSpPr>
        <xdr:cNvPr id="31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64568</xdr:rowOff>
    </xdr:to>
    <xdr:sp macro="" textlink="">
      <xdr:nvSpPr>
        <xdr:cNvPr id="31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64568</xdr:rowOff>
    </xdr:to>
    <xdr:sp macro="" textlink="">
      <xdr:nvSpPr>
        <xdr:cNvPr id="31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64569</xdr:rowOff>
    </xdr:to>
    <xdr:sp macro="" textlink="">
      <xdr:nvSpPr>
        <xdr:cNvPr id="31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64569</xdr:rowOff>
    </xdr:to>
    <xdr:sp macro="" textlink="">
      <xdr:nvSpPr>
        <xdr:cNvPr id="31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64569</xdr:rowOff>
    </xdr:to>
    <xdr:sp macro="" textlink="">
      <xdr:nvSpPr>
        <xdr:cNvPr id="31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64569</xdr:rowOff>
    </xdr:to>
    <xdr:sp macro="" textlink="">
      <xdr:nvSpPr>
        <xdr:cNvPr id="31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75670</xdr:rowOff>
    </xdr:to>
    <xdr:sp macro="" textlink="">
      <xdr:nvSpPr>
        <xdr:cNvPr id="31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75670</xdr:rowOff>
    </xdr:to>
    <xdr:sp macro="" textlink="">
      <xdr:nvSpPr>
        <xdr:cNvPr id="31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75670</xdr:rowOff>
    </xdr:to>
    <xdr:sp macro="" textlink="">
      <xdr:nvSpPr>
        <xdr:cNvPr id="31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75670</xdr:rowOff>
    </xdr:to>
    <xdr:sp macro="" textlink="">
      <xdr:nvSpPr>
        <xdr:cNvPr id="31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64570</xdr:rowOff>
    </xdr:to>
    <xdr:sp macro="" textlink="">
      <xdr:nvSpPr>
        <xdr:cNvPr id="31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64570</xdr:rowOff>
    </xdr:to>
    <xdr:sp macro="" textlink="">
      <xdr:nvSpPr>
        <xdr:cNvPr id="31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64570</xdr:rowOff>
    </xdr:to>
    <xdr:sp macro="" textlink="">
      <xdr:nvSpPr>
        <xdr:cNvPr id="31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64570</xdr:rowOff>
    </xdr:to>
    <xdr:sp macro="" textlink="">
      <xdr:nvSpPr>
        <xdr:cNvPr id="31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75671</xdr:rowOff>
    </xdr:to>
    <xdr:sp macro="" textlink="">
      <xdr:nvSpPr>
        <xdr:cNvPr id="31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75671</xdr:rowOff>
    </xdr:to>
    <xdr:sp macro="" textlink="">
      <xdr:nvSpPr>
        <xdr:cNvPr id="31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75671</xdr:rowOff>
    </xdr:to>
    <xdr:sp macro="" textlink="">
      <xdr:nvSpPr>
        <xdr:cNvPr id="31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75671</xdr:rowOff>
    </xdr:to>
    <xdr:sp macro="" textlink="">
      <xdr:nvSpPr>
        <xdr:cNvPr id="31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64569</xdr:rowOff>
    </xdr:to>
    <xdr:sp macro="" textlink="">
      <xdr:nvSpPr>
        <xdr:cNvPr id="31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64569</xdr:rowOff>
    </xdr:to>
    <xdr:sp macro="" textlink="">
      <xdr:nvSpPr>
        <xdr:cNvPr id="31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64569</xdr:rowOff>
    </xdr:to>
    <xdr:sp macro="" textlink="">
      <xdr:nvSpPr>
        <xdr:cNvPr id="31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64569</xdr:rowOff>
    </xdr:to>
    <xdr:sp macro="" textlink="">
      <xdr:nvSpPr>
        <xdr:cNvPr id="31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75670</xdr:rowOff>
    </xdr:to>
    <xdr:sp macro="" textlink="">
      <xdr:nvSpPr>
        <xdr:cNvPr id="31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75670</xdr:rowOff>
    </xdr:to>
    <xdr:sp macro="" textlink="">
      <xdr:nvSpPr>
        <xdr:cNvPr id="31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75670</xdr:rowOff>
    </xdr:to>
    <xdr:sp macro="" textlink="">
      <xdr:nvSpPr>
        <xdr:cNvPr id="31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75670</xdr:rowOff>
    </xdr:to>
    <xdr:sp macro="" textlink="">
      <xdr:nvSpPr>
        <xdr:cNvPr id="31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64568</xdr:rowOff>
    </xdr:to>
    <xdr:sp macro="" textlink="">
      <xdr:nvSpPr>
        <xdr:cNvPr id="31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64568</xdr:rowOff>
    </xdr:to>
    <xdr:sp macro="" textlink="">
      <xdr:nvSpPr>
        <xdr:cNvPr id="31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64569</xdr:rowOff>
    </xdr:to>
    <xdr:sp macro="" textlink="">
      <xdr:nvSpPr>
        <xdr:cNvPr id="31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64569</xdr:rowOff>
    </xdr:to>
    <xdr:sp macro="" textlink="">
      <xdr:nvSpPr>
        <xdr:cNvPr id="31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64569</xdr:rowOff>
    </xdr:to>
    <xdr:sp macro="" textlink="">
      <xdr:nvSpPr>
        <xdr:cNvPr id="31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64569</xdr:rowOff>
    </xdr:to>
    <xdr:sp macro="" textlink="">
      <xdr:nvSpPr>
        <xdr:cNvPr id="31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75670</xdr:rowOff>
    </xdr:to>
    <xdr:sp macro="" textlink="">
      <xdr:nvSpPr>
        <xdr:cNvPr id="31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75670</xdr:rowOff>
    </xdr:to>
    <xdr:sp macro="" textlink="">
      <xdr:nvSpPr>
        <xdr:cNvPr id="31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75670</xdr:rowOff>
    </xdr:to>
    <xdr:sp macro="" textlink="">
      <xdr:nvSpPr>
        <xdr:cNvPr id="31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75670</xdr:rowOff>
    </xdr:to>
    <xdr:sp macro="" textlink="">
      <xdr:nvSpPr>
        <xdr:cNvPr id="31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64570</xdr:rowOff>
    </xdr:to>
    <xdr:sp macro="" textlink="">
      <xdr:nvSpPr>
        <xdr:cNvPr id="31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64570</xdr:rowOff>
    </xdr:to>
    <xdr:sp macro="" textlink="">
      <xdr:nvSpPr>
        <xdr:cNvPr id="31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64570</xdr:rowOff>
    </xdr:to>
    <xdr:sp macro="" textlink="">
      <xdr:nvSpPr>
        <xdr:cNvPr id="31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64570</xdr:rowOff>
    </xdr:to>
    <xdr:sp macro="" textlink="">
      <xdr:nvSpPr>
        <xdr:cNvPr id="31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75671</xdr:rowOff>
    </xdr:to>
    <xdr:sp macro="" textlink="">
      <xdr:nvSpPr>
        <xdr:cNvPr id="31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75671</xdr:rowOff>
    </xdr:to>
    <xdr:sp macro="" textlink="">
      <xdr:nvSpPr>
        <xdr:cNvPr id="31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75671</xdr:rowOff>
    </xdr:to>
    <xdr:sp macro="" textlink="">
      <xdr:nvSpPr>
        <xdr:cNvPr id="31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75671</xdr:rowOff>
    </xdr:to>
    <xdr:sp macro="" textlink="">
      <xdr:nvSpPr>
        <xdr:cNvPr id="31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64569</xdr:rowOff>
    </xdr:to>
    <xdr:sp macro="" textlink="">
      <xdr:nvSpPr>
        <xdr:cNvPr id="31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64569</xdr:rowOff>
    </xdr:to>
    <xdr:sp macro="" textlink="">
      <xdr:nvSpPr>
        <xdr:cNvPr id="31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64569</xdr:rowOff>
    </xdr:to>
    <xdr:sp macro="" textlink="">
      <xdr:nvSpPr>
        <xdr:cNvPr id="31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64569</xdr:rowOff>
    </xdr:to>
    <xdr:sp macro="" textlink="">
      <xdr:nvSpPr>
        <xdr:cNvPr id="31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75670</xdr:rowOff>
    </xdr:to>
    <xdr:sp macro="" textlink="">
      <xdr:nvSpPr>
        <xdr:cNvPr id="31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75670</xdr:rowOff>
    </xdr:to>
    <xdr:sp macro="" textlink="">
      <xdr:nvSpPr>
        <xdr:cNvPr id="31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75670</xdr:rowOff>
    </xdr:to>
    <xdr:sp macro="" textlink="">
      <xdr:nvSpPr>
        <xdr:cNvPr id="31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9</xdr:col>
      <xdr:colOff>0</xdr:colOff>
      <xdr:row>105</xdr:row>
      <xdr:rowOff>0</xdr:rowOff>
    </xdr:from>
    <xdr:to>
      <xdr:col>9</xdr:col>
      <xdr:colOff>45719</xdr:colOff>
      <xdr:row>107</xdr:row>
      <xdr:rowOff>75670</xdr:rowOff>
    </xdr:to>
    <xdr:sp macro="" textlink="">
      <xdr:nvSpPr>
        <xdr:cNvPr id="31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C0000}"/>
            </a:ext>
          </a:extLst>
        </xdr:cNvPr>
        <xdr:cNvSpPr>
          <a:spLocks noChangeAspect="1" noChangeArrowheads="1"/>
        </xdr:cNvSpPr>
      </xdr:nvSpPr>
      <xdr:spPr bwMode="auto">
        <a:xfrm>
          <a:off x="7019925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67743</xdr:rowOff>
    </xdr:to>
    <xdr:sp macro="" textlink="">
      <xdr:nvSpPr>
        <xdr:cNvPr id="31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67743</xdr:rowOff>
    </xdr:to>
    <xdr:sp macro="" textlink="">
      <xdr:nvSpPr>
        <xdr:cNvPr id="31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67744</xdr:rowOff>
    </xdr:to>
    <xdr:sp macro="" textlink="">
      <xdr:nvSpPr>
        <xdr:cNvPr id="31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67744</xdr:rowOff>
    </xdr:to>
    <xdr:sp macro="" textlink="">
      <xdr:nvSpPr>
        <xdr:cNvPr id="31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67744</xdr:rowOff>
    </xdr:to>
    <xdr:sp macro="" textlink="">
      <xdr:nvSpPr>
        <xdr:cNvPr id="31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67744</xdr:rowOff>
    </xdr:to>
    <xdr:sp macro="" textlink="">
      <xdr:nvSpPr>
        <xdr:cNvPr id="31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78845</xdr:rowOff>
    </xdr:to>
    <xdr:sp macro="" textlink="">
      <xdr:nvSpPr>
        <xdr:cNvPr id="31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78845</xdr:rowOff>
    </xdr:to>
    <xdr:sp macro="" textlink="">
      <xdr:nvSpPr>
        <xdr:cNvPr id="31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78845</xdr:rowOff>
    </xdr:to>
    <xdr:sp macro="" textlink="">
      <xdr:nvSpPr>
        <xdr:cNvPr id="31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78845</xdr:rowOff>
    </xdr:to>
    <xdr:sp macro="" textlink="">
      <xdr:nvSpPr>
        <xdr:cNvPr id="31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67745</xdr:rowOff>
    </xdr:to>
    <xdr:sp macro="" textlink="">
      <xdr:nvSpPr>
        <xdr:cNvPr id="31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67745</xdr:rowOff>
    </xdr:to>
    <xdr:sp macro="" textlink="">
      <xdr:nvSpPr>
        <xdr:cNvPr id="31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67745</xdr:rowOff>
    </xdr:to>
    <xdr:sp macro="" textlink="">
      <xdr:nvSpPr>
        <xdr:cNvPr id="31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67745</xdr:rowOff>
    </xdr:to>
    <xdr:sp macro="" textlink="">
      <xdr:nvSpPr>
        <xdr:cNvPr id="31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78846</xdr:rowOff>
    </xdr:to>
    <xdr:sp macro="" textlink="">
      <xdr:nvSpPr>
        <xdr:cNvPr id="31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78846</xdr:rowOff>
    </xdr:to>
    <xdr:sp macro="" textlink="">
      <xdr:nvSpPr>
        <xdr:cNvPr id="31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78846</xdr:rowOff>
    </xdr:to>
    <xdr:sp macro="" textlink="">
      <xdr:nvSpPr>
        <xdr:cNvPr id="31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78846</xdr:rowOff>
    </xdr:to>
    <xdr:sp macro="" textlink="">
      <xdr:nvSpPr>
        <xdr:cNvPr id="31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67744</xdr:rowOff>
    </xdr:to>
    <xdr:sp macro="" textlink="">
      <xdr:nvSpPr>
        <xdr:cNvPr id="31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67744</xdr:rowOff>
    </xdr:to>
    <xdr:sp macro="" textlink="">
      <xdr:nvSpPr>
        <xdr:cNvPr id="31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67744</xdr:rowOff>
    </xdr:to>
    <xdr:sp macro="" textlink="">
      <xdr:nvSpPr>
        <xdr:cNvPr id="31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67744</xdr:rowOff>
    </xdr:to>
    <xdr:sp macro="" textlink="">
      <xdr:nvSpPr>
        <xdr:cNvPr id="31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78845</xdr:rowOff>
    </xdr:to>
    <xdr:sp macro="" textlink="">
      <xdr:nvSpPr>
        <xdr:cNvPr id="31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78845</xdr:rowOff>
    </xdr:to>
    <xdr:sp macro="" textlink="">
      <xdr:nvSpPr>
        <xdr:cNvPr id="31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78845</xdr:rowOff>
    </xdr:to>
    <xdr:sp macro="" textlink="">
      <xdr:nvSpPr>
        <xdr:cNvPr id="31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78845</xdr:rowOff>
    </xdr:to>
    <xdr:sp macro="" textlink="">
      <xdr:nvSpPr>
        <xdr:cNvPr id="31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67743</xdr:rowOff>
    </xdr:to>
    <xdr:sp macro="" textlink="">
      <xdr:nvSpPr>
        <xdr:cNvPr id="31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67743</xdr:rowOff>
    </xdr:to>
    <xdr:sp macro="" textlink="">
      <xdr:nvSpPr>
        <xdr:cNvPr id="31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67744</xdr:rowOff>
    </xdr:to>
    <xdr:sp macro="" textlink="">
      <xdr:nvSpPr>
        <xdr:cNvPr id="31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67744</xdr:rowOff>
    </xdr:to>
    <xdr:sp macro="" textlink="">
      <xdr:nvSpPr>
        <xdr:cNvPr id="31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67744</xdr:rowOff>
    </xdr:to>
    <xdr:sp macro="" textlink="">
      <xdr:nvSpPr>
        <xdr:cNvPr id="31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67744</xdr:rowOff>
    </xdr:to>
    <xdr:sp macro="" textlink="">
      <xdr:nvSpPr>
        <xdr:cNvPr id="31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78845</xdr:rowOff>
    </xdr:to>
    <xdr:sp macro="" textlink="">
      <xdr:nvSpPr>
        <xdr:cNvPr id="31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78845</xdr:rowOff>
    </xdr:to>
    <xdr:sp macro="" textlink="">
      <xdr:nvSpPr>
        <xdr:cNvPr id="31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78845</xdr:rowOff>
    </xdr:to>
    <xdr:sp macro="" textlink="">
      <xdr:nvSpPr>
        <xdr:cNvPr id="31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78845</xdr:rowOff>
    </xdr:to>
    <xdr:sp macro="" textlink="">
      <xdr:nvSpPr>
        <xdr:cNvPr id="31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67745</xdr:rowOff>
    </xdr:to>
    <xdr:sp macro="" textlink="">
      <xdr:nvSpPr>
        <xdr:cNvPr id="31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67745</xdr:rowOff>
    </xdr:to>
    <xdr:sp macro="" textlink="">
      <xdr:nvSpPr>
        <xdr:cNvPr id="31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67745</xdr:rowOff>
    </xdr:to>
    <xdr:sp macro="" textlink="">
      <xdr:nvSpPr>
        <xdr:cNvPr id="31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67745</xdr:rowOff>
    </xdr:to>
    <xdr:sp macro="" textlink="">
      <xdr:nvSpPr>
        <xdr:cNvPr id="32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78846</xdr:rowOff>
    </xdr:to>
    <xdr:sp macro="" textlink="">
      <xdr:nvSpPr>
        <xdr:cNvPr id="32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78846</xdr:rowOff>
    </xdr:to>
    <xdr:sp macro="" textlink="">
      <xdr:nvSpPr>
        <xdr:cNvPr id="32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78846</xdr:rowOff>
    </xdr:to>
    <xdr:sp macro="" textlink="">
      <xdr:nvSpPr>
        <xdr:cNvPr id="32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78846</xdr:rowOff>
    </xdr:to>
    <xdr:sp macro="" textlink="">
      <xdr:nvSpPr>
        <xdr:cNvPr id="32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67744</xdr:rowOff>
    </xdr:to>
    <xdr:sp macro="" textlink="">
      <xdr:nvSpPr>
        <xdr:cNvPr id="32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67744</xdr:rowOff>
    </xdr:to>
    <xdr:sp macro="" textlink="">
      <xdr:nvSpPr>
        <xdr:cNvPr id="32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67744</xdr:rowOff>
    </xdr:to>
    <xdr:sp macro="" textlink="">
      <xdr:nvSpPr>
        <xdr:cNvPr id="32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67744</xdr:rowOff>
    </xdr:to>
    <xdr:sp macro="" textlink="">
      <xdr:nvSpPr>
        <xdr:cNvPr id="32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78845</xdr:rowOff>
    </xdr:to>
    <xdr:sp macro="" textlink="">
      <xdr:nvSpPr>
        <xdr:cNvPr id="32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78845</xdr:rowOff>
    </xdr:to>
    <xdr:sp macro="" textlink="">
      <xdr:nvSpPr>
        <xdr:cNvPr id="32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78845</xdr:rowOff>
    </xdr:to>
    <xdr:sp macro="" textlink="">
      <xdr:nvSpPr>
        <xdr:cNvPr id="32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78845</xdr:rowOff>
    </xdr:to>
    <xdr:sp macro="" textlink="">
      <xdr:nvSpPr>
        <xdr:cNvPr id="32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67743</xdr:rowOff>
    </xdr:to>
    <xdr:sp macro="" textlink="">
      <xdr:nvSpPr>
        <xdr:cNvPr id="32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67743</xdr:rowOff>
    </xdr:to>
    <xdr:sp macro="" textlink="">
      <xdr:nvSpPr>
        <xdr:cNvPr id="32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67744</xdr:rowOff>
    </xdr:to>
    <xdr:sp macro="" textlink="">
      <xdr:nvSpPr>
        <xdr:cNvPr id="32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67744</xdr:rowOff>
    </xdr:to>
    <xdr:sp macro="" textlink="">
      <xdr:nvSpPr>
        <xdr:cNvPr id="32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67744</xdr:rowOff>
    </xdr:to>
    <xdr:sp macro="" textlink="">
      <xdr:nvSpPr>
        <xdr:cNvPr id="32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67744</xdr:rowOff>
    </xdr:to>
    <xdr:sp macro="" textlink="">
      <xdr:nvSpPr>
        <xdr:cNvPr id="32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78845</xdr:rowOff>
    </xdr:to>
    <xdr:sp macro="" textlink="">
      <xdr:nvSpPr>
        <xdr:cNvPr id="32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78845</xdr:rowOff>
    </xdr:to>
    <xdr:sp macro="" textlink="">
      <xdr:nvSpPr>
        <xdr:cNvPr id="32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78845</xdr:rowOff>
    </xdr:to>
    <xdr:sp macro="" textlink="">
      <xdr:nvSpPr>
        <xdr:cNvPr id="32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78845</xdr:rowOff>
    </xdr:to>
    <xdr:sp macro="" textlink="">
      <xdr:nvSpPr>
        <xdr:cNvPr id="32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67745</xdr:rowOff>
    </xdr:to>
    <xdr:sp macro="" textlink="">
      <xdr:nvSpPr>
        <xdr:cNvPr id="32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67745</xdr:rowOff>
    </xdr:to>
    <xdr:sp macro="" textlink="">
      <xdr:nvSpPr>
        <xdr:cNvPr id="32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67745</xdr:rowOff>
    </xdr:to>
    <xdr:sp macro="" textlink="">
      <xdr:nvSpPr>
        <xdr:cNvPr id="32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67745</xdr:rowOff>
    </xdr:to>
    <xdr:sp macro="" textlink="">
      <xdr:nvSpPr>
        <xdr:cNvPr id="32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78846</xdr:rowOff>
    </xdr:to>
    <xdr:sp macro="" textlink="">
      <xdr:nvSpPr>
        <xdr:cNvPr id="32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78846</xdr:rowOff>
    </xdr:to>
    <xdr:sp macro="" textlink="">
      <xdr:nvSpPr>
        <xdr:cNvPr id="32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78846</xdr:rowOff>
    </xdr:to>
    <xdr:sp macro="" textlink="">
      <xdr:nvSpPr>
        <xdr:cNvPr id="32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78846</xdr:rowOff>
    </xdr:to>
    <xdr:sp macro="" textlink="">
      <xdr:nvSpPr>
        <xdr:cNvPr id="32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67744</xdr:rowOff>
    </xdr:to>
    <xdr:sp macro="" textlink="">
      <xdr:nvSpPr>
        <xdr:cNvPr id="32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67744</xdr:rowOff>
    </xdr:to>
    <xdr:sp macro="" textlink="">
      <xdr:nvSpPr>
        <xdr:cNvPr id="32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67744</xdr:rowOff>
    </xdr:to>
    <xdr:sp macro="" textlink="">
      <xdr:nvSpPr>
        <xdr:cNvPr id="32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67744</xdr:rowOff>
    </xdr:to>
    <xdr:sp macro="" textlink="">
      <xdr:nvSpPr>
        <xdr:cNvPr id="32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78845</xdr:rowOff>
    </xdr:to>
    <xdr:sp macro="" textlink="">
      <xdr:nvSpPr>
        <xdr:cNvPr id="32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78845</xdr:rowOff>
    </xdr:to>
    <xdr:sp macro="" textlink="">
      <xdr:nvSpPr>
        <xdr:cNvPr id="32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78845</xdr:rowOff>
    </xdr:to>
    <xdr:sp macro="" textlink="">
      <xdr:nvSpPr>
        <xdr:cNvPr id="32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78845</xdr:rowOff>
    </xdr:to>
    <xdr:sp macro="" textlink="">
      <xdr:nvSpPr>
        <xdr:cNvPr id="32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67743</xdr:rowOff>
    </xdr:to>
    <xdr:sp macro="" textlink="">
      <xdr:nvSpPr>
        <xdr:cNvPr id="32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67743</xdr:rowOff>
    </xdr:to>
    <xdr:sp macro="" textlink="">
      <xdr:nvSpPr>
        <xdr:cNvPr id="32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3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67744</xdr:rowOff>
    </xdr:to>
    <xdr:sp macro="" textlink="">
      <xdr:nvSpPr>
        <xdr:cNvPr id="32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67744</xdr:rowOff>
    </xdr:to>
    <xdr:sp macro="" textlink="">
      <xdr:nvSpPr>
        <xdr:cNvPr id="32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67744</xdr:rowOff>
    </xdr:to>
    <xdr:sp macro="" textlink="">
      <xdr:nvSpPr>
        <xdr:cNvPr id="32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67744</xdr:rowOff>
    </xdr:to>
    <xdr:sp macro="" textlink="">
      <xdr:nvSpPr>
        <xdr:cNvPr id="32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78845</xdr:rowOff>
    </xdr:to>
    <xdr:sp macro="" textlink="">
      <xdr:nvSpPr>
        <xdr:cNvPr id="32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78845</xdr:rowOff>
    </xdr:to>
    <xdr:sp macro="" textlink="">
      <xdr:nvSpPr>
        <xdr:cNvPr id="32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78845</xdr:rowOff>
    </xdr:to>
    <xdr:sp macro="" textlink="">
      <xdr:nvSpPr>
        <xdr:cNvPr id="32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78845</xdr:rowOff>
    </xdr:to>
    <xdr:sp macro="" textlink="">
      <xdr:nvSpPr>
        <xdr:cNvPr id="32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67745</xdr:rowOff>
    </xdr:to>
    <xdr:sp macro="" textlink="">
      <xdr:nvSpPr>
        <xdr:cNvPr id="32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67745</xdr:rowOff>
    </xdr:to>
    <xdr:sp macro="" textlink="">
      <xdr:nvSpPr>
        <xdr:cNvPr id="32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67745</xdr:rowOff>
    </xdr:to>
    <xdr:sp macro="" textlink="">
      <xdr:nvSpPr>
        <xdr:cNvPr id="32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67745</xdr:rowOff>
    </xdr:to>
    <xdr:sp macro="" textlink="">
      <xdr:nvSpPr>
        <xdr:cNvPr id="32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78846</xdr:rowOff>
    </xdr:to>
    <xdr:sp macro="" textlink="">
      <xdr:nvSpPr>
        <xdr:cNvPr id="32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78846</xdr:rowOff>
    </xdr:to>
    <xdr:sp macro="" textlink="">
      <xdr:nvSpPr>
        <xdr:cNvPr id="32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78846</xdr:rowOff>
    </xdr:to>
    <xdr:sp macro="" textlink="">
      <xdr:nvSpPr>
        <xdr:cNvPr id="32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78846</xdr:rowOff>
    </xdr:to>
    <xdr:sp macro="" textlink="">
      <xdr:nvSpPr>
        <xdr:cNvPr id="32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6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67744</xdr:rowOff>
    </xdr:to>
    <xdr:sp macro="" textlink="">
      <xdr:nvSpPr>
        <xdr:cNvPr id="32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67744</xdr:rowOff>
    </xdr:to>
    <xdr:sp macro="" textlink="">
      <xdr:nvSpPr>
        <xdr:cNvPr id="32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67744</xdr:rowOff>
    </xdr:to>
    <xdr:sp macro="" textlink="">
      <xdr:nvSpPr>
        <xdr:cNvPr id="32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67744</xdr:rowOff>
    </xdr:to>
    <xdr:sp macro="" textlink="">
      <xdr:nvSpPr>
        <xdr:cNvPr id="32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5844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78845</xdr:rowOff>
    </xdr:to>
    <xdr:sp macro="" textlink="">
      <xdr:nvSpPr>
        <xdr:cNvPr id="32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78845</xdr:rowOff>
    </xdr:to>
    <xdr:sp macro="" textlink="">
      <xdr:nvSpPr>
        <xdr:cNvPr id="32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78845</xdr:rowOff>
    </xdr:to>
    <xdr:sp macro="" textlink="">
      <xdr:nvSpPr>
        <xdr:cNvPr id="32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78845</xdr:rowOff>
    </xdr:to>
    <xdr:sp macro="" textlink="">
      <xdr:nvSpPr>
        <xdr:cNvPr id="32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6945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64568</xdr:rowOff>
    </xdr:to>
    <xdr:sp macro="" textlink="">
      <xdr:nvSpPr>
        <xdr:cNvPr id="32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64568</xdr:rowOff>
    </xdr:to>
    <xdr:sp macro="" textlink="">
      <xdr:nvSpPr>
        <xdr:cNvPr id="32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64569</xdr:rowOff>
    </xdr:to>
    <xdr:sp macro="" textlink="">
      <xdr:nvSpPr>
        <xdr:cNvPr id="32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64569</xdr:rowOff>
    </xdr:to>
    <xdr:sp macro="" textlink="">
      <xdr:nvSpPr>
        <xdr:cNvPr id="32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64569</xdr:rowOff>
    </xdr:to>
    <xdr:sp macro="" textlink="">
      <xdr:nvSpPr>
        <xdr:cNvPr id="32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64569</xdr:rowOff>
    </xdr:to>
    <xdr:sp macro="" textlink="">
      <xdr:nvSpPr>
        <xdr:cNvPr id="32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75670</xdr:rowOff>
    </xdr:to>
    <xdr:sp macro="" textlink="">
      <xdr:nvSpPr>
        <xdr:cNvPr id="32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75670</xdr:rowOff>
    </xdr:to>
    <xdr:sp macro="" textlink="">
      <xdr:nvSpPr>
        <xdr:cNvPr id="32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75670</xdr:rowOff>
    </xdr:to>
    <xdr:sp macro="" textlink="">
      <xdr:nvSpPr>
        <xdr:cNvPr id="32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75670</xdr:rowOff>
    </xdr:to>
    <xdr:sp macro="" textlink="">
      <xdr:nvSpPr>
        <xdr:cNvPr id="32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64570</xdr:rowOff>
    </xdr:to>
    <xdr:sp macro="" textlink="">
      <xdr:nvSpPr>
        <xdr:cNvPr id="32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64570</xdr:rowOff>
    </xdr:to>
    <xdr:sp macro="" textlink="">
      <xdr:nvSpPr>
        <xdr:cNvPr id="32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64570</xdr:rowOff>
    </xdr:to>
    <xdr:sp macro="" textlink="">
      <xdr:nvSpPr>
        <xdr:cNvPr id="32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64570</xdr:rowOff>
    </xdr:to>
    <xdr:sp macro="" textlink="">
      <xdr:nvSpPr>
        <xdr:cNvPr id="32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75671</xdr:rowOff>
    </xdr:to>
    <xdr:sp macro="" textlink="">
      <xdr:nvSpPr>
        <xdr:cNvPr id="32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75671</xdr:rowOff>
    </xdr:to>
    <xdr:sp macro="" textlink="">
      <xdr:nvSpPr>
        <xdr:cNvPr id="32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75671</xdr:rowOff>
    </xdr:to>
    <xdr:sp macro="" textlink="">
      <xdr:nvSpPr>
        <xdr:cNvPr id="32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75671</xdr:rowOff>
    </xdr:to>
    <xdr:sp macro="" textlink="">
      <xdr:nvSpPr>
        <xdr:cNvPr id="32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64569</xdr:rowOff>
    </xdr:to>
    <xdr:sp macro="" textlink="">
      <xdr:nvSpPr>
        <xdr:cNvPr id="32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64569</xdr:rowOff>
    </xdr:to>
    <xdr:sp macro="" textlink="">
      <xdr:nvSpPr>
        <xdr:cNvPr id="32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64569</xdr:rowOff>
    </xdr:to>
    <xdr:sp macro="" textlink="">
      <xdr:nvSpPr>
        <xdr:cNvPr id="32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64569</xdr:rowOff>
    </xdr:to>
    <xdr:sp macro="" textlink="">
      <xdr:nvSpPr>
        <xdr:cNvPr id="32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75670</xdr:rowOff>
    </xdr:to>
    <xdr:sp macro="" textlink="">
      <xdr:nvSpPr>
        <xdr:cNvPr id="32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75670</xdr:rowOff>
    </xdr:to>
    <xdr:sp macro="" textlink="">
      <xdr:nvSpPr>
        <xdr:cNvPr id="32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75670</xdr:rowOff>
    </xdr:to>
    <xdr:sp macro="" textlink="">
      <xdr:nvSpPr>
        <xdr:cNvPr id="32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75670</xdr:rowOff>
    </xdr:to>
    <xdr:sp macro="" textlink="">
      <xdr:nvSpPr>
        <xdr:cNvPr id="32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64568</xdr:rowOff>
    </xdr:to>
    <xdr:sp macro="" textlink="">
      <xdr:nvSpPr>
        <xdr:cNvPr id="32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64568</xdr:rowOff>
    </xdr:to>
    <xdr:sp macro="" textlink="">
      <xdr:nvSpPr>
        <xdr:cNvPr id="32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64569</xdr:rowOff>
    </xdr:to>
    <xdr:sp macro="" textlink="">
      <xdr:nvSpPr>
        <xdr:cNvPr id="32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64569</xdr:rowOff>
    </xdr:to>
    <xdr:sp macro="" textlink="">
      <xdr:nvSpPr>
        <xdr:cNvPr id="32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64569</xdr:rowOff>
    </xdr:to>
    <xdr:sp macro="" textlink="">
      <xdr:nvSpPr>
        <xdr:cNvPr id="32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64569</xdr:rowOff>
    </xdr:to>
    <xdr:sp macro="" textlink="">
      <xdr:nvSpPr>
        <xdr:cNvPr id="32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75670</xdr:rowOff>
    </xdr:to>
    <xdr:sp macro="" textlink="">
      <xdr:nvSpPr>
        <xdr:cNvPr id="32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75670</xdr:rowOff>
    </xdr:to>
    <xdr:sp macro="" textlink="">
      <xdr:nvSpPr>
        <xdr:cNvPr id="32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75670</xdr:rowOff>
    </xdr:to>
    <xdr:sp macro="" textlink="">
      <xdr:nvSpPr>
        <xdr:cNvPr id="32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75670</xdr:rowOff>
    </xdr:to>
    <xdr:sp macro="" textlink="">
      <xdr:nvSpPr>
        <xdr:cNvPr id="33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64570</xdr:rowOff>
    </xdr:to>
    <xdr:sp macro="" textlink="">
      <xdr:nvSpPr>
        <xdr:cNvPr id="33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64570</xdr:rowOff>
    </xdr:to>
    <xdr:sp macro="" textlink="">
      <xdr:nvSpPr>
        <xdr:cNvPr id="33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64570</xdr:rowOff>
    </xdr:to>
    <xdr:sp macro="" textlink="">
      <xdr:nvSpPr>
        <xdr:cNvPr id="33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64570</xdr:rowOff>
    </xdr:to>
    <xdr:sp macro="" textlink="">
      <xdr:nvSpPr>
        <xdr:cNvPr id="33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75671</xdr:rowOff>
    </xdr:to>
    <xdr:sp macro="" textlink="">
      <xdr:nvSpPr>
        <xdr:cNvPr id="33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75671</xdr:rowOff>
    </xdr:to>
    <xdr:sp macro="" textlink="">
      <xdr:nvSpPr>
        <xdr:cNvPr id="33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75671</xdr:rowOff>
    </xdr:to>
    <xdr:sp macro="" textlink="">
      <xdr:nvSpPr>
        <xdr:cNvPr id="33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75671</xdr:rowOff>
    </xdr:to>
    <xdr:sp macro="" textlink="">
      <xdr:nvSpPr>
        <xdr:cNvPr id="33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64569</xdr:rowOff>
    </xdr:to>
    <xdr:sp macro="" textlink="">
      <xdr:nvSpPr>
        <xdr:cNvPr id="33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64569</xdr:rowOff>
    </xdr:to>
    <xdr:sp macro="" textlink="">
      <xdr:nvSpPr>
        <xdr:cNvPr id="33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64569</xdr:rowOff>
    </xdr:to>
    <xdr:sp macro="" textlink="">
      <xdr:nvSpPr>
        <xdr:cNvPr id="33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64569</xdr:rowOff>
    </xdr:to>
    <xdr:sp macro="" textlink="">
      <xdr:nvSpPr>
        <xdr:cNvPr id="33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75670</xdr:rowOff>
    </xdr:to>
    <xdr:sp macro="" textlink="">
      <xdr:nvSpPr>
        <xdr:cNvPr id="33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75670</xdr:rowOff>
    </xdr:to>
    <xdr:sp macro="" textlink="">
      <xdr:nvSpPr>
        <xdr:cNvPr id="33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75670</xdr:rowOff>
    </xdr:to>
    <xdr:sp macro="" textlink="">
      <xdr:nvSpPr>
        <xdr:cNvPr id="33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75670</xdr:rowOff>
    </xdr:to>
    <xdr:sp macro="" textlink="">
      <xdr:nvSpPr>
        <xdr:cNvPr id="33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64568</xdr:rowOff>
    </xdr:to>
    <xdr:sp macro="" textlink="">
      <xdr:nvSpPr>
        <xdr:cNvPr id="33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64568</xdr:rowOff>
    </xdr:to>
    <xdr:sp macro="" textlink="">
      <xdr:nvSpPr>
        <xdr:cNvPr id="33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64569</xdr:rowOff>
    </xdr:to>
    <xdr:sp macro="" textlink="">
      <xdr:nvSpPr>
        <xdr:cNvPr id="33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64569</xdr:rowOff>
    </xdr:to>
    <xdr:sp macro="" textlink="">
      <xdr:nvSpPr>
        <xdr:cNvPr id="33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64569</xdr:rowOff>
    </xdr:to>
    <xdr:sp macro="" textlink="">
      <xdr:nvSpPr>
        <xdr:cNvPr id="33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64569</xdr:rowOff>
    </xdr:to>
    <xdr:sp macro="" textlink="">
      <xdr:nvSpPr>
        <xdr:cNvPr id="33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75670</xdr:rowOff>
    </xdr:to>
    <xdr:sp macro="" textlink="">
      <xdr:nvSpPr>
        <xdr:cNvPr id="33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75670</xdr:rowOff>
    </xdr:to>
    <xdr:sp macro="" textlink="">
      <xdr:nvSpPr>
        <xdr:cNvPr id="33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75670</xdr:rowOff>
    </xdr:to>
    <xdr:sp macro="" textlink="">
      <xdr:nvSpPr>
        <xdr:cNvPr id="33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75670</xdr:rowOff>
    </xdr:to>
    <xdr:sp macro="" textlink="">
      <xdr:nvSpPr>
        <xdr:cNvPr id="33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64570</xdr:rowOff>
    </xdr:to>
    <xdr:sp macro="" textlink="">
      <xdr:nvSpPr>
        <xdr:cNvPr id="33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C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64570</xdr:rowOff>
    </xdr:to>
    <xdr:sp macro="" textlink="">
      <xdr:nvSpPr>
        <xdr:cNvPr id="33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64570</xdr:rowOff>
    </xdr:to>
    <xdr:sp macro="" textlink="">
      <xdr:nvSpPr>
        <xdr:cNvPr id="33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64570</xdr:rowOff>
    </xdr:to>
    <xdr:sp macro="" textlink="">
      <xdr:nvSpPr>
        <xdr:cNvPr id="33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75671</xdr:rowOff>
    </xdr:to>
    <xdr:sp macro="" textlink="">
      <xdr:nvSpPr>
        <xdr:cNvPr id="33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75671</xdr:rowOff>
    </xdr:to>
    <xdr:sp macro="" textlink="">
      <xdr:nvSpPr>
        <xdr:cNvPr id="33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75671</xdr:rowOff>
    </xdr:to>
    <xdr:sp macro="" textlink="">
      <xdr:nvSpPr>
        <xdr:cNvPr id="33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75671</xdr:rowOff>
    </xdr:to>
    <xdr:sp macro="" textlink="">
      <xdr:nvSpPr>
        <xdr:cNvPr id="33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64569</xdr:rowOff>
    </xdr:to>
    <xdr:sp macro="" textlink="">
      <xdr:nvSpPr>
        <xdr:cNvPr id="33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64569</xdr:rowOff>
    </xdr:to>
    <xdr:sp macro="" textlink="">
      <xdr:nvSpPr>
        <xdr:cNvPr id="33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64569</xdr:rowOff>
    </xdr:to>
    <xdr:sp macro="" textlink="">
      <xdr:nvSpPr>
        <xdr:cNvPr id="33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64569</xdr:rowOff>
    </xdr:to>
    <xdr:sp macro="" textlink="">
      <xdr:nvSpPr>
        <xdr:cNvPr id="33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75670</xdr:rowOff>
    </xdr:to>
    <xdr:sp macro="" textlink="">
      <xdr:nvSpPr>
        <xdr:cNvPr id="33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75670</xdr:rowOff>
    </xdr:to>
    <xdr:sp macro="" textlink="">
      <xdr:nvSpPr>
        <xdr:cNvPr id="33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75670</xdr:rowOff>
    </xdr:to>
    <xdr:sp macro="" textlink="">
      <xdr:nvSpPr>
        <xdr:cNvPr id="33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75670</xdr:rowOff>
    </xdr:to>
    <xdr:sp macro="" textlink="">
      <xdr:nvSpPr>
        <xdr:cNvPr id="33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64568</xdr:rowOff>
    </xdr:to>
    <xdr:sp macro="" textlink="">
      <xdr:nvSpPr>
        <xdr:cNvPr id="33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64568</xdr:rowOff>
    </xdr:to>
    <xdr:sp macro="" textlink="">
      <xdr:nvSpPr>
        <xdr:cNvPr id="33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8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64569</xdr:rowOff>
    </xdr:to>
    <xdr:sp macro="" textlink="">
      <xdr:nvSpPr>
        <xdr:cNvPr id="33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64569</xdr:rowOff>
    </xdr:to>
    <xdr:sp macro="" textlink="">
      <xdr:nvSpPr>
        <xdr:cNvPr id="33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64569</xdr:rowOff>
    </xdr:to>
    <xdr:sp macro="" textlink="">
      <xdr:nvSpPr>
        <xdr:cNvPr id="33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64569</xdr:rowOff>
    </xdr:to>
    <xdr:sp macro="" textlink="">
      <xdr:nvSpPr>
        <xdr:cNvPr id="33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75670</xdr:rowOff>
    </xdr:to>
    <xdr:sp macro="" textlink="">
      <xdr:nvSpPr>
        <xdr:cNvPr id="33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75670</xdr:rowOff>
    </xdr:to>
    <xdr:sp macro="" textlink="">
      <xdr:nvSpPr>
        <xdr:cNvPr id="33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75670</xdr:rowOff>
    </xdr:to>
    <xdr:sp macro="" textlink="">
      <xdr:nvSpPr>
        <xdr:cNvPr id="33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75670</xdr:rowOff>
    </xdr:to>
    <xdr:sp macro="" textlink="">
      <xdr:nvSpPr>
        <xdr:cNvPr id="33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64570</xdr:rowOff>
    </xdr:to>
    <xdr:sp macro="" textlink="">
      <xdr:nvSpPr>
        <xdr:cNvPr id="33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64570</xdr:rowOff>
    </xdr:to>
    <xdr:sp macro="" textlink="">
      <xdr:nvSpPr>
        <xdr:cNvPr id="33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64570</xdr:rowOff>
    </xdr:to>
    <xdr:sp macro="" textlink="">
      <xdr:nvSpPr>
        <xdr:cNvPr id="33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64570</xdr:rowOff>
    </xdr:to>
    <xdr:sp macro="" textlink="">
      <xdr:nvSpPr>
        <xdr:cNvPr id="33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75671</xdr:rowOff>
    </xdr:to>
    <xdr:sp macro="" textlink="">
      <xdr:nvSpPr>
        <xdr:cNvPr id="33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75671</xdr:rowOff>
    </xdr:to>
    <xdr:sp macro="" textlink="">
      <xdr:nvSpPr>
        <xdr:cNvPr id="33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75671</xdr:rowOff>
    </xdr:to>
    <xdr:sp macro="" textlink="">
      <xdr:nvSpPr>
        <xdr:cNvPr id="33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75671</xdr:rowOff>
    </xdr:to>
    <xdr:sp macro="" textlink="">
      <xdr:nvSpPr>
        <xdr:cNvPr id="33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1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64569</xdr:rowOff>
    </xdr:to>
    <xdr:sp macro="" textlink="">
      <xdr:nvSpPr>
        <xdr:cNvPr id="33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64569</xdr:rowOff>
    </xdr:to>
    <xdr:sp macro="" textlink="">
      <xdr:nvSpPr>
        <xdr:cNvPr id="33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64569</xdr:rowOff>
    </xdr:to>
    <xdr:sp macro="" textlink="">
      <xdr:nvSpPr>
        <xdr:cNvPr id="33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64569</xdr:rowOff>
    </xdr:to>
    <xdr:sp macro="" textlink="">
      <xdr:nvSpPr>
        <xdr:cNvPr id="33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72669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75670</xdr:rowOff>
    </xdr:to>
    <xdr:sp macro="" textlink="">
      <xdr:nvSpPr>
        <xdr:cNvPr id="33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75670</xdr:rowOff>
    </xdr:to>
    <xdr:sp macro="" textlink="">
      <xdr:nvSpPr>
        <xdr:cNvPr id="33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75670</xdr:rowOff>
    </xdr:to>
    <xdr:sp macro="" textlink="">
      <xdr:nvSpPr>
        <xdr:cNvPr id="33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twoCellAnchor editAs="oneCell">
    <xdr:from>
      <xdr:col>10</xdr:col>
      <xdr:colOff>0</xdr:colOff>
      <xdr:row>105</xdr:row>
      <xdr:rowOff>0</xdr:rowOff>
    </xdr:from>
    <xdr:to>
      <xdr:col>10</xdr:col>
      <xdr:colOff>45719</xdr:colOff>
      <xdr:row>107</xdr:row>
      <xdr:rowOff>75670</xdr:rowOff>
    </xdr:to>
    <xdr:sp macro="" textlink="">
      <xdr:nvSpPr>
        <xdr:cNvPr id="33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D0000}"/>
            </a:ext>
          </a:extLst>
        </xdr:cNvPr>
        <xdr:cNvSpPr>
          <a:spLocks noChangeAspect="1" noChangeArrowheads="1"/>
        </xdr:cNvSpPr>
      </xdr:nvSpPr>
      <xdr:spPr bwMode="auto">
        <a:xfrm>
          <a:off x="8115300" y="952500"/>
          <a:ext cx="45719" cy="1383770"/>
        </a:xfrm>
        <a:prstGeom prst="rect">
          <a:avLst/>
        </a:prstGeom>
        <a:noFill/>
      </xdr:spPr>
    </xdr:sp>
    <xdr:clientData/>
  </xdr:twoCellAnchor>
  <xdr:oneCellAnchor>
    <xdr:from>
      <xdr:col>10</xdr:col>
      <xdr:colOff>0</xdr:colOff>
      <xdr:row>40</xdr:row>
      <xdr:rowOff>43587</xdr:rowOff>
    </xdr:from>
    <xdr:ext cx="45719" cy="1669853"/>
    <xdr:sp macro="" textlink="">
      <xdr:nvSpPr>
        <xdr:cNvPr id="33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3"/>
    <xdr:sp macro="" textlink="">
      <xdr:nvSpPr>
        <xdr:cNvPr id="33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3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3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3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3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3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3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3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3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3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3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3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3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3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3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3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3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3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3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3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3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3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3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3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3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3"/>
    <xdr:sp macro="" textlink="">
      <xdr:nvSpPr>
        <xdr:cNvPr id="33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3"/>
    <xdr:sp macro="" textlink="">
      <xdr:nvSpPr>
        <xdr:cNvPr id="33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3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3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3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3"/>
    <xdr:sp macro="" textlink="">
      <xdr:nvSpPr>
        <xdr:cNvPr id="34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3"/>
    <xdr:sp macro="" textlink="">
      <xdr:nvSpPr>
        <xdr:cNvPr id="34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3"/>
    <xdr:sp macro="" textlink="">
      <xdr:nvSpPr>
        <xdr:cNvPr id="34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3"/>
    <xdr:sp macro="" textlink="">
      <xdr:nvSpPr>
        <xdr:cNvPr id="34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5"/>
    <xdr:sp macro="" textlink="">
      <xdr:nvSpPr>
        <xdr:cNvPr id="34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20"/>
    <xdr:sp macro="" textlink="">
      <xdr:nvSpPr>
        <xdr:cNvPr id="34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854"/>
    <xdr:sp macro="" textlink="">
      <xdr:nvSpPr>
        <xdr:cNvPr id="34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8819"/>
    <xdr:sp macro="" textlink="">
      <xdr:nvSpPr>
        <xdr:cNvPr id="34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7350"/>
    <xdr:sp macro="" textlink="">
      <xdr:nvSpPr>
        <xdr:cNvPr id="34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7350"/>
    <xdr:sp macro="" textlink="">
      <xdr:nvSpPr>
        <xdr:cNvPr id="34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7350"/>
    <xdr:sp macro="" textlink="">
      <xdr:nvSpPr>
        <xdr:cNvPr id="34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7350"/>
    <xdr:sp macro="" textlink="">
      <xdr:nvSpPr>
        <xdr:cNvPr id="34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7350"/>
    <xdr:sp macro="" textlink="">
      <xdr:nvSpPr>
        <xdr:cNvPr id="34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7350"/>
    <xdr:sp macro="" textlink="">
      <xdr:nvSpPr>
        <xdr:cNvPr id="34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7350"/>
    <xdr:sp macro="" textlink="">
      <xdr:nvSpPr>
        <xdr:cNvPr id="34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7350"/>
    <xdr:sp macro="" textlink="">
      <xdr:nvSpPr>
        <xdr:cNvPr id="34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7350"/>
    <xdr:sp macro="" textlink="">
      <xdr:nvSpPr>
        <xdr:cNvPr id="34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7350"/>
    <xdr:sp macro="" textlink="">
      <xdr:nvSpPr>
        <xdr:cNvPr id="34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7350"/>
    <xdr:sp macro="" textlink="">
      <xdr:nvSpPr>
        <xdr:cNvPr id="34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7350"/>
    <xdr:sp macro="" textlink="">
      <xdr:nvSpPr>
        <xdr:cNvPr id="34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7350"/>
    <xdr:sp macro="" textlink="">
      <xdr:nvSpPr>
        <xdr:cNvPr id="34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7350"/>
    <xdr:sp macro="" textlink="">
      <xdr:nvSpPr>
        <xdr:cNvPr id="34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7350"/>
    <xdr:sp macro="" textlink="">
      <xdr:nvSpPr>
        <xdr:cNvPr id="34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7350"/>
    <xdr:sp macro="" textlink="">
      <xdr:nvSpPr>
        <xdr:cNvPr id="34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D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8"/>
    <xdr:sp macro="" textlink="">
      <xdr:nvSpPr>
        <xdr:cNvPr id="34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8"/>
    <xdr:sp macro="" textlink="">
      <xdr:nvSpPr>
        <xdr:cNvPr id="34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4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4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4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4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4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4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4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4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4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8"/>
    <xdr:sp macro="" textlink="">
      <xdr:nvSpPr>
        <xdr:cNvPr id="35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8"/>
    <xdr:sp macro="" textlink="">
      <xdr:nvSpPr>
        <xdr:cNvPr id="35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8"/>
    <xdr:sp macro="" textlink="">
      <xdr:nvSpPr>
        <xdr:cNvPr id="35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8"/>
    <xdr:sp macro="" textlink="">
      <xdr:nvSpPr>
        <xdr:cNvPr id="35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8"/>
    <xdr:sp macro="" textlink="">
      <xdr:nvSpPr>
        <xdr:cNvPr id="35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8"/>
    <xdr:sp macro="" textlink="">
      <xdr:nvSpPr>
        <xdr:cNvPr id="35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80"/>
    <xdr:sp macro="" textlink="">
      <xdr:nvSpPr>
        <xdr:cNvPr id="35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D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5"/>
    <xdr:sp macro="" textlink="">
      <xdr:nvSpPr>
        <xdr:cNvPr id="35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6679"/>
    <xdr:sp macro="" textlink="">
      <xdr:nvSpPr>
        <xdr:cNvPr id="35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5644"/>
    <xdr:sp macro="" textlink="">
      <xdr:nvSpPr>
        <xdr:cNvPr id="35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4175"/>
    <xdr:sp macro="" textlink="">
      <xdr:nvSpPr>
        <xdr:cNvPr id="35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4175"/>
    <xdr:sp macro="" textlink="">
      <xdr:nvSpPr>
        <xdr:cNvPr id="35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4175"/>
    <xdr:sp macro="" textlink="">
      <xdr:nvSpPr>
        <xdr:cNvPr id="35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4175"/>
    <xdr:sp macro="" textlink="">
      <xdr:nvSpPr>
        <xdr:cNvPr id="35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4175"/>
    <xdr:sp macro="" textlink="">
      <xdr:nvSpPr>
        <xdr:cNvPr id="35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4175"/>
    <xdr:sp macro="" textlink="">
      <xdr:nvSpPr>
        <xdr:cNvPr id="35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4175"/>
    <xdr:sp macro="" textlink="">
      <xdr:nvSpPr>
        <xdr:cNvPr id="35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4175"/>
    <xdr:sp macro="" textlink="">
      <xdr:nvSpPr>
        <xdr:cNvPr id="36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4175"/>
    <xdr:sp macro="" textlink="">
      <xdr:nvSpPr>
        <xdr:cNvPr id="36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4175"/>
    <xdr:sp macro="" textlink="">
      <xdr:nvSpPr>
        <xdr:cNvPr id="36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4175"/>
    <xdr:sp macro="" textlink="">
      <xdr:nvSpPr>
        <xdr:cNvPr id="36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4175"/>
    <xdr:sp macro="" textlink="">
      <xdr:nvSpPr>
        <xdr:cNvPr id="36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4175"/>
    <xdr:sp macro="" textlink="">
      <xdr:nvSpPr>
        <xdr:cNvPr id="36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4175"/>
    <xdr:sp macro="" textlink="">
      <xdr:nvSpPr>
        <xdr:cNvPr id="36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4175"/>
    <xdr:sp macro="" textlink="">
      <xdr:nvSpPr>
        <xdr:cNvPr id="36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4175"/>
    <xdr:sp macro="" textlink="">
      <xdr:nvSpPr>
        <xdr:cNvPr id="36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6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6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6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6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6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6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6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6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6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6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6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6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7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7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7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7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7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7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7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7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7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7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7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7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7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1000"/>
    <xdr:sp macro="" textlink="">
      <xdr:nvSpPr>
        <xdr:cNvPr id="37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1000"/>
    <xdr:sp macro="" textlink="">
      <xdr:nvSpPr>
        <xdr:cNvPr id="37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1000"/>
    <xdr:sp macro="" textlink="">
      <xdr:nvSpPr>
        <xdr:cNvPr id="37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1000"/>
    <xdr:sp macro="" textlink="">
      <xdr:nvSpPr>
        <xdr:cNvPr id="37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1000"/>
    <xdr:sp macro="" textlink="">
      <xdr:nvSpPr>
        <xdr:cNvPr id="37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1000"/>
    <xdr:sp macro="" textlink="">
      <xdr:nvSpPr>
        <xdr:cNvPr id="37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1000"/>
    <xdr:sp macro="" textlink="">
      <xdr:nvSpPr>
        <xdr:cNvPr id="37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1000"/>
    <xdr:sp macro="" textlink="">
      <xdr:nvSpPr>
        <xdr:cNvPr id="37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1000"/>
    <xdr:sp macro="" textlink="">
      <xdr:nvSpPr>
        <xdr:cNvPr id="37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1000"/>
    <xdr:sp macro="" textlink="">
      <xdr:nvSpPr>
        <xdr:cNvPr id="37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1000"/>
    <xdr:sp macro="" textlink="">
      <xdr:nvSpPr>
        <xdr:cNvPr id="37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1000"/>
    <xdr:sp macro="" textlink="">
      <xdr:nvSpPr>
        <xdr:cNvPr id="37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1000"/>
    <xdr:sp macro="" textlink="">
      <xdr:nvSpPr>
        <xdr:cNvPr id="37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1000"/>
    <xdr:sp macro="" textlink="">
      <xdr:nvSpPr>
        <xdr:cNvPr id="37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51000"/>
    <xdr:sp macro="" textlink="">
      <xdr:nvSpPr>
        <xdr:cNvPr id="37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51000"/>
    <xdr:sp macro="" textlink="">
      <xdr:nvSpPr>
        <xdr:cNvPr id="37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7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7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7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7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7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7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7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7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7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7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8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8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8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8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8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8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8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8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8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8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8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8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8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8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8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8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8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8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8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8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8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8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E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47825"/>
    <xdr:sp macro="" textlink="">
      <xdr:nvSpPr>
        <xdr:cNvPr id="38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47825"/>
    <xdr:sp macro="" textlink="">
      <xdr:nvSpPr>
        <xdr:cNvPr id="38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47825"/>
    <xdr:sp macro="" textlink="">
      <xdr:nvSpPr>
        <xdr:cNvPr id="38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47825"/>
    <xdr:sp macro="" textlink="">
      <xdr:nvSpPr>
        <xdr:cNvPr id="38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47825"/>
    <xdr:sp macro="" textlink="">
      <xdr:nvSpPr>
        <xdr:cNvPr id="38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47825"/>
    <xdr:sp macro="" textlink="">
      <xdr:nvSpPr>
        <xdr:cNvPr id="38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47825"/>
    <xdr:sp macro="" textlink="">
      <xdr:nvSpPr>
        <xdr:cNvPr id="38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E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47825"/>
    <xdr:sp macro="" textlink="">
      <xdr:nvSpPr>
        <xdr:cNvPr id="38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47825"/>
    <xdr:sp macro="" textlink="">
      <xdr:nvSpPr>
        <xdr:cNvPr id="38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47825"/>
    <xdr:sp macro="" textlink="">
      <xdr:nvSpPr>
        <xdr:cNvPr id="38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47825"/>
    <xdr:sp macro="" textlink="">
      <xdr:nvSpPr>
        <xdr:cNvPr id="38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47825"/>
    <xdr:sp macro="" textlink="">
      <xdr:nvSpPr>
        <xdr:cNvPr id="38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47825"/>
    <xdr:sp macro="" textlink="">
      <xdr:nvSpPr>
        <xdr:cNvPr id="38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47825"/>
    <xdr:sp macro="" textlink="">
      <xdr:nvSpPr>
        <xdr:cNvPr id="38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1095" cy="1647825"/>
    <xdr:sp macro="" textlink="">
      <xdr:nvSpPr>
        <xdr:cNvPr id="38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40</xdr:row>
      <xdr:rowOff>0</xdr:rowOff>
    </xdr:from>
    <xdr:ext cx="162152" cy="1647825"/>
    <xdr:sp macro="" textlink="">
      <xdr:nvSpPr>
        <xdr:cNvPr id="38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209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8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8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8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8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8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8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8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8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8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8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8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8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8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8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8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8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8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8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8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8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8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8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9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9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9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9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9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9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9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9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9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9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9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3"/>
    <xdr:sp macro="" textlink="">
      <xdr:nvSpPr>
        <xdr:cNvPr id="39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9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9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9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5"/>
    <xdr:sp macro="" textlink="">
      <xdr:nvSpPr>
        <xdr:cNvPr id="39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9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9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9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70"/>
    <xdr:sp macro="" textlink="">
      <xdr:nvSpPr>
        <xdr:cNvPr id="39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3504"/>
    <xdr:sp macro="" textlink="">
      <xdr:nvSpPr>
        <xdr:cNvPr id="39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72469"/>
    <xdr:sp macro="" textlink="">
      <xdr:nvSpPr>
        <xdr:cNvPr id="39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39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39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39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39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39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39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39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39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39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39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39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39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39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39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39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39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9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9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9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9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9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9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9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9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9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9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9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9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9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39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9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9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9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39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9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9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9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9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9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9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9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39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9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39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9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9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39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40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40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40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8"/>
    <xdr:sp macro="" textlink="">
      <xdr:nvSpPr>
        <xdr:cNvPr id="40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30"/>
    <xdr:sp macro="" textlink="">
      <xdr:nvSpPr>
        <xdr:cNvPr id="40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5"/>
    <xdr:sp macro="" textlink="">
      <xdr:nvSpPr>
        <xdr:cNvPr id="40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0329"/>
    <xdr:sp macro="" textlink="">
      <xdr:nvSpPr>
        <xdr:cNvPr id="40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43587</xdr:rowOff>
    </xdr:from>
    <xdr:ext cx="45719" cy="1669294"/>
    <xdr:sp macro="" textlink="">
      <xdr:nvSpPr>
        <xdr:cNvPr id="40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53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40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40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40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40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40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40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40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40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40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40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40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40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40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40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1095" cy="1643591"/>
    <xdr:sp macro="" textlink="">
      <xdr:nvSpPr>
        <xdr:cNvPr id="40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40</xdr:row>
      <xdr:rowOff>0</xdr:rowOff>
    </xdr:from>
    <xdr:ext cx="162152" cy="1643591"/>
    <xdr:sp macro="" textlink="">
      <xdr:nvSpPr>
        <xdr:cNvPr id="40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0F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209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3"/>
    <xdr:sp macro="" textlink="">
      <xdr:nvSpPr>
        <xdr:cNvPr id="40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3"/>
    <xdr:sp macro="" textlink="">
      <xdr:nvSpPr>
        <xdr:cNvPr id="40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0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0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0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0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0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0F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0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0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0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0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3"/>
    <xdr:sp macro="" textlink="">
      <xdr:nvSpPr>
        <xdr:cNvPr id="41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3"/>
    <xdr:sp macro="" textlink="">
      <xdr:nvSpPr>
        <xdr:cNvPr id="41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3"/>
    <xdr:sp macro="" textlink="">
      <xdr:nvSpPr>
        <xdr:cNvPr id="41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3"/>
    <xdr:sp macro="" textlink="">
      <xdr:nvSpPr>
        <xdr:cNvPr id="41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3"/>
    <xdr:sp macro="" textlink="">
      <xdr:nvSpPr>
        <xdr:cNvPr id="41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3"/>
    <xdr:sp macro="" textlink="">
      <xdr:nvSpPr>
        <xdr:cNvPr id="41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5"/>
    <xdr:sp macro="" textlink="">
      <xdr:nvSpPr>
        <xdr:cNvPr id="41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20"/>
    <xdr:sp macro="" textlink="">
      <xdr:nvSpPr>
        <xdr:cNvPr id="41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854"/>
    <xdr:sp macro="" textlink="">
      <xdr:nvSpPr>
        <xdr:cNvPr id="41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8819"/>
    <xdr:sp macro="" textlink="">
      <xdr:nvSpPr>
        <xdr:cNvPr id="41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7350"/>
    <xdr:sp macro="" textlink="">
      <xdr:nvSpPr>
        <xdr:cNvPr id="41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7350"/>
    <xdr:sp macro="" textlink="">
      <xdr:nvSpPr>
        <xdr:cNvPr id="41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7350"/>
    <xdr:sp macro="" textlink="">
      <xdr:nvSpPr>
        <xdr:cNvPr id="41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7350"/>
    <xdr:sp macro="" textlink="">
      <xdr:nvSpPr>
        <xdr:cNvPr id="41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7350"/>
    <xdr:sp macro="" textlink="">
      <xdr:nvSpPr>
        <xdr:cNvPr id="41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7350"/>
    <xdr:sp macro="" textlink="">
      <xdr:nvSpPr>
        <xdr:cNvPr id="41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7350"/>
    <xdr:sp macro="" textlink="">
      <xdr:nvSpPr>
        <xdr:cNvPr id="41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7350"/>
    <xdr:sp macro="" textlink="">
      <xdr:nvSpPr>
        <xdr:cNvPr id="42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7350"/>
    <xdr:sp macro="" textlink="">
      <xdr:nvSpPr>
        <xdr:cNvPr id="42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7350"/>
    <xdr:sp macro="" textlink="">
      <xdr:nvSpPr>
        <xdr:cNvPr id="42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7350"/>
    <xdr:sp macro="" textlink="">
      <xdr:nvSpPr>
        <xdr:cNvPr id="42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7350"/>
    <xdr:sp macro="" textlink="">
      <xdr:nvSpPr>
        <xdr:cNvPr id="42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7350"/>
    <xdr:sp macro="" textlink="">
      <xdr:nvSpPr>
        <xdr:cNvPr id="42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7350"/>
    <xdr:sp macro="" textlink="">
      <xdr:nvSpPr>
        <xdr:cNvPr id="42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7350"/>
    <xdr:sp macro="" textlink="">
      <xdr:nvSpPr>
        <xdr:cNvPr id="42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7350"/>
    <xdr:sp macro="" textlink="">
      <xdr:nvSpPr>
        <xdr:cNvPr id="42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8"/>
    <xdr:sp macro="" textlink="">
      <xdr:nvSpPr>
        <xdr:cNvPr id="42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8"/>
    <xdr:sp macro="" textlink="">
      <xdr:nvSpPr>
        <xdr:cNvPr id="42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8"/>
    <xdr:sp macro="" textlink="">
      <xdr:nvSpPr>
        <xdr:cNvPr id="42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8"/>
    <xdr:sp macro="" textlink="">
      <xdr:nvSpPr>
        <xdr:cNvPr id="42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8"/>
    <xdr:sp macro="" textlink="">
      <xdr:nvSpPr>
        <xdr:cNvPr id="42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8"/>
    <xdr:sp macro="" textlink="">
      <xdr:nvSpPr>
        <xdr:cNvPr id="42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2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8"/>
    <xdr:sp macro="" textlink="">
      <xdr:nvSpPr>
        <xdr:cNvPr id="42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8"/>
    <xdr:sp macro="" textlink="">
      <xdr:nvSpPr>
        <xdr:cNvPr id="42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2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2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2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80"/>
    <xdr:sp macro="" textlink="">
      <xdr:nvSpPr>
        <xdr:cNvPr id="43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3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3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3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5"/>
    <xdr:sp macro="" textlink="">
      <xdr:nvSpPr>
        <xdr:cNvPr id="43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3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3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3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6679"/>
    <xdr:sp macro="" textlink="">
      <xdr:nvSpPr>
        <xdr:cNvPr id="43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3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3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3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5644"/>
    <xdr:sp macro="" textlink="">
      <xdr:nvSpPr>
        <xdr:cNvPr id="43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4175"/>
    <xdr:sp macro="" textlink="">
      <xdr:nvSpPr>
        <xdr:cNvPr id="43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4175"/>
    <xdr:sp macro="" textlink="">
      <xdr:nvSpPr>
        <xdr:cNvPr id="43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4175"/>
    <xdr:sp macro="" textlink="">
      <xdr:nvSpPr>
        <xdr:cNvPr id="43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4175"/>
    <xdr:sp macro="" textlink="">
      <xdr:nvSpPr>
        <xdr:cNvPr id="43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4175"/>
    <xdr:sp macro="" textlink="">
      <xdr:nvSpPr>
        <xdr:cNvPr id="43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4175"/>
    <xdr:sp macro="" textlink="">
      <xdr:nvSpPr>
        <xdr:cNvPr id="43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4175"/>
    <xdr:sp macro="" textlink="">
      <xdr:nvSpPr>
        <xdr:cNvPr id="43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4175"/>
    <xdr:sp macro="" textlink="">
      <xdr:nvSpPr>
        <xdr:cNvPr id="43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4175"/>
    <xdr:sp macro="" textlink="">
      <xdr:nvSpPr>
        <xdr:cNvPr id="43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4175"/>
    <xdr:sp macro="" textlink="">
      <xdr:nvSpPr>
        <xdr:cNvPr id="43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4175"/>
    <xdr:sp macro="" textlink="">
      <xdr:nvSpPr>
        <xdr:cNvPr id="43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4175"/>
    <xdr:sp macro="" textlink="">
      <xdr:nvSpPr>
        <xdr:cNvPr id="43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4175"/>
    <xdr:sp macro="" textlink="">
      <xdr:nvSpPr>
        <xdr:cNvPr id="43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4175"/>
    <xdr:sp macro="" textlink="">
      <xdr:nvSpPr>
        <xdr:cNvPr id="43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4175"/>
    <xdr:sp macro="" textlink="">
      <xdr:nvSpPr>
        <xdr:cNvPr id="43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4175"/>
    <xdr:sp macro="" textlink="">
      <xdr:nvSpPr>
        <xdr:cNvPr id="43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10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3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3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10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3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3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3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3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3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3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3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3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4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4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4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4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4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4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4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4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4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4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4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4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4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4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4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4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4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4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4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4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4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4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1000"/>
    <xdr:sp macro="" textlink="">
      <xdr:nvSpPr>
        <xdr:cNvPr id="44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1000"/>
    <xdr:sp macro="" textlink="">
      <xdr:nvSpPr>
        <xdr:cNvPr id="44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1000"/>
    <xdr:sp macro="" textlink="">
      <xdr:nvSpPr>
        <xdr:cNvPr id="44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1000"/>
    <xdr:sp macro="" textlink="">
      <xdr:nvSpPr>
        <xdr:cNvPr id="44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1000"/>
    <xdr:sp macro="" textlink="">
      <xdr:nvSpPr>
        <xdr:cNvPr id="44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1000"/>
    <xdr:sp macro="" textlink="">
      <xdr:nvSpPr>
        <xdr:cNvPr id="44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1000"/>
    <xdr:sp macro="" textlink="">
      <xdr:nvSpPr>
        <xdr:cNvPr id="44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1000"/>
    <xdr:sp macro="" textlink="">
      <xdr:nvSpPr>
        <xdr:cNvPr id="44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1000"/>
    <xdr:sp macro="" textlink="">
      <xdr:nvSpPr>
        <xdr:cNvPr id="44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1000"/>
    <xdr:sp macro="" textlink="">
      <xdr:nvSpPr>
        <xdr:cNvPr id="44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1000"/>
    <xdr:sp macro="" textlink="">
      <xdr:nvSpPr>
        <xdr:cNvPr id="44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1000"/>
    <xdr:sp macro="" textlink="">
      <xdr:nvSpPr>
        <xdr:cNvPr id="44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1000"/>
    <xdr:sp macro="" textlink="">
      <xdr:nvSpPr>
        <xdr:cNvPr id="44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1000"/>
    <xdr:sp macro="" textlink="">
      <xdr:nvSpPr>
        <xdr:cNvPr id="44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51000"/>
    <xdr:sp macro="" textlink="">
      <xdr:nvSpPr>
        <xdr:cNvPr id="44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51000"/>
    <xdr:sp macro="" textlink="">
      <xdr:nvSpPr>
        <xdr:cNvPr id="44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4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4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4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4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4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4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4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4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4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4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4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4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4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4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4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4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4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4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4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4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4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4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5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5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5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5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5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5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5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5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5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5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5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5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5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5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5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5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5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5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5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5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5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5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47825"/>
    <xdr:sp macro="" textlink="">
      <xdr:nvSpPr>
        <xdr:cNvPr id="45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47825"/>
    <xdr:sp macro="" textlink="">
      <xdr:nvSpPr>
        <xdr:cNvPr id="45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47825"/>
    <xdr:sp macro="" textlink="">
      <xdr:nvSpPr>
        <xdr:cNvPr id="45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47825"/>
    <xdr:sp macro="" textlink="">
      <xdr:nvSpPr>
        <xdr:cNvPr id="45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47825"/>
    <xdr:sp macro="" textlink="">
      <xdr:nvSpPr>
        <xdr:cNvPr id="45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47825"/>
    <xdr:sp macro="" textlink="">
      <xdr:nvSpPr>
        <xdr:cNvPr id="45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47825"/>
    <xdr:sp macro="" textlink="">
      <xdr:nvSpPr>
        <xdr:cNvPr id="45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47825"/>
    <xdr:sp macro="" textlink="">
      <xdr:nvSpPr>
        <xdr:cNvPr id="45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47825"/>
    <xdr:sp macro="" textlink="">
      <xdr:nvSpPr>
        <xdr:cNvPr id="45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47825"/>
    <xdr:sp macro="" textlink="">
      <xdr:nvSpPr>
        <xdr:cNvPr id="45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47825"/>
    <xdr:sp macro="" textlink="">
      <xdr:nvSpPr>
        <xdr:cNvPr id="45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47825"/>
    <xdr:sp macro="" textlink="">
      <xdr:nvSpPr>
        <xdr:cNvPr id="45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47825"/>
    <xdr:sp macro="" textlink="">
      <xdr:nvSpPr>
        <xdr:cNvPr id="45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47825"/>
    <xdr:sp macro="" textlink="">
      <xdr:nvSpPr>
        <xdr:cNvPr id="45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1095" cy="1647825"/>
    <xdr:sp macro="" textlink="">
      <xdr:nvSpPr>
        <xdr:cNvPr id="45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41</xdr:row>
      <xdr:rowOff>0</xdr:rowOff>
    </xdr:from>
    <xdr:ext cx="162152" cy="1647825"/>
    <xdr:sp macro="" textlink="">
      <xdr:nvSpPr>
        <xdr:cNvPr id="45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11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045846" y="25463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5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5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5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5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5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5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5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5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5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5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5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5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5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5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5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5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5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5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5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5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5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5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5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5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5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5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5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5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5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5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5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11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6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6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6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3"/>
    <xdr:sp macro="" textlink="">
      <xdr:nvSpPr>
        <xdr:cNvPr id="46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5"/>
    <xdr:sp macro="" textlink="">
      <xdr:nvSpPr>
        <xdr:cNvPr id="46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70"/>
    <xdr:sp macro="" textlink="">
      <xdr:nvSpPr>
        <xdr:cNvPr id="46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3504"/>
    <xdr:sp macro="" textlink="">
      <xdr:nvSpPr>
        <xdr:cNvPr id="46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72469"/>
    <xdr:sp macro="" textlink="">
      <xdr:nvSpPr>
        <xdr:cNvPr id="46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6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6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6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6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6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6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6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6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6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6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6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6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6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6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6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6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6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6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6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6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6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6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6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6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6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6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6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7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7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7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7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7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8"/>
    <xdr:sp macro="" textlink="">
      <xdr:nvSpPr>
        <xdr:cNvPr id="47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30"/>
    <xdr:sp macro="" textlink="">
      <xdr:nvSpPr>
        <xdr:cNvPr id="47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5"/>
    <xdr:sp macro="" textlink="">
      <xdr:nvSpPr>
        <xdr:cNvPr id="47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0329"/>
    <xdr:sp macro="" textlink="">
      <xdr:nvSpPr>
        <xdr:cNvPr id="47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41</xdr:row>
      <xdr:rowOff>43587</xdr:rowOff>
    </xdr:from>
    <xdr:ext cx="45719" cy="1669294"/>
    <xdr:sp macro="" textlink="">
      <xdr:nvSpPr>
        <xdr:cNvPr id="47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12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507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7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7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7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7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7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7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7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8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8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8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8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8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8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8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1095" cy="1643591"/>
    <xdr:sp macro="" textlink="">
      <xdr:nvSpPr>
        <xdr:cNvPr id="48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41</xdr:row>
      <xdr:rowOff>0</xdr:rowOff>
    </xdr:from>
    <xdr:ext cx="162152" cy="1643591"/>
    <xdr:sp macro="" textlink="">
      <xdr:nvSpPr>
        <xdr:cNvPr id="48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1200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2979171" y="25463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3"/>
    <xdr:sp macro="" textlink="">
      <xdr:nvSpPr>
        <xdr:cNvPr id="48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3"/>
    <xdr:sp macro="" textlink="">
      <xdr:nvSpPr>
        <xdr:cNvPr id="48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3"/>
    <xdr:sp macro="" textlink="">
      <xdr:nvSpPr>
        <xdr:cNvPr id="48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3"/>
    <xdr:sp macro="" textlink="">
      <xdr:nvSpPr>
        <xdr:cNvPr id="48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3"/>
    <xdr:sp macro="" textlink="">
      <xdr:nvSpPr>
        <xdr:cNvPr id="48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3"/>
    <xdr:sp macro="" textlink="">
      <xdr:nvSpPr>
        <xdr:cNvPr id="48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12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8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3"/>
    <xdr:sp macro="" textlink="">
      <xdr:nvSpPr>
        <xdr:cNvPr id="48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3"/>
    <xdr:sp macro="" textlink="">
      <xdr:nvSpPr>
        <xdr:cNvPr id="48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8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8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8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5"/>
    <xdr:sp macro="" textlink="">
      <xdr:nvSpPr>
        <xdr:cNvPr id="49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9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9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9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6"/>
    <xdr:sp macro="" textlink="">
      <xdr:nvSpPr>
        <xdr:cNvPr id="49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9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9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9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63144"/>
    <xdr:sp macro="" textlink="">
      <xdr:nvSpPr>
        <xdr:cNvPr id="49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9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9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9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4245"/>
    <xdr:sp macro="" textlink="">
      <xdr:nvSpPr>
        <xdr:cNvPr id="49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8"/>
    <xdr:sp macro="" textlink="">
      <xdr:nvSpPr>
        <xdr:cNvPr id="49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8"/>
    <xdr:sp macro="" textlink="">
      <xdr:nvSpPr>
        <xdr:cNvPr id="49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8"/>
    <xdr:sp macro="" textlink="">
      <xdr:nvSpPr>
        <xdr:cNvPr id="49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8"/>
    <xdr:sp macro="" textlink="">
      <xdr:nvSpPr>
        <xdr:cNvPr id="49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8"/>
    <xdr:sp macro="" textlink="">
      <xdr:nvSpPr>
        <xdr:cNvPr id="49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8"/>
    <xdr:sp macro="" textlink="">
      <xdr:nvSpPr>
        <xdr:cNvPr id="49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49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49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8"/>
    <xdr:sp macro="" textlink="">
      <xdr:nvSpPr>
        <xdr:cNvPr id="49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7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8"/>
    <xdr:sp macro="" textlink="">
      <xdr:nvSpPr>
        <xdr:cNvPr id="49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49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49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50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50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9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50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A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50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B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70"/>
    <xdr:sp macro="" textlink="">
      <xdr:nvSpPr>
        <xdr:cNvPr id="50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C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50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D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50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E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50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8F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1"/>
    <xdr:sp macro="" textlink="">
      <xdr:nvSpPr>
        <xdr:cNvPr id="50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0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50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1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50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2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50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3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59969"/>
    <xdr:sp macro="" textlink="">
      <xdr:nvSpPr>
        <xdr:cNvPr id="50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4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50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5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50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6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50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7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40</xdr:row>
      <xdr:rowOff>0</xdr:rowOff>
    </xdr:from>
    <xdr:ext cx="45719" cy="1371070"/>
    <xdr:sp macro="" textlink="">
      <xdr:nvSpPr>
        <xdr:cNvPr id="50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8130000}"/>
            </a:ext>
          </a:extLst>
        </xdr:cNvPr>
        <xdr:cNvSpPr>
          <a:spLocks noChangeAspect="1" noChangeArrowheads="1"/>
        </xdr:cNvSpPr>
      </xdr:nvSpPr>
      <xdr:spPr bwMode="auto">
        <a:xfrm>
          <a:off x="1257300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3"/>
    <xdr:sp macro="" textlink="">
      <xdr:nvSpPr>
        <xdr:cNvPr id="50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9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3"/>
    <xdr:sp macro="" textlink="">
      <xdr:nvSpPr>
        <xdr:cNvPr id="50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A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B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C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D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E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9F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0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1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2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3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4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5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6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7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8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9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A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B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C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D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E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AF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0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1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2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3"/>
    <xdr:sp macro="" textlink="">
      <xdr:nvSpPr>
        <xdr:cNvPr id="50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3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3"/>
    <xdr:sp macro="" textlink="">
      <xdr:nvSpPr>
        <xdr:cNvPr id="50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4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5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6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7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8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9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A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B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C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D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E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BF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0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1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2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3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4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5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6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7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8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9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A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B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C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3"/>
    <xdr:sp macro="" textlink="">
      <xdr:nvSpPr>
        <xdr:cNvPr id="50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D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3"/>
    <xdr:sp macro="" textlink="">
      <xdr:nvSpPr>
        <xdr:cNvPr id="50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E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CF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0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1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2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3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4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5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6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7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8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9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0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A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B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C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D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0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E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DF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0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1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2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3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4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5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0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6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3"/>
    <xdr:sp macro="" textlink="">
      <xdr:nvSpPr>
        <xdr:cNvPr id="50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7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3"/>
    <xdr:sp macro="" textlink="">
      <xdr:nvSpPr>
        <xdr:cNvPr id="50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8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9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A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0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B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1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C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1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D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1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E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1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EF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1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0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1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1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1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2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1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3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5"/>
    <xdr:sp macro="" textlink="">
      <xdr:nvSpPr>
        <xdr:cNvPr id="51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4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1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5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1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6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1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7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6"/>
    <xdr:sp macro="" textlink="">
      <xdr:nvSpPr>
        <xdr:cNvPr id="51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8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1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9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1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A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1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B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63144"/>
    <xdr:sp macro="" textlink="">
      <xdr:nvSpPr>
        <xdr:cNvPr id="51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C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1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D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1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E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1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FF13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4245"/>
    <xdr:sp macro="" textlink="">
      <xdr:nvSpPr>
        <xdr:cNvPr id="51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0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8"/>
    <xdr:sp macro="" textlink="">
      <xdr:nvSpPr>
        <xdr:cNvPr id="51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1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8"/>
    <xdr:sp macro="" textlink="">
      <xdr:nvSpPr>
        <xdr:cNvPr id="51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2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3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4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5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6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7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8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9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A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B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C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D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E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0F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0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1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2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3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4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5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6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7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8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9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A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8"/>
    <xdr:sp macro="" textlink="">
      <xdr:nvSpPr>
        <xdr:cNvPr id="51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B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8"/>
    <xdr:sp macro="" textlink="">
      <xdr:nvSpPr>
        <xdr:cNvPr id="51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C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D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E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1F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0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1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2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3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4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5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6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7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8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9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A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B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C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D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E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2F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0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1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2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3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4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8"/>
    <xdr:sp macro="" textlink="">
      <xdr:nvSpPr>
        <xdr:cNvPr id="51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5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8"/>
    <xdr:sp macro="" textlink="">
      <xdr:nvSpPr>
        <xdr:cNvPr id="51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6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7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8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9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A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B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C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D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E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3F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0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1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1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2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3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4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5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1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6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7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8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9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1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A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B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C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D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1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E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8"/>
    <xdr:sp macro="" textlink="">
      <xdr:nvSpPr>
        <xdr:cNvPr id="51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4F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8"/>
    <xdr:sp macro="" textlink="">
      <xdr:nvSpPr>
        <xdr:cNvPr id="52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0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2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1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2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2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2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3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2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4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2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5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2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6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2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7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2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8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2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9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2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A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2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B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70"/>
    <xdr:sp macro="" textlink="">
      <xdr:nvSpPr>
        <xdr:cNvPr id="52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C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2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D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2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E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2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5F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1"/>
    <xdr:sp macro="" textlink="">
      <xdr:nvSpPr>
        <xdr:cNvPr id="52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0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2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1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2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2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2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3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59969"/>
    <xdr:sp macro="" textlink="">
      <xdr:nvSpPr>
        <xdr:cNvPr id="52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4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2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5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2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6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2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7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40</xdr:row>
      <xdr:rowOff>0</xdr:rowOff>
    </xdr:from>
    <xdr:ext cx="45719" cy="1371070"/>
    <xdr:sp macro="" textlink="">
      <xdr:nvSpPr>
        <xdr:cNvPr id="52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00000-0008-0000-0500-000068140000}"/>
            </a:ext>
          </a:extLst>
        </xdr:cNvPr>
        <xdr:cNvSpPr>
          <a:spLocks noChangeAspect="1" noChangeArrowheads="1"/>
        </xdr:cNvSpPr>
      </xdr:nvSpPr>
      <xdr:spPr bwMode="auto">
        <a:xfrm>
          <a:off x="13938250" y="25209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3"/>
    <xdr:sp macro="" textlink="">
      <xdr:nvSpPr>
        <xdr:cNvPr id="52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58EB9EA-6760-4FA8-959E-26E683E1DA0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3"/>
    <xdr:sp macro="" textlink="">
      <xdr:nvSpPr>
        <xdr:cNvPr id="52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5FFD0E-A120-42E1-BD1F-9EF9065D8B1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4E8018-223B-44BD-AA67-BB7405F034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F1DA8E-460A-4931-B290-CCA3F0BE9F8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336D03A-D2C6-41CA-A7AC-B9D5E0D9AAF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9E4189B-05AE-4F95-B327-4AA4A9EBA2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E51F562-EFA8-4EBB-9DD9-CC003730CCF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19F736-DA54-4378-8B89-7B0B66144F0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29FA6B-2F35-4862-8F51-7270C3BFF6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8044628-E327-4F04-AB59-78272C513A1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E87DD614-E12D-43FD-8F32-1DDB3D87CBF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B54AB0-D40D-4C2F-B1FF-07A204D6A31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17FF2D9-A668-4A82-9C35-CE222C66DC7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CC4BE9-3BA4-411A-A9A1-8FFC849BE0D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59E1CC-8013-4222-8F38-347D6A7F770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51A9AA-1D75-4C29-BD72-5D5DFC5856D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D35D80-256C-489A-BDCE-9DDF12168FF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5EF7E90-2216-46BA-A87A-F84EE91544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B0DCD8-69CB-45D5-AE55-97C28FA92E5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98E282-F37D-4304-BB7E-E42814DC6A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BE22075-3D11-4CD2-87FE-9B47603932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0B790F-5867-47F0-BF65-6112B480E87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27C3B99-3538-470C-AA6C-A2118FA3596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29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A1D3F6E-9D8B-49D0-9A77-550597BD38A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508E12F-6235-426F-8ADB-3D82D38C808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E95CF93-36EE-4D0D-94F1-1A429EC215A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3"/>
    <xdr:sp macro="" textlink="">
      <xdr:nvSpPr>
        <xdr:cNvPr id="52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9DB9852-120B-474A-81CB-E0CA806D8A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3"/>
    <xdr:sp macro="" textlink="">
      <xdr:nvSpPr>
        <xdr:cNvPr id="52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10FFBBD-C53F-43EC-B29C-A495BFDB7B9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5E63F87-3956-40BE-B341-601AD0A96FD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545B6E-310C-4D3E-B5F2-B8B2A422611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FBFD635-3FE9-4A7E-946A-5A2F1228BF4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391F063-9CAD-48AC-B4CE-562C047707C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2CCBC0-486A-4871-98EF-F85F6B05BA8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C29C736-891F-4D4E-9DD5-569392C0C6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3D3763-EC79-44AB-BBD0-F279F6919CD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D894625-78F0-4F58-9F23-22E7AE564A3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BA8EF4B-64AE-4240-BF08-9E9099DE73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F77CB4F-8A1D-4D12-914B-F76ACA71BAD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F4BFF8-FEFE-4FA3-BB67-99533419493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EC03221E-D788-4279-98F4-46323B820DE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E598E36-05E2-4666-A9CD-DCAEBD8006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EE050D-F9EB-4E5E-8071-0C3EF5054F7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20E633B-9145-43A8-97CA-5C4CCB9E6B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C39BB9D-04CC-4074-83F3-38D40A6A16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D06172E6-A0ED-4F7D-8376-54F12AA5114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E3B9A3F-7484-4353-BC1B-79503C401E3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74463D-0A67-490B-97B3-1C49B0A32DB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A60AF7-F5EB-4B7C-A968-D37C025998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DE5628-5BFE-4698-B442-D304F60ABE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4BCC0F-1D32-4A2F-AB90-EA0709B6A7E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D5FDF28-DBC8-45CA-8B78-35EE808110B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0CE20F2-845E-444D-A7DB-4F5FFCDC1C7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3"/>
    <xdr:sp macro="" textlink="">
      <xdr:nvSpPr>
        <xdr:cNvPr id="52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0308E8A-FDEC-439D-B424-EE1AF6E21BD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3"/>
    <xdr:sp macro="" textlink="">
      <xdr:nvSpPr>
        <xdr:cNvPr id="52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34CC325-2213-4E45-A2E7-86754EFEBB3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B32DFE-1641-44F8-B917-B7C1F7B8917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3EF38F-9307-4D6D-B500-5B909EF5A0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382D0F-9A47-4AEB-B735-6B089B28EB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4F18130-445F-453C-8A65-7B2CA9D4BBE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C951B08-A596-4034-A629-9E82735C2F4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5CEF915-AA07-49C7-ABE6-9E9C64337D2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DDF6D9FC-120B-48A1-A8D7-0BEC0E11B89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C824C2E-E588-4A3A-81EC-578508D3753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3A99EF-B8D7-4230-8F80-A86279082BE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55915B-2F29-4D8F-9792-DB922DFA239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9C1F47D-19EA-439F-871F-4336E17A1BB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2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F59C603-2E34-4137-A13B-630445C3B1A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CF9AD74-F661-4D94-8D93-BA409FED321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FAD44B-3B54-4F83-8D17-B71BF765459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CE9FDB8-E1AC-4871-B014-D1D0268964A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2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F6FBD0D-3139-4365-859C-D8FDCBEF440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DFC80E2-5D33-4D9B-BC74-058EA53E80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FD1AD8-C1FC-4C6A-83B7-11DDA536B92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7DB43D-4B5D-4A4F-A11D-1B04A05AB0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2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9E54BA3-2B89-4B43-9917-3DA1B86BB27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C007AC-61E0-44C6-8FAB-0972EAD303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2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DE0EA2-339A-4FB3-B750-ED04E01E894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A2D27DE-F08E-47B0-AF78-1CBB9975E6F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ADF08AD-86FA-4DF6-8B2D-C3CC7A2D72C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3"/>
    <xdr:sp macro="" textlink="">
      <xdr:nvSpPr>
        <xdr:cNvPr id="53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2C437E9-C263-47F2-88BC-2E2910C76E3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3"/>
    <xdr:sp macro="" textlink="">
      <xdr:nvSpPr>
        <xdr:cNvPr id="53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91F172-06AD-4DDF-822B-D2FE926A0FD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3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0E35C2-88ED-4ECB-AC85-5C85C8AD47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3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7073B9-A03E-4A61-8DA9-C9052F268F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3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7B46D8-4260-43DF-9387-7A652EFD46D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3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270B6D-7536-448E-8626-2AA2A83883B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799EBE5-604A-438B-B497-EED0F792AFC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C0054D7-0C8E-413F-8413-FEF4DCC9B38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FC09CE4-88E0-4CF9-843B-7955E5D7F0B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071C04-3AF7-4354-834E-28FCA7B511E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3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F8B1A3-7C49-486F-A187-DD996C09268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3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77499D2-3EAD-406D-A705-32818A2EA3B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3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092772-ED05-4029-B84D-67DAEB3BEC0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5"/>
    <xdr:sp macro="" textlink="">
      <xdr:nvSpPr>
        <xdr:cNvPr id="53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18FE44-CAB0-41BE-B46F-79AEBB761BA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3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37B146-2495-446C-AAC3-8E4D284B85A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3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6EA81D0-5E01-4793-B695-1198FC8DF3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3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B1FF88-BF75-463B-AF23-D933CE10BE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20"/>
    <xdr:sp macro="" textlink="">
      <xdr:nvSpPr>
        <xdr:cNvPr id="53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AC02EA4-6B9D-4B54-A82D-76B92CDED60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3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9372D0-D390-4ABF-A7DB-1BE4740E516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3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5A641D-4CD5-4914-8F41-6B64A07AB07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3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D5FA57F8-E439-4C6F-87AF-1EA0D874F97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854"/>
    <xdr:sp macro="" textlink="">
      <xdr:nvSpPr>
        <xdr:cNvPr id="53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FFC527-A547-4CB9-8561-DA25CC98D6C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DCE363-953F-4CF5-8450-002B63901B3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E72F882-3474-4EC9-9638-441439DC850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A5FF29-5A7D-4FD3-950E-4EAA311A32A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8819"/>
    <xdr:sp macro="" textlink="">
      <xdr:nvSpPr>
        <xdr:cNvPr id="53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8A12DF-89B3-42F4-A1F0-647B3CF119F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7350"/>
    <xdr:sp macro="" textlink="">
      <xdr:nvSpPr>
        <xdr:cNvPr id="53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C94870-0204-4CB0-AA20-80B3E1ADEC3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7350"/>
    <xdr:sp macro="" textlink="">
      <xdr:nvSpPr>
        <xdr:cNvPr id="53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4B1755-0824-4291-998F-96F79DBF396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7350"/>
    <xdr:sp macro="" textlink="">
      <xdr:nvSpPr>
        <xdr:cNvPr id="53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759C18-A886-4001-B486-B689445BEA6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7350"/>
    <xdr:sp macro="" textlink="">
      <xdr:nvSpPr>
        <xdr:cNvPr id="53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DF685B-7C66-449D-BC3E-48221364BA4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7350"/>
    <xdr:sp macro="" textlink="">
      <xdr:nvSpPr>
        <xdr:cNvPr id="53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2BF39FF-7248-4A5C-B253-C8814F13120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7350"/>
    <xdr:sp macro="" textlink="">
      <xdr:nvSpPr>
        <xdr:cNvPr id="53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0BF177-BC98-45A4-84BE-6DA84011BC9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7350"/>
    <xdr:sp macro="" textlink="">
      <xdr:nvSpPr>
        <xdr:cNvPr id="53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88C966-CEB2-4B68-84B8-9D558A1DC41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7350"/>
    <xdr:sp macro="" textlink="">
      <xdr:nvSpPr>
        <xdr:cNvPr id="53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A37E0A2-6C67-4B79-9EAF-B876D235A6D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7350"/>
    <xdr:sp macro="" textlink="">
      <xdr:nvSpPr>
        <xdr:cNvPr id="53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402CBD-DC0D-4B14-8C2B-26B8D117464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7350"/>
    <xdr:sp macro="" textlink="">
      <xdr:nvSpPr>
        <xdr:cNvPr id="53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733893C-7626-4D5A-8294-45F6DB3B2D6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7350"/>
    <xdr:sp macro="" textlink="">
      <xdr:nvSpPr>
        <xdr:cNvPr id="53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F54721F-8690-4D6E-93A4-C456EC82748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7350"/>
    <xdr:sp macro="" textlink="">
      <xdr:nvSpPr>
        <xdr:cNvPr id="53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26D1003-FE7B-4843-ADC7-0514E745F10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7350"/>
    <xdr:sp macro="" textlink="">
      <xdr:nvSpPr>
        <xdr:cNvPr id="53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6093C1-3FB7-4E6C-8A73-648C4B7D9E5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7350"/>
    <xdr:sp macro="" textlink="">
      <xdr:nvSpPr>
        <xdr:cNvPr id="53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9CCD105-1C8E-4262-924D-54BA3259BEE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7350"/>
    <xdr:sp macro="" textlink="">
      <xdr:nvSpPr>
        <xdr:cNvPr id="53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C49AD55-B2D2-4146-957C-0D388DD120A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7350"/>
    <xdr:sp macro="" textlink="">
      <xdr:nvSpPr>
        <xdr:cNvPr id="53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E9D2EE1-CD35-4774-88AC-C418BC58522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8"/>
    <xdr:sp macro="" textlink="">
      <xdr:nvSpPr>
        <xdr:cNvPr id="53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B3A9851-872B-4C08-B461-70533909B8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8"/>
    <xdr:sp macro="" textlink="">
      <xdr:nvSpPr>
        <xdr:cNvPr id="53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821A1C7-EBDD-46F5-AAC7-2392D612A0F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4632C7-984B-4A63-BAFD-7D37367922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30D23F-C3A2-4BCF-B5F0-A2BDA489D55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F32EB2B-8CF2-4B8C-900C-534BFB8B187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BFB14D3-B836-4DAA-A0A8-62CDF22620E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B4120B-78E9-4BB9-8BCD-FA4408A601E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F0D697-F724-4874-916F-ABB9B2C59BC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787C0A-3870-499C-9DE6-C60BAA033ED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BC6EB2-3A48-418A-8B3D-5905F4729EE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3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04D546D-3AFA-4168-B1F6-336593EEDDD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3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25324B1-D22D-4B5B-BADD-344D4956F8D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3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40DB614-0DD4-4E37-BC21-DE99B41F693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3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B61FCC0-EC0B-40CF-B513-4F72217DAD4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3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A8C7B2-EFBF-4703-8C44-BCD91E8913F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3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1F7E40-9894-40C8-948A-CD1BEF164D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3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86742A-CC6A-4CCB-98B5-13E716409E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3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B5F9D3-0D30-49F4-B039-5D45D9ADF8D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183519-4AD0-4692-BEB2-0284584E35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F672C8C-EC75-44DC-ACE6-68FA7A2B92A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EEDE46C-9BC5-42BB-B2EE-78EC1E9E126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AA0FBEC-FA97-4B36-9ABD-0B2A7FABB8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9D567B-AC28-4611-B245-FA78CC5A68C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46A6F2-8685-4658-A399-59CE9975373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F82F8C-6C4D-4197-B25A-B0CB770948B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FF73B80-FA0E-4C8B-882C-A366045FF27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8"/>
    <xdr:sp macro="" textlink="">
      <xdr:nvSpPr>
        <xdr:cNvPr id="53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FF3120-49F2-40E3-954F-1225C65D553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8"/>
    <xdr:sp macro="" textlink="">
      <xdr:nvSpPr>
        <xdr:cNvPr id="53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ABC02D-3311-4682-A40A-0FBDE664D51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AC7E572-4E6F-4D66-8A81-C8A27C703C8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0DB986-35AE-4FD5-B24B-45D9F4CEED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5DE1FDB-60DC-4CA7-A036-2F9DE35657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3FF1460-5023-4C26-8FC0-44A43A8BCA4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443DAAE-8507-4DD3-B28C-BED56DA4FB4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29B4AB-893B-47F0-B9E8-9625676E7F3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E25050-5A26-4CDF-89A6-EC707166B2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926F07-42F9-4733-942C-F296D7487D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3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778BD6-A886-4104-B8EE-F3B4518CD55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3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8D0402E-F0C0-4ECA-8B9B-00F2FF7AF96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3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8A8589-3E71-4DA3-AD82-0403353169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3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43BADE-CAFC-42DD-8363-2C9E46B4928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3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69E87D03-D3BA-4CBD-9FA5-9AC7D96927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3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5D79C6-245A-4869-AA77-35D0C7A3603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3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9C6AE0D-2754-4BB8-B1A3-D7328CE4D5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3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222D2F-C2D6-45F2-8DA1-3E8F36C022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F41E144-1050-4870-8AC2-4196B191435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A58FC6C-6C6C-4587-8A33-0FC2572FC3D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42DBAFD-888B-4EC9-A706-840E13FBAD0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C1BF3E6-47B9-40D3-BF9D-4A970C0EC7F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BE5BB8-6B04-42BC-AB01-882406D4506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679D1C6-728F-42DB-AF90-F6C6D7DDCCF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CD3DE1-FECC-4734-B49C-0D0BEFC17B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3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7E88570-1C0A-4C96-A1B4-05B9DE7DD78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8"/>
    <xdr:sp macro="" textlink="">
      <xdr:nvSpPr>
        <xdr:cNvPr id="53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1C39DF-AAB9-43B0-B7C5-2F862CC1107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8"/>
    <xdr:sp macro="" textlink="">
      <xdr:nvSpPr>
        <xdr:cNvPr id="53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EABA8D-15B3-4C67-9F71-30420FC6E90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9A0407-D9FD-48B6-9E3E-CAEF5BCA275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3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5ACF00-E6D1-401E-9848-2EF2CF83B38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2433CBA-9487-4976-ACE8-F1459D74A3B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CE1D69-3B85-49FF-9441-76A71ACE206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4B0DA81-8BBA-49AC-9F75-CDC1F98480B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E78F5740-E672-4DA9-8960-FA71ECEB5C5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E3D273-75B8-4018-A34D-A601418EE58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A97F23D-0DE1-4DF7-8099-29D4E699544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4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A7C24DE-BF34-40C9-9AB7-EDCC9289C4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4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23C330-2758-40E0-86F7-6BBC2A1702D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4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E8D2CC3-8AAD-48C3-AFBB-9A4A450F8F2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4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D47EBD0-7C88-40A5-9329-1F781C545FA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4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74D16F-51BE-4C69-BD9F-3F3936356C8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4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B6595B-BFFA-4154-A20C-6F533756C2A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4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CDBD1D-DCC5-40B6-A4AD-983C6FF51FF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4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D24A643-5C60-428C-8641-7FA4EA435B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5F39D54-78CE-48AB-B354-FF13DE5E992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11594A9-9447-4066-9D79-C54FC01B172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B236F0-790B-4138-B09B-509EC9AB90B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D92D57-3BE5-4515-A452-78A2CAE276B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36DAE4-91B7-4F69-85B3-17A32CDF46F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7D2D877-F7B8-4016-8DBC-FE7D972027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029BAB-47B5-44E0-83A3-F0DC343E646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A4E55D0-5B81-4818-B321-2A082206475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8"/>
    <xdr:sp macro="" textlink="">
      <xdr:nvSpPr>
        <xdr:cNvPr id="54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F2EC4D-7F1C-4421-B206-28F0C094EE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8"/>
    <xdr:sp macro="" textlink="">
      <xdr:nvSpPr>
        <xdr:cNvPr id="54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4EB4EF-9A8A-451E-B201-84CFCC0342E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D8C66F-742D-4078-B00B-369C2A31AD2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4D6D38-D4FD-4741-93F6-875C1B72B0E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D5576D9-F76E-4EDA-AB21-B5BB36ECFB4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2245E9D-90DD-455C-AA78-F99A1E69AD1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BC4F43E-F666-4742-B2ED-5CCDC2D914A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F6FE2E-D71B-4B6D-BE0A-039D83203C1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799B7D-BF89-426F-8B76-C25A23B10FD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9160BCD-29B3-44D4-8F51-0E97B1DE899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4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8BA1A5-7403-4E22-9D72-C834ABDD3DA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4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0A5518A-8870-41E1-80DB-3B3764EC1C7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4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955328-33F9-430E-A5F8-095F5E6A1A0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80"/>
    <xdr:sp macro="" textlink="">
      <xdr:nvSpPr>
        <xdr:cNvPr id="54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A56A64-9643-438D-AC9D-BAA2624E27B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4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AFC4A7-BE39-48E6-8E30-DCDBF9A1B0D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4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633C2B2-EB09-424E-A03D-CAC9DBBBD76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4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D4FC421-E89D-4426-ACC4-7919CC8D09B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5"/>
    <xdr:sp macro="" textlink="">
      <xdr:nvSpPr>
        <xdr:cNvPr id="54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AF3783-13E9-497F-BF92-0572D161111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2DCD518-7B21-44FD-A482-B29D7DC0B4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DC1F89D-9B56-4DB3-BC6D-EBDBF604054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3A214BC-DFC0-4C9D-9739-F6BDAF57088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6679"/>
    <xdr:sp macro="" textlink="">
      <xdr:nvSpPr>
        <xdr:cNvPr id="54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92193A6-1841-4D4C-BDC5-1A29AE9BFE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57F3C6E-FC79-49F5-8667-67B0AF3184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8EC97C9-AD42-4B09-835F-DC9189226CF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934A29-71D0-40FF-B8D5-ABD3F98C413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5644"/>
    <xdr:sp macro="" textlink="">
      <xdr:nvSpPr>
        <xdr:cNvPr id="54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A6796B5-20B0-434F-B540-70E4840968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4175"/>
    <xdr:sp macro="" textlink="">
      <xdr:nvSpPr>
        <xdr:cNvPr id="54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642C06-706D-4D5E-B403-5EA9CB7D0B6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4175"/>
    <xdr:sp macro="" textlink="">
      <xdr:nvSpPr>
        <xdr:cNvPr id="54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F7A093-B00D-46DE-8B6B-12EB4EA36BB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4175"/>
    <xdr:sp macro="" textlink="">
      <xdr:nvSpPr>
        <xdr:cNvPr id="54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9E2DF51-50D9-4762-9B3C-0AFF686B762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4175"/>
    <xdr:sp macro="" textlink="">
      <xdr:nvSpPr>
        <xdr:cNvPr id="54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9533CF9-38C5-4A73-AA5F-472914FFB43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4175"/>
    <xdr:sp macro="" textlink="">
      <xdr:nvSpPr>
        <xdr:cNvPr id="54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FE46793-E4AD-4255-B496-DFBF7F14E7D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4175"/>
    <xdr:sp macro="" textlink="">
      <xdr:nvSpPr>
        <xdr:cNvPr id="54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1B901AA-34DA-4B1B-88EB-00AD33DBF1A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4175"/>
    <xdr:sp macro="" textlink="">
      <xdr:nvSpPr>
        <xdr:cNvPr id="54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483064-0398-41E5-8B93-28F8618F14A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4175"/>
    <xdr:sp macro="" textlink="">
      <xdr:nvSpPr>
        <xdr:cNvPr id="54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F0C389B-378C-46A8-A9CB-8D13CB54904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4175"/>
    <xdr:sp macro="" textlink="">
      <xdr:nvSpPr>
        <xdr:cNvPr id="54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42E7EA0A-125D-454B-BCD3-645938A6527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4175"/>
    <xdr:sp macro="" textlink="">
      <xdr:nvSpPr>
        <xdr:cNvPr id="54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9B9ACFD-0109-41AA-A8FC-7E25EE74198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4175"/>
    <xdr:sp macro="" textlink="">
      <xdr:nvSpPr>
        <xdr:cNvPr id="54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6A2877-F4F2-4A69-8311-9F37A6B2E04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4175"/>
    <xdr:sp macro="" textlink="">
      <xdr:nvSpPr>
        <xdr:cNvPr id="54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9A5FFEF-B94B-4327-98D5-1D41740A235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4175"/>
    <xdr:sp macro="" textlink="">
      <xdr:nvSpPr>
        <xdr:cNvPr id="54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DCC57E7-4E3B-4576-8272-A081FBC8F73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4175"/>
    <xdr:sp macro="" textlink="">
      <xdr:nvSpPr>
        <xdr:cNvPr id="54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EA67589-6B8F-44B1-8603-96289722C8E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4175"/>
    <xdr:sp macro="" textlink="">
      <xdr:nvSpPr>
        <xdr:cNvPr id="54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364AC4-61EE-4FFE-BE56-82ACAD04768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4175"/>
    <xdr:sp macro="" textlink="">
      <xdr:nvSpPr>
        <xdr:cNvPr id="54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2F817F2-2C76-497B-9059-78518B2BAE1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4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28F657A-6042-4A7D-ADF7-80AAB3B7480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4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DF6EBA1-82A8-47C6-9E73-F76D976EF9D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EABB97-9510-4EAD-983F-8AA7423974E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1954AA5-264B-4A4C-803F-45CF34AB069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F7445F-9D97-4B8D-9948-004274319FE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134B73D-5A5A-4649-9CEB-269BF7B7A1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5695606-9EA1-402C-97A0-53828AB2ADB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2DC242B-640D-4393-AFC8-66420A95B6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B7187B-5A2F-4DD2-A1A1-FD79FFD7A95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F85E04-DFC3-44BE-B2F6-4B3D2F3EA7B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4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C8C2B3D-D651-4E42-8D3B-BE2F349E83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4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5993E2CA-A476-49CE-90E4-F2D53140D1F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4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BCEECDD-F552-4F08-AC6F-7F451E21AC8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4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A283DA0-A5A5-4FE8-98B4-7CD2A833FDE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4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D3CD4A-4754-442B-BC82-12D4D7843F7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4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7ECFBD-7E6A-4133-A1E5-BCEE8E08982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4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8CD0DA0-5A36-4BE2-A829-CB8E6A7203D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4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0C8794-D890-4497-9D01-4EBAEF824B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299158D-E83E-4198-9D29-10E1EC947CB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A4EEF7-9EA5-45AA-87A3-4E14522E550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C79B4C-5FF8-48BF-9F18-BCE4E1ED7A5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6CF355-6B71-4BD3-B40F-22B785DFA4E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B256186-52C9-4487-90E5-CE3DA0BE520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DA10D3-E49E-4ED2-852F-52465CBBEF4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1CF99C-986D-4C42-BC64-1042F8287A0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D28AD78-D8E5-4BE1-AEA2-36EDA5FB24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4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DCBC7D-38A5-4BD8-AC93-3C13AC4DE2C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4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F1D314-2635-4BA2-A509-CB7A46BEE39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F4CD93-12D5-4929-B6D4-887C33AC4D7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35357242-2937-4AD3-BB93-E3F72EE0882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FC9F41-DE4F-4CAC-A16C-F0173FE8D3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4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A4EB42-E15C-4015-AB03-380F4F092C4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6FB389F-BBC8-471F-B4F7-4AC2BD0FD96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57ADA21-DED2-4A14-914C-03340433A82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497583-B22F-480C-9C9B-0D4BFA1D310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4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8FE7A6D-C1B1-477C-AF7C-5D8193F5989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22D398-44A8-4B21-A598-85DE95537B4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F4733D5-0AFF-41D6-B319-5FCB2A999D5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844426-E9B6-48E8-911C-2D78D98D7E6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495D03-295E-43EE-A50C-5FA6EF502A1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2225E0-0403-478E-89C2-E273E0F3144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A7DC20-53B8-4AF4-ACED-A4D6592322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83A35C5-B5DE-4B5A-8D3D-E3076423C65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BEDC887-2E98-41B6-A794-8F8E70B288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3C1A6F-A82E-4A15-905B-6BAD258250C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FE3573-964A-44DD-9C55-C3E43F2F851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4F26B41-C4F9-4E7F-90F0-81A3F79F538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0462829-1E49-47EE-8A33-5BEBEA32F29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22D02EB-2987-47DE-99EF-E23EDB34F5E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37F4EC-EEA4-4BB6-A5F1-E6A17B1C50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D59573-07D9-4888-8856-16D2AE6947B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E1A1C63-6CD7-4759-81CB-A90DE5DCF8B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5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5197C4D-27F1-46DF-8F75-4AFF1E71D8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5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9B2E3A-E657-488A-8699-A15281A6849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8C71BA0-1AE9-4EF6-B9A8-78C4ADC921A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71569C-43D5-4C10-8ECE-0AE095425DD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FE55508-C094-4080-A6F2-AD1E3EE397D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DAF8056-3852-41EF-A959-C4371210C01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8F0795-B473-4610-ACF0-257DAB47A56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A4223F-D241-41E0-85BE-98BEBF21A0C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E820DB9-8B05-4BBA-AF71-2349B0FFE1B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E049724-3110-45DD-992E-3362278785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2616EA-EB5D-4F65-86C5-7264E8F6DD7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FD87FC-CE18-4FAA-9AC0-228421F582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D2DFED-44AC-4771-9865-5CEDB9081B7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5799668-522C-487D-BC61-92E13FFBAC3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DC9115-C1CA-4C2F-9668-4788344379C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3540C9-4272-49FE-8D94-EAE0930CF96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5F177228-C572-4AF5-A518-7FD33510129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A1157F0-DCED-41DC-8193-D046C9CFDB0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4E0488-B202-4EF4-836B-6811DEF5AF3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6CB0DB-F21A-4813-8C0C-06A5805A218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14C093F-704B-424A-BEBB-167CD98311E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82E4FBF-C2FA-4136-A860-BADB326A548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463480-DDC8-470E-B31F-2C9BE44CB9C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75C6C2F-F06B-40DB-907C-3C3057EB34E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C26B2CE-6494-46C8-809B-B8D97BD2125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691CC142-91FD-4AE0-B3D6-0971D4DCEE9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5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54631D9-3845-4163-8813-EA2811E4013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5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71A12F-B94B-46FA-B75E-056015C1248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95E48F7-57B6-4C43-B295-89E5C7B7AB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9BD949-4AEE-4FC7-8AE8-A195BCCD632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FE07E1-FE79-4EB9-9CB2-FAFFFACA866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F0E3E5C-1EC7-49FE-AEDA-45608D39662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B83E90F-D686-46D3-82F4-71C0FCA780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9385643-644B-4E94-B614-D3D79F377A2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905FA6-0E94-443F-B6ED-BB912ED4F8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DB04099-9F79-4989-8281-5BED46B74E8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BBC9565-CF54-499D-904B-D3FB6237C3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E6E5A81-9750-4153-AB5E-48B4704EC9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F567D3-14F9-4C62-97E6-85368AE506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5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F8614B-4CE2-4B2F-A28E-0BC4321072F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03751B9-5A0A-4ECB-BBB9-37A4C9BFABD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0BED219-4A20-4731-9448-58EA09396DB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E69958B-CB73-47AB-8807-470D11051A1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5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A6D7C2F-AD13-4EDA-B3CD-5BBEEE79DCB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D773F1-7A3A-4953-8C52-9D9F678B0BD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63056E-EEC6-42C4-90E1-56B972F3145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77890AB-18CE-4243-A132-C3A534B304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5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239D078-20F5-4449-B715-5E7F258B173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02325B8-D80A-47CF-9C04-BB5EBEFAE7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EB5A5353-A935-4274-9BB3-E23542C05EA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DC47E6-6B0C-444C-94CD-7F233EBA61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5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505B028-0788-47AE-A38F-1FC06B1D696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1000"/>
    <xdr:sp macro="" textlink="">
      <xdr:nvSpPr>
        <xdr:cNvPr id="55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2C2F8A-D82E-4046-BCEF-EB0F30CC682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1000"/>
    <xdr:sp macro="" textlink="">
      <xdr:nvSpPr>
        <xdr:cNvPr id="55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791251-AFAA-412D-A71E-598A1BCB10D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1000"/>
    <xdr:sp macro="" textlink="">
      <xdr:nvSpPr>
        <xdr:cNvPr id="55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EE8B91F-FC69-4483-BA24-1DB1B72F3CE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1000"/>
    <xdr:sp macro="" textlink="">
      <xdr:nvSpPr>
        <xdr:cNvPr id="55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674A8F-A4C1-4F84-8FA5-27E26C74D86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1000"/>
    <xdr:sp macro="" textlink="">
      <xdr:nvSpPr>
        <xdr:cNvPr id="55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2E7C326-FDE6-49BF-A072-2521DC4A3E0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1000"/>
    <xdr:sp macro="" textlink="">
      <xdr:nvSpPr>
        <xdr:cNvPr id="55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7FE017-AD92-4679-A3E8-EE54AA8E9A3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1000"/>
    <xdr:sp macro="" textlink="">
      <xdr:nvSpPr>
        <xdr:cNvPr id="55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EDC72D2-7882-4203-9421-CC19704920A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1000"/>
    <xdr:sp macro="" textlink="">
      <xdr:nvSpPr>
        <xdr:cNvPr id="55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73A5890-9A6C-4607-A4A1-2470925455F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1000"/>
    <xdr:sp macro="" textlink="">
      <xdr:nvSpPr>
        <xdr:cNvPr id="55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6AE2941-3AA6-4F94-A675-874B09FE9FD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1000"/>
    <xdr:sp macro="" textlink="">
      <xdr:nvSpPr>
        <xdr:cNvPr id="55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1AA99D-4936-48BF-8BC7-0E389088176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1000"/>
    <xdr:sp macro="" textlink="">
      <xdr:nvSpPr>
        <xdr:cNvPr id="55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F0D864-EBA0-4A89-9A97-FCC6E5DE5ED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1000"/>
    <xdr:sp macro="" textlink="">
      <xdr:nvSpPr>
        <xdr:cNvPr id="55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F5C227-F399-4836-9398-35FFC190ECA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1000"/>
    <xdr:sp macro="" textlink="">
      <xdr:nvSpPr>
        <xdr:cNvPr id="55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851133C-838D-4737-B864-347798924BC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1000"/>
    <xdr:sp macro="" textlink="">
      <xdr:nvSpPr>
        <xdr:cNvPr id="55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DC80E54-BB8E-40E7-9FB0-AD3FA1927FE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51000"/>
    <xdr:sp macro="" textlink="">
      <xdr:nvSpPr>
        <xdr:cNvPr id="55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5D4B17-5015-46B3-9B21-387AECF523D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51000"/>
    <xdr:sp macro="" textlink="">
      <xdr:nvSpPr>
        <xdr:cNvPr id="55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3B9B724-0B64-4E93-AC68-BA3192E97A3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5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AD205DB-B40F-423A-9A6B-86700812DF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5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70ABA7-6959-4F9A-8788-67E948D48B6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5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CD7DD14-C8D5-4BD3-BF5E-FB77CF2AF19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5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FF840EC-E0E7-42D0-BD1E-2AF3951BC3A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5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5DF5BAC-949A-408B-B8BE-57A94EE2579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5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1C995A-2273-40D8-8C87-0C0B0230A02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5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E764047-02F0-41FB-AFA6-14874892DD4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5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B1D2EE3-1EF7-4514-BA90-88468BE921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5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1511A7-C97D-49DB-9880-62816E4CBA6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5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AA94B61-9702-4054-8DAE-6B628690B79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5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3807A64-9177-4821-89F9-D54AFCB566B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5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141034-82A8-4434-9E34-C6933411E84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5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D357E5-283A-472F-8420-ADC034CDDC9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5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DC9912-766F-4611-9297-BD3096697C4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5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F908F3-F278-46A0-ADBC-9828B17A1F1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5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C70A2FA-3309-4BDB-851B-F1AD1B44DFB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D3E573EF-20E6-445F-A500-B3DA557D90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111335-B5EE-4229-9CFF-B2F7DC0F94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42CE7C-462D-4394-A6CC-B026928BC5C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78C1CB3-C873-41C7-8767-988FBE0CFA5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A1B4CA-31F0-48EF-9241-2A289BE7FDD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141AD3-5610-4F84-B019-4297A30828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21B6B1B-38AE-4300-91C2-FBAE283EC6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4E4CD7-5302-4C63-B395-E4A41AA79C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CEDB5D-CA23-4D8F-92EF-52E55A8CE2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28CCFC-5DC0-4A48-BDA3-3614FF5D93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6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056854A-D678-4C04-B5B9-82CF36C70F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6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E06181-2E65-4F54-ADE9-0C250F9C33D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225B4B4-66FF-4137-856A-4DAEFE98EB5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B0DD8B-F067-467B-9D4E-D3D2DEE10A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5A8605-8B53-4F36-9DE5-E96B10C933A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FF07470-7937-4C3B-8A66-21E2055126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FAC670E-A47B-427E-A302-7AD52D1729E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B3A1D5-7606-401C-8034-6D85553F6EA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3059FD44-F284-49E1-AC91-5C43812A4D0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F9C6D89-203E-456E-AD4D-1C83A046BE9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0B79B84-34D7-4E3E-BC2D-FE1E4DF20E5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1DDE80-4505-4911-A7FF-E5C5BB1934E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DEAB0B6-C8EA-4425-A348-57112AFC075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4621586-5CD1-406D-BC07-2C046A0085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BF3BF14-929E-47EC-99F4-CE1E24E294D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BFC1398-8AEF-48F3-84B1-8DCD835872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3AB034D6-F723-4159-89F6-FAA9EB8B33F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9DD6BA-AC30-4A6B-80F4-E0DC3565E0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A312C6-7C84-4CED-BA45-AF08295A3BC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E1A304E-0AB9-4017-95FC-6AA05EB6DF9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22195A-B3D8-4D9E-833E-383D4E7E349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69935FF-D623-4D62-9ACB-5C0F54953DD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BD4DC737-457F-42B0-8351-74D36565D2A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5F3F46-CA38-4B4A-AB6C-2E346B508BD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00EAE0F-2E91-4962-A8FA-FBE2AB4B359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022E5CC-50CC-45AC-B7D3-1AE7C1E8327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6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1D0D8B8-D05F-4985-9EB8-3BC25BF93DD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6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4E9B63E-1F65-47D9-9DCB-A85C3F82E4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C9B411-312B-4866-8E43-5596078F5E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0D6DFB-1A39-42FF-BAA7-17AD162995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3DE2EB7-6A0E-4238-847E-9DBE0EA7266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02DE6C-9108-429D-89EE-4F3201FE516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75CA781-575C-4D1A-B09B-C9E1D8D3854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AEA3C1-D9F9-44B6-8225-A1660092831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80CB369-00E5-4CD2-AF11-6E9C54500F7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04EF7B9-18EE-4674-98DD-39B29B294E2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C0ADE2-7B77-4030-906D-5903F87D332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ED810F-DE6E-460D-BCE8-77D727CAEDC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BACE84-EE50-41C3-A5B8-8A747E3F76E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1E31780-5B1D-4527-B6CE-E353C70AD53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B708661-C020-4726-95BE-6298E3B482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D1ADD0-C265-46ED-B312-A1A56ACC87E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2686DCA-B3F2-4401-899A-3065F63E18B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64EBFBB-4A2F-45A3-BD45-3888442379A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BC0EAE-48B7-46FA-A27B-E50E5F68C83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2150B7C-AC04-4EF8-936B-5F149228BF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0EE2A5D-32FA-481A-BEC1-A566AEAAEC3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937745-DEA3-43CF-A5C2-D31A5AEFAEB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54E3D1D-2DA6-4701-948D-342357BF852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1FE553A-C1FC-4295-89B1-5AFEE8861AF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FEECDE-9AE2-40E2-897A-5F99435C037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82D872-45AF-441B-B997-52E33542A9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6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12F2D3-B7EA-4F09-ABBE-3992512557D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6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73DD1B5-195B-4957-941D-5CD64661C79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89367DB-37F1-4574-BDA2-EE8CB6A7B5B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5C28FC-0B30-4571-8988-C22684A7BD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B5E060-388A-4079-A06E-0EAF44277A2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1EFCCE2-0257-4203-9646-BCCE5ED1447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F99848-E515-4376-A87E-3B64281AD61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5379B91-6EF4-471E-AEEC-B3D262F1134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D3D1F38-CA34-4C25-95A7-69B3B1E62E3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991B7C-A869-4D6C-A7E1-77674BE34B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87C2B4-3FD6-4AA5-87DB-04565EDB26E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76A7A2-6700-454F-8C3F-89E71A47910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C6C0F1-1679-4E21-ABDF-134C23BC543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6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AE1B0BB-F955-4AFA-B3F1-82A79FE9E5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D7B1B6-19E3-4B77-BAB9-8A07ED69C55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C13D166-E399-4506-9CDC-8CBAD0B2CB7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D3F59C-18DE-438B-922F-75B800B07E8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6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B476B49-E2E9-4BF2-B49F-05ACABB7B7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0ABAE9-A675-47D3-83CB-AA2F1F9A393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16C6B2-3AB8-41F5-867A-2BFBF5C7A17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1FAF4DA-AAEE-4144-9EAC-0FDB6074A09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6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3AC8F7-8A26-46A1-82CF-B50574C989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0E90D2-7264-45FA-95A7-DD83957041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7EC19C-0FC3-47EE-AD90-E4F7B17AB6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5CD8AF-2EBA-4460-BD48-CC289638147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6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DD973F-F0E4-4844-9BF1-7D792FD0C0E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47825"/>
    <xdr:sp macro="" textlink="">
      <xdr:nvSpPr>
        <xdr:cNvPr id="56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E14788-61A2-40E8-8366-15FDCCEB862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47825"/>
    <xdr:sp macro="" textlink="">
      <xdr:nvSpPr>
        <xdr:cNvPr id="56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C3E63F-0598-4FCB-BA34-57681AEF1AE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47825"/>
    <xdr:sp macro="" textlink="">
      <xdr:nvSpPr>
        <xdr:cNvPr id="56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90F1E5D-9331-4845-939C-846C4CD2991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47825"/>
    <xdr:sp macro="" textlink="">
      <xdr:nvSpPr>
        <xdr:cNvPr id="56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2ADB2CF-1FC6-4753-9C48-4A7410CCE3C2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47825"/>
    <xdr:sp macro="" textlink="">
      <xdr:nvSpPr>
        <xdr:cNvPr id="56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4A98B8B-A9D2-44B2-BD4A-30C341658C9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47825"/>
    <xdr:sp macro="" textlink="">
      <xdr:nvSpPr>
        <xdr:cNvPr id="56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F1909DE-37FD-4C5A-9A95-F6CD7468033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47825"/>
    <xdr:sp macro="" textlink="">
      <xdr:nvSpPr>
        <xdr:cNvPr id="56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6457C9-ED55-4A21-A5E7-70E6E203083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47825"/>
    <xdr:sp macro="" textlink="">
      <xdr:nvSpPr>
        <xdr:cNvPr id="56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7CF38D72-16B1-421A-9E57-18033FF3B38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47825"/>
    <xdr:sp macro="" textlink="">
      <xdr:nvSpPr>
        <xdr:cNvPr id="56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7726683-164C-47FA-8D74-69D92AB921B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47825"/>
    <xdr:sp macro="" textlink="">
      <xdr:nvSpPr>
        <xdr:cNvPr id="56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38F9E0-B7A9-4E45-BD34-6C1665CF8B7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47825"/>
    <xdr:sp macro="" textlink="">
      <xdr:nvSpPr>
        <xdr:cNvPr id="56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5A54D5-13C4-4226-B21E-DD3D3D79ECA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47825"/>
    <xdr:sp macro="" textlink="">
      <xdr:nvSpPr>
        <xdr:cNvPr id="56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9EC75F3-2E8D-4673-A3FC-14DE7587948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47825"/>
    <xdr:sp macro="" textlink="">
      <xdr:nvSpPr>
        <xdr:cNvPr id="57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0EFF84-7FB3-4FFC-8749-5C3C58E8AC5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47825"/>
    <xdr:sp macro="" textlink="">
      <xdr:nvSpPr>
        <xdr:cNvPr id="57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EEB967-69E4-47C6-AE5E-98C7DE35AA7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1095" cy="1647825"/>
    <xdr:sp macro="" textlink="">
      <xdr:nvSpPr>
        <xdr:cNvPr id="57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449142-2255-40A9-B194-72922D4B131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10</xdr:row>
      <xdr:rowOff>0</xdr:rowOff>
    </xdr:from>
    <xdr:ext cx="162152" cy="1647825"/>
    <xdr:sp macro="" textlink="">
      <xdr:nvSpPr>
        <xdr:cNvPr id="57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E884C0A9-C8A4-4C71-AC5B-24D42E12E21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7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E775AD2-905C-4E61-9A5D-5B9C77D9BAF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7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36C5C9F-8AD0-468D-8ED8-1F289B92331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16944B8-3690-40B3-BDAF-280FECBDC4F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BE03049-A181-48E2-885A-317C181BBA2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7F1085C-F0F3-41A6-97B2-DE53426AE8D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BC47BFC-3544-4300-9C8A-7F8AB8D8648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44A2F7-42F4-4966-BC0F-0BB3DCB94B2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772700-7295-4C8E-9861-B437794E876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6BFDA3-8578-4759-A0BE-222C92509E3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ACC626-5853-4094-B971-1566FAFFF9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F37912-0D11-498A-8EBE-29E10320084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25DEB29-9911-4778-B592-0320D2DA282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F8CD783-ACA6-4DBF-8FB1-05792B68ED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9EA937A-DE0F-4E7F-B9C6-BB8C2127735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E53E89-0C91-42E4-B477-8890E305E48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1CA7510-48FC-4395-9752-31CD843A504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DB7036-2347-4E84-8CD8-B51E36A5BA1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38007A-F521-4A72-B700-1A55DC511D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F26E07-7A55-4AFF-9B6A-200DBFC4F9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97DC4B6-1304-4CE2-AAC6-FF0AC7ACF04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EB3F71-18E2-4A65-9190-1EB2D4BD95F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CC7BA3-6D8E-45BE-AFC4-E18A2522E5B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77D4BB-08FD-414A-8BE4-D5DE94F725C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A3BC2F0-E5E0-416C-BF1A-AFC9E796705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9EF4E8-E0D0-4819-BDD5-4E219EFF0FE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9DD9DA-6BE2-41EB-96B0-5AF188F1FE8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7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27B611E-9690-4989-B160-84629BA3EC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7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9563D17-3F4C-4241-BE01-5F33FF88B4D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670EA34-CBAA-4F96-914C-C3EEB4581EC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7E8DC1-6C4C-42D3-B08D-713602428E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66D71A-2283-4C0F-9D8E-92245FBE931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C80C5EE-8FFF-442B-BE24-30E41BE30C3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3CCD59A-B9C9-4ADB-9D62-9A66CDFD8B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7CCBAB1-E1AD-49F2-A6A4-3DD2541A0E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B9978F-AC5C-49E7-9A3B-DA81D0A8CF0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85FEF3-9CDE-4996-848E-B46CD308A6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58FAF3-20F2-48B3-9538-709E330A9A5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8B9764-3BD7-4D62-B209-4F958EFD85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E68099-7466-4A28-A18A-5BC07E679C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5203F0B-0DFE-4506-A163-835507BE20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354F0F-E4A7-4783-B9D1-29B274469D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2E160E3-338C-4027-AC63-EE6071B633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C530053-19E9-45ED-8359-E679AE92DD3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85BD54-E3AF-4D12-8A39-E842281925C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084016-2BA6-41F9-95E4-567016229F2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1C26D1-15CE-48D1-896E-2A34499830B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9B371F3-64B7-43C4-9C7E-CA4B7A6212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94E3E4-6323-4D12-AE9C-8A0300A880E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51EAB00-3F35-4351-85EE-AE8B37CBEF6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3DF4901-9119-4422-8A09-8EEDD986F15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033D6C-5E3C-47DC-B0D9-9210EB2CFF3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5C975D4-D321-45DB-82FA-49A2B5F7A2D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7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8A164E-BE5D-4116-8FBD-6D004F5553B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7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8D225AC-C193-481B-B2F5-832CBA2283C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88E69AF-94A9-42F6-870F-A4EA13E83B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56C5E4-08CB-49E7-B08A-4116DCABC7F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B715B10-AB26-4A31-AC81-A5AA71EA376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A6BACAB-36EE-4F20-8570-ACDB85CAB62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DB750A9-C516-4240-ADDB-2BEBE07EAB6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387EA6D-7432-4A8F-8BE7-C56E665EAF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CE71F6-9715-4638-A291-999C2D4686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72B760-6CC8-47A6-9FBC-65374F60C5A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D9E9C82-9727-4478-AF70-D57B944EF0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BDD9729-25FF-4924-B04E-5FEDFC083D0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B3665E-ADEB-4A65-A9AD-4CB0E27B747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D0E2E8-36E0-4D54-87B2-3E6CC71F40B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6D9498B-7F86-4A63-811F-52FB48D6E61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074242-114D-4615-9D38-AF1B052842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ACF3EE-9BAC-448A-B40B-7D192B442CC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91559A-0E15-4EBE-B439-8F2A9BB50DD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44575C-08D8-44B4-9141-54F470F50A6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4299B1B-7249-4E1A-B91E-EEEFD83FE04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D75C1E9-D0CD-445A-8419-0DC8190D965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A48C584-F49B-4B76-8B54-7C6FDD27299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0122F8-931A-4EBD-9D2F-B38524BF3E4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3268C2-2B7A-4E68-986F-B35C529A781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DED887-8A7D-4EB7-A91A-EBAB87D606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C5DA2D-9C14-404E-8A26-DFD107DD86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7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BC8E35D-DC69-4DBF-BCB3-4A161C3FB0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3"/>
    <xdr:sp macro="" textlink="">
      <xdr:nvSpPr>
        <xdr:cNvPr id="57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3FBB621A-7C42-4325-84AD-836D00D0B7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526D1D-9CD8-489F-A805-E1EE2757554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1C0003-8EED-4F6F-9CCB-9AD40678553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3A2680-80FD-4322-9DB5-3A67567EE0C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7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94B1531-5269-47F6-9537-18CB01D029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948106-BEF1-4B56-A0CF-EF916CCDDE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6265F41-BE8D-4AAA-8758-C8ED2C61F2E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85D506-7F8B-4BC1-A376-EFB6F1605EC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7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A1DECD3-C705-4448-BD32-4E6D3D11F55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72998F9-9DE9-4B08-A283-7A1C5C8C9DA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0821936-3439-41D3-A1D4-FE3F7382C26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D3F899B6-8061-4807-BE97-7754220A4B7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5"/>
    <xdr:sp macro="" textlink="">
      <xdr:nvSpPr>
        <xdr:cNvPr id="57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F653EB9-E195-410A-A7F1-5DB0AAB463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072F8A-DFA5-49B5-9929-CAD9D9B9966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021AEA1-8461-48DD-9E95-630E1B451F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B9FB7BF-1F0C-41C4-9E00-8D3E5470E2B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70"/>
    <xdr:sp macro="" textlink="">
      <xdr:nvSpPr>
        <xdr:cNvPr id="57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FF083242-21EA-4E6D-8892-3C106E2605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8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F750267-7DEB-45E1-BC66-54D35398956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8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FEFA21B-524B-4D8E-8493-F4CBBA7C1A3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8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5791CB3-41AB-4596-BDE4-C86CEE7F276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3504"/>
    <xdr:sp macro="" textlink="">
      <xdr:nvSpPr>
        <xdr:cNvPr id="58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93273F-2ED1-4116-BA47-2E3CE69D884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8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A30EBE-3796-4BF6-A0B8-974C8841C9D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8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A4AE14B-1BE3-45C3-96FE-43EFC9CC77A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8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85129D-B209-4A5C-B190-8D5574F8ACB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72469"/>
    <xdr:sp macro="" textlink="">
      <xdr:nvSpPr>
        <xdr:cNvPr id="58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892D8E-FBE4-4F99-B97D-15AA77908DA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8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C9EEA04-05AC-47ED-804F-2BE999EC2A4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8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5B6AD4D-9D48-4607-85C8-A3294C90479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8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8930CCC-89E0-4BCC-93C5-1EE4AF07B80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8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106B9D7-153B-4C5A-9E93-7DB7FC53249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8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BF898FB-5B44-464D-BF90-985065CB7DE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8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B86C8E-E190-41EA-A6AC-82E59BE2642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8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501978A-6C36-4B3F-9D41-3FE38884C97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8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AD3C06-B11A-4F75-B035-A2EC9293248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8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9AAC62-7B53-490E-8514-4E6A8C2D039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8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3B1A1B-BCAA-4B01-862C-977B42AB1A7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8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7D2210E-407C-4936-A655-CC0A86DF518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8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8EC2D60-E4AB-4E3F-810C-AF23D3BB206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8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75FF79-00CB-4641-A368-D207FD39D5B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8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1AFB600-1F86-47DE-B5D5-2D32D0E601A2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8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4015E73-2C5C-49E3-9DD9-5F1E4E59AA7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8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F15955-D6CA-4886-828D-166A68CC7C9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8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F2FDD4-F8E4-4C21-A62C-02F3E7EE441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8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2C86199-611C-4657-912D-E4F657DA252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F30468D-3A06-4E87-AC93-4C63BF11F2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E598546-1544-44A1-B877-EC4F6B58FA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970B72C-F9D9-4ADF-9CE9-D7A19241E71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50458A-7C62-48F5-9656-500AC10FF34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05E50C-E5C3-4D0C-90B0-0A75642B1EE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86726B-56DC-4350-9BBF-3BCB9BC70C3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A8B8787-1659-4CB2-B59E-07F32AC6634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3B4273C-0E1A-4243-9FF5-75860F7B70D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A74844-0F71-411A-A95F-ABC23DDA509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A3809F-E58B-48DB-A3E9-D5D584B80DF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0B357DD-E29C-404C-A1D7-0EBE946F92B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9894B99-B96F-4EC5-9E23-136FCD6988E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E8C815-F98E-4718-8561-E4173C2A9FA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6BDF7E-20BB-487E-99AE-04B5143148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35B4B2-1B8E-42B5-A5BC-04435911D5B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ED52B1C-BE5E-429A-9EB2-CDE66300965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E69A06-825A-4FB5-B346-C86A0EF117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7498DE-11B6-49AF-B385-28E8ABB69B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5FA20C-1AB6-488E-AD0C-ACC31880600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491F5DC-A0F9-49E2-B882-F3AD7E9F34E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87BDB45-D949-4B20-84F8-5993BB166F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912C82-BE54-4689-A11C-06FD4165716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BAA615C-91A5-426A-9647-30BE6CA0DA9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B4C175A-CAEA-4D5A-9594-EEE6A6231B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8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524839-4056-40AC-A9C7-B747A08785A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8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C0E1779-163E-480E-A50E-940F49A1F6E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98ED58-AFC6-4E19-86E7-284260A80E9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21C4309-E0A3-4DAA-8421-A5708224DF3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DFA81E1-0F7E-4597-8ED0-E29E366CC4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C5A4AF-8D10-4E1A-8A63-4F83CDDC8E1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5528434-683D-435A-A436-9985D0B09F8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BF816139-2BD7-4EB2-B7C2-AB558C126FB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90C9F35-7ED6-4C7A-A1F3-2BD1366BD9B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FDFC666C-DE8F-45D7-96E0-71F095AE97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D10E2958-C453-4BA8-B206-EE3A13EDA88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607C818-750A-475B-A3B7-6019C871DB2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643D024-6373-4137-AC45-FA0BA337A3A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8B299DB-29E8-4258-9C6E-30D983C6E15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0A4FD0-1390-44CA-BD6B-88F5743AE36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5912C3CA-6F84-4F95-8D32-290CDB9F6C3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7FBB32-6C0F-44B5-8241-998DE9870E3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454E6F6-4F01-43FF-B202-4F9E231A1AB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4A04874-3B60-4037-812C-CBE089B5E45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99A4BD-7969-46DB-9EA3-08705071051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9F6221B-6C97-4DD1-A049-70D61E0149A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D14B86F-20A6-4298-A4E4-43A0607917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582486E-4E87-4E21-AB9A-1839C975338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7A750A-CD43-4E9C-A5DE-D939AC2622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4DC35F-FDC4-4E37-B56B-51FB9011C9D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FA14E2-92E5-486F-9D1A-0922044E337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8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1D746FB-098E-43AF-9691-1D0BEAF9651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8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534756C-7A47-406C-B828-745A75F8844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F694B2-77C0-4CCC-A51E-C53DB9E54C5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C77C2B6-18F7-478A-B409-E8E07A0A9BB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4EA155-03A8-4EF8-905E-96BBD9D927B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D32702D-8D6F-4A9B-B453-FCAECAFAA79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31319A7-AC0F-4F4D-A8CC-560B3FDCAA6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93F0C4-702D-49B3-91E3-6A9F2F41F56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537AF3-82CD-4DFE-8F63-21C39484A16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571BCB3A-47D7-4791-B48C-5D235EC8428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22E43C1-EC28-4562-864F-D8710D3013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A68FE32-B742-4244-9410-E888C9B31DF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D12E2E1-8E8C-426B-8BB2-3A4A180AB0B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8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CF90A29-2AF3-40D0-B563-7ABD247C912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44AA148-1353-45DE-9C1E-356B707DB25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D4560A2-B5CD-4C6D-B83B-AAD251069C7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474F9E-F737-4EF7-9690-90BCC631912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8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C30E34-D57D-4B45-9019-EE780EABC7B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77B6C88-1141-4671-BE4F-8E031AA6388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5E513DF-7B6E-40C7-9B21-526D0EC91E0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F72FFA8-8B69-4131-AC01-49BE0979D40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8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C472D3D-D80C-4936-A2D3-80C017D09AF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631BD8-C864-4CDE-A560-3E427C57213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8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25C6E5-E4D0-48D5-89A1-770A530F48D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831EE1C-DB94-43FD-974D-BCAAA5A8FB5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154D915-42DC-4CA6-97CF-53A2DB17C6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9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F7B3634-C83E-4BE8-996A-6EA57DE5676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8"/>
    <xdr:sp macro="" textlink="">
      <xdr:nvSpPr>
        <xdr:cNvPr id="59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6FDC83-1A92-4713-B153-AD5862CC891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9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A2071DC-1035-412A-935F-9479FA252B2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9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D0025A-9979-4BF1-92C5-1AF19AE6552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9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99A9974-CFCE-4A7E-ADB9-BC0C3B8DC3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9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DF23796-C5C3-4187-A0FD-491F28C1A4E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963777-B48D-4AE7-AC04-D430DD29347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BCF9EFF-4D0D-4524-A93E-195FCA82A98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7F4A9A-A9F4-4016-856D-6D789DF2D6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B63883-1D46-4DFA-9266-CB2E8D8A157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9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0C1AB2-2916-4CA4-8953-B79E3863BD6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9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F0936F-B084-414A-80B1-02AAC890FAF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9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D63F824-42F4-40A4-A3BE-71457ABA90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30"/>
    <xdr:sp macro="" textlink="">
      <xdr:nvSpPr>
        <xdr:cNvPr id="59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EE38B4-FEAA-4DF8-8010-CD9D48B950F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9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EFC7B31-A3B8-4C5E-BCF3-88456DD83D6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9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9FAFAF8-0E2E-4136-BB83-8ADF20F8ED0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9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E8172AE-3CC7-47EC-8DC8-247478EC2AC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5"/>
    <xdr:sp macro="" textlink="">
      <xdr:nvSpPr>
        <xdr:cNvPr id="59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BA6609-60C7-4223-9FF0-8D1F3451561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9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AE9919C-AA9D-4885-86D9-9B200E1A925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9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2C5A2E-A6E6-4C3A-B7EB-026ACEE918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9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654AF78-9263-46E8-AB1F-86B3221777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0329"/>
    <xdr:sp macro="" textlink="">
      <xdr:nvSpPr>
        <xdr:cNvPr id="59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91D5046-99A2-463A-BC9E-1AAFC598204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5245FB-ACFE-4B45-BF49-8042478ED9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D94166-F9CE-4F33-84BF-3E375E24BFE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207D70B-8E63-40A6-858F-71BC5D1FE4A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43587</xdr:rowOff>
    </xdr:from>
    <xdr:ext cx="45719" cy="1669294"/>
    <xdr:sp macro="" textlink="">
      <xdr:nvSpPr>
        <xdr:cNvPr id="59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7CFAFCD-729C-4E60-A104-6EB35E73AC7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88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9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B26818-7AC9-4138-9EE0-88EC8E64E70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9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83A8C4-9DBE-410F-85F3-4DBE0368808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9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9702D11-09B4-4C54-8420-6D967BAD410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9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2B1B4A-2E7B-4444-B73E-511B8A1115E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9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D63787-D5AD-4A58-A97B-6F483210C74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9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79E2E00-4554-4D0A-9E42-FC44E530DFE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9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D5603A2-191E-4260-8B0D-BABD99C81D7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9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A64144-24DD-48FA-B6C8-C1F87A78A78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9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731368B-01A9-4810-BEE9-6BA4E1AF64E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9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315CD0-E488-4668-8F57-85017066223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9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76AEECA-3414-4D82-AA8B-D357076AA5C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9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59C9A8-2064-4551-AD12-80F07682742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9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AADC2B2-BC38-4249-B0C4-AC05E84E825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9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B4A143-E042-401B-AD87-E33CDD8D2F0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1095" cy="1643591"/>
    <xdr:sp macro="" textlink="">
      <xdr:nvSpPr>
        <xdr:cNvPr id="59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D0DB94-577C-45EB-B896-66CBB0FAC39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10</xdr:row>
      <xdr:rowOff>0</xdr:rowOff>
    </xdr:from>
    <xdr:ext cx="162152" cy="1643591"/>
    <xdr:sp macro="" textlink="">
      <xdr:nvSpPr>
        <xdr:cNvPr id="59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10D429-CD8D-4120-9294-6C6D03535DE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5844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3"/>
    <xdr:sp macro="" textlink="">
      <xdr:nvSpPr>
        <xdr:cNvPr id="59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28284C-5512-4B63-B1A5-D61242C3474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3"/>
    <xdr:sp macro="" textlink="">
      <xdr:nvSpPr>
        <xdr:cNvPr id="59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CD3763D-82E9-4EA4-B80B-DBB211FFE2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4D2706DB-C040-465C-B91F-DB70242F592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78F78A7-A043-49CE-B3B0-54E86FB6296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EFECB66-B647-4127-9301-F1C6E1025B9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C444E93-BC6D-4287-811F-EB7FB760F65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E970D69-252A-44DB-9736-36582164B2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BB8E53-EFB2-47DD-B5BA-78E68D3657F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4F8E89-A751-44A8-B715-E73EE016347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8A207B-C44B-4153-918A-C58BD3C2A09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59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D12A0E-A14D-40D6-B062-813C6BEDBD9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59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5F5CB6-0267-42B5-A253-7E1F3E504FF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59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558300-7E36-45C1-A52C-FBC18ED1F1E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59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C43BAC-7FD1-40F2-A6DA-94C7896D143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59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E7E5E2-9BDE-41B6-9373-BA5AFBA39B7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59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7D5003-C2EE-40B4-95D9-3F60695214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59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89336F-A9D1-4BBE-90A0-C810A181223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59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CE5020E-ED92-4ACA-A1E4-7E41481A55D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AFDEFF-7722-4D71-8980-25DFF5E7C8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479BA53-7056-46DC-9F10-30DA50F9EB4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806015-5287-4354-B023-9E102F517BF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5FBE1A-50CD-40A3-9DFE-C48B5C917DB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BC695BD-F133-4F38-BFB0-915E6A0E85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A9880BC-30C0-4F3A-BA25-39D3D19F2A1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CD3D43D-0753-4BAF-A548-82F9511730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8258707-86A6-4730-BB79-828439ABD9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3"/>
    <xdr:sp macro="" textlink="">
      <xdr:nvSpPr>
        <xdr:cNvPr id="59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378071-DA95-4DAA-9779-A608ED515A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3"/>
    <xdr:sp macro="" textlink="">
      <xdr:nvSpPr>
        <xdr:cNvPr id="59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139085-1CC5-41E3-BA53-B5C6B286C86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F227A26-8777-4F91-BDC2-120AF1A1E0A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A39E90-73EE-4414-B018-30735BCCCEB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8A68571-1220-4E70-A3AA-ED7C79120F1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F9C4F67-6189-4B94-80F5-6BB9DBBB266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506871F-05B4-48F0-ABDE-324357604D0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44190D-0386-4EF2-924B-EA3CBBC5F4E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02499C-9F00-43EE-A3E7-2D17D536B71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83BFE5C-757E-4E71-96EF-706E9BA37F6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59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731ACE-2178-4DD6-AF35-3D55069B7D9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59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4C298A-BD4E-4BA4-859C-FC5E69F06C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59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9160FC-7250-40EC-B905-8F7D212CA0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59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4B7D6B-4F12-473D-83F9-E26D5D7B8D7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59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CE650B4-8CAA-418A-AF81-628F9B5B0FB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59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34F085A-1E4E-476D-9D3E-746C5192F7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59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A7F5971-2DB6-40AD-AAB1-DCCCD59A0A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59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409169-E066-42A8-90DE-2DB8EBCACB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FC8440-66CD-4BC3-B138-CFA20E1EFCC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1D6223-9C34-4B5C-AB57-7A57F4B19EE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954405-584C-4562-8D33-EE4F591E143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6965814-78D2-449F-8A31-ADA1D92F4D9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B32A1A7-DEF5-4AB0-952D-688C7AC675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148122-3736-41E6-A82B-AF98E8B944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2270099-CDBD-48FC-B56E-01065CB5BA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59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FE71B69-C0EF-494F-BFC0-EDE2D2C3E9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3"/>
    <xdr:sp macro="" textlink="">
      <xdr:nvSpPr>
        <xdr:cNvPr id="59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B68A52-C67C-4958-9901-02EEB7FA4A4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3"/>
    <xdr:sp macro="" textlink="">
      <xdr:nvSpPr>
        <xdr:cNvPr id="59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CDB9E2F-3EEB-4153-BA3C-6561CB54EE6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7594424-4AD3-4740-BDA7-B1A538739F8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59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14C872-B739-41F9-8153-C9737EB0702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2522D5-2B20-4638-BC8D-0516176F95D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CFDC232-D591-4FD2-BD0C-DD3BCA88C55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931D1A-386A-47B8-A41A-0589B1452A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10B2841-5D57-455A-9763-7920E15FB6F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1A8D3A5-D9F7-409B-9D09-52D494498A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9E511C-37F9-4710-B671-3D3C290B1B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60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EAFE6D-8289-4BFF-8728-079D7339C3B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60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24D19A-AEDE-422C-B72A-441876F359E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60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DAC5D97-4533-4389-BEC2-B4A03C02504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60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DCB9AC0-2A24-47E0-9A37-B64C5D75C2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60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2CD38F-0962-4292-B8AA-3E87DA10D37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60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207DB51-92ED-48BA-B54A-F73AA742446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60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DBC282B5-BC62-4DCE-8B21-447E5F0B4E8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60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EAE6024-C9B7-4FED-B8FB-E2F6624DE8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DDAC327-C5B4-4C4F-A6BD-228ABCEBCD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6FE6EF4-1BD7-4526-A44A-5830F430D0E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9C907C-F1AB-4065-A448-DC9288C8CF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A02816-AC35-4EDB-AB3A-E74735A1739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2DBC8A6-9614-47BF-90B7-838E4E4479B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256861-64B8-47D0-BFD1-7BEF19001E4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50B1A06-4487-4084-9EB3-CE331585BF7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53C3831-D833-44D8-8E79-824D9BCF7E6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3"/>
    <xdr:sp macro="" textlink="">
      <xdr:nvSpPr>
        <xdr:cNvPr id="60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A059A5-445E-43A6-9231-8515D62FA33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3"/>
    <xdr:sp macro="" textlink="">
      <xdr:nvSpPr>
        <xdr:cNvPr id="60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5D9B9CC-FB5A-4A78-8DE9-CFA8ACA3A9B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512BE1-5891-4E93-BBE0-C718A0F4D92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EEC2FC82-7586-4D84-A343-BB8887F0EF4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7F0FE9-BB36-4E79-AEB3-F85D26B105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0036CE0-E992-49E0-A9F9-30DA4B3089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D5B8A78-EDCA-46E2-87DC-F260AC43F7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F3404E-E37E-4619-AA93-E9F1FD9B461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8EC3DF-192B-462C-9B38-3FDB083187E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589987E-565A-4AAB-8537-03B796F3195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60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921CF9-A5E5-477E-8B5C-E5EDCDE8830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60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547A44-849D-4BE1-84FC-875FE7B75D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60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07FE8E8-DB44-4938-BB48-DA113B462E9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5"/>
    <xdr:sp macro="" textlink="">
      <xdr:nvSpPr>
        <xdr:cNvPr id="60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89BB5A-7CE7-45CC-8B54-15D0D346440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60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CAE0541-C8E4-4E9F-BBC7-461D0892CE5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60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B11025D7-444D-4B85-9F82-CA200CEA503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60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94C714-F02D-4C5F-B5D9-05F524E53E8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20"/>
    <xdr:sp macro="" textlink="">
      <xdr:nvSpPr>
        <xdr:cNvPr id="60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7567538-03E6-4A28-B1AA-209ACE58059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2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7D16BAA-84B6-4036-81A2-609A2D1ED41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69E135B-D788-47FB-B9D6-FCC6D9485C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318D5C-A92E-4C6E-B9D5-9014A32A8AD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854"/>
    <xdr:sp macro="" textlink="">
      <xdr:nvSpPr>
        <xdr:cNvPr id="60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B38E347-EB8A-4626-9AED-65FBDF20B21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85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E4C0F0C-2B6A-4E9C-BADF-5E0846DD731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220E58-802B-4275-9212-9659B27E9B6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124BDEE-94C8-445F-824D-75E77390AB7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8819"/>
    <xdr:sp macro="" textlink="">
      <xdr:nvSpPr>
        <xdr:cNvPr id="60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9DD4587-B0A2-474B-BC04-1D979C75901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881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7350"/>
    <xdr:sp macro="" textlink="">
      <xdr:nvSpPr>
        <xdr:cNvPr id="60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D401C459-C1E6-44D4-A996-706B30E4DD0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7350"/>
    <xdr:sp macro="" textlink="">
      <xdr:nvSpPr>
        <xdr:cNvPr id="60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20C106B-184D-44DB-9308-B3EE917EA7A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7350"/>
    <xdr:sp macro="" textlink="">
      <xdr:nvSpPr>
        <xdr:cNvPr id="60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51AD7ED-AEFB-419D-9935-615A1AE3376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7350"/>
    <xdr:sp macro="" textlink="">
      <xdr:nvSpPr>
        <xdr:cNvPr id="60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8E04321-95E2-4B2D-802F-2BD8A0BE6ED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7350"/>
    <xdr:sp macro="" textlink="">
      <xdr:nvSpPr>
        <xdr:cNvPr id="60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44F47D7-512A-49ED-88B2-32CE4B4068A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7350"/>
    <xdr:sp macro="" textlink="">
      <xdr:nvSpPr>
        <xdr:cNvPr id="60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1799F1-3019-4A07-BBE6-4FA8D6F5B08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7350"/>
    <xdr:sp macro="" textlink="">
      <xdr:nvSpPr>
        <xdr:cNvPr id="60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0AE24C-1E5C-4152-8598-40EB67BC0FC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7350"/>
    <xdr:sp macro="" textlink="">
      <xdr:nvSpPr>
        <xdr:cNvPr id="60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C8F0EC-E1C7-4AD8-A3E2-347F600D76D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7350"/>
    <xdr:sp macro="" textlink="">
      <xdr:nvSpPr>
        <xdr:cNvPr id="60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A1EB92-8012-4055-A80F-DC4AD454F95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7350"/>
    <xdr:sp macro="" textlink="">
      <xdr:nvSpPr>
        <xdr:cNvPr id="60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1BB6AE4-3684-4B4B-9919-AD588DBA856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7350"/>
    <xdr:sp macro="" textlink="">
      <xdr:nvSpPr>
        <xdr:cNvPr id="60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2DBE44-CA3D-40E8-AFC6-2B9CC0BE40A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7350"/>
    <xdr:sp macro="" textlink="">
      <xdr:nvSpPr>
        <xdr:cNvPr id="60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0C7FEAA-7947-4840-A702-EEAA52AE499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7350"/>
    <xdr:sp macro="" textlink="">
      <xdr:nvSpPr>
        <xdr:cNvPr id="60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F4F980A-BF1F-4534-9E80-F8B0DB96472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7350"/>
    <xdr:sp macro="" textlink="">
      <xdr:nvSpPr>
        <xdr:cNvPr id="60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2C7BC1-EC2B-4B35-B3B9-47FA308F612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7350"/>
    <xdr:sp macro="" textlink="">
      <xdr:nvSpPr>
        <xdr:cNvPr id="60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67E4B6-8A90-45AB-9F36-3BD4BCD9C11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735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7350"/>
    <xdr:sp macro="" textlink="">
      <xdr:nvSpPr>
        <xdr:cNvPr id="60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5A83977-940B-4884-9505-3AA3FDE0B1A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735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8"/>
    <xdr:sp macro="" textlink="">
      <xdr:nvSpPr>
        <xdr:cNvPr id="60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E0111B-3FF1-4895-AFC7-B3EEA135A20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8"/>
    <xdr:sp macro="" textlink="">
      <xdr:nvSpPr>
        <xdr:cNvPr id="60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951E818-B608-4F3B-8058-336076040E7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7B8978B-3C36-4DAA-BF26-F16F174238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83A7936-BC14-49E5-ABEC-643415C0CB5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5E4241-9AE6-40E3-ADEF-C5E3817E0C0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88C05C-95FF-4EDD-885D-00889E09EBC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695F324-247A-4A1D-AEA0-B07418B0AA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64ABE6-86B6-4328-8A5B-B4A1AAE5210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734A982-6BAB-41A1-B79F-74F4E68F826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B65C00F-536F-4506-863C-1FD0E39DA50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0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1996D3-BF98-49EC-AC2F-5B6E4DECEC7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0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65E414-FFF7-4D09-BA99-68374ED9AD7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0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B5D46C-299C-429B-B3BA-25D033502B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0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33662AE-EA0A-4A1B-89B8-9ACEFD9AA1F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0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5877C1-45E5-4F30-A0B2-99A803812C5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0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C306AF-D256-4B34-B6ED-14541E5F921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0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BD779DB-EFD5-4BD5-9F65-6D6E2701D1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0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EB0C209-39A1-4DE1-89F4-F98879F2314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5DB31B2B-71E6-49AD-95D0-A634C16221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8966429-05A7-43AF-80DF-E821ED0A798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559B17-B96B-47DA-BD6E-4069961854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64A905-B7E1-4EA0-8F7A-3E98765B7B1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799AE3-8AAF-44CE-8350-0D63A6736D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30A592-1CEC-4E3A-A0F2-9FA18FA1FAE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B19AAE-699A-4177-AB49-A0D7F4B8FE2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5270A2E-7CD3-46F7-9F09-D459546E679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8"/>
    <xdr:sp macro="" textlink="">
      <xdr:nvSpPr>
        <xdr:cNvPr id="60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EA895C-77FA-4970-BDCA-1D68E2F2B7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8"/>
    <xdr:sp macro="" textlink="">
      <xdr:nvSpPr>
        <xdr:cNvPr id="60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5E953196-9FDD-48C6-92BF-59273BF1EE9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4CDA4A-746B-4A2A-9B04-DF153C14CAB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2DD7D4-9379-4B6E-81B3-E843658E06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4E9C05-8C32-4C12-8A7F-EB0E2C6BA60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0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19C15A8-259C-4549-968A-93D7813301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82160B6-FD48-41DB-B5DA-87CD8DD7A4D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B413AB3-3314-4FCC-A32D-DA8FE29422D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28B8A82-C9FE-4D2D-93D3-B8225F84BC8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0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0F4E4A-8E45-41D9-963C-307D1955AD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530E116-2C40-4778-88C1-C269699BF9C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5EE5C306-2721-41DC-9EC0-B0BBE1383F3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6DEC82-AF44-4B6E-AF23-779D588901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78E884E-868B-444D-AA1E-470B3BC8F08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A0CB4D-17A5-4C43-A1E2-01CF85D69F6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5EF05DA5-D95E-40E0-A27E-0E27349630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FB933E-F988-4C1A-903A-E3FACF6579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D3BD561-6711-48A4-8840-41DB52775FD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310E36-D2F1-4ED4-BF1A-0D298E2D2DE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4B1D852-D26B-49FB-A364-9D6D25AC425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280A0B-F41F-43AC-ACF6-32B2AB4D002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BD236F-62D2-4CEE-AA56-70D860CC100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D72F26F6-2922-42A6-8E12-E6890DF55DF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4A3EE5-4E15-4E38-9419-C2F1885C23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9AE5D6F-F1A9-46D3-8212-8EA91EB46DF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8C6DE7-CE1F-4B08-B337-E61591F5410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8"/>
    <xdr:sp macro="" textlink="">
      <xdr:nvSpPr>
        <xdr:cNvPr id="61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8236D3-61DD-4045-80B3-957FB1C9865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8"/>
    <xdr:sp macro="" textlink="">
      <xdr:nvSpPr>
        <xdr:cNvPr id="61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EFBC83-6636-4FE2-AFB1-23F31FF3D2E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2F8DDEF-0430-485A-8165-2AE4A281440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CCEF8E-20F9-42F1-8112-4CBFF07DBB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8F7609-75A7-405B-B6C4-7AA86CE7180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73038C-FCBF-4A4C-8EA0-2833E858CF0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21B514E-FB97-4ECD-8319-2E8E6C7547B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51FDF3A-A9E9-464A-B110-6996FD96110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A107FE8-CE08-401C-83AA-B6118DA6ED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45B51F-2100-4456-B51B-7216066A221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A8607A-50D5-4BF4-B781-69F83F01FF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C7B64BE-E530-4032-8E15-949BDF91CAF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7CA3E4-9BBB-49A9-BE7A-1134B75D88B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003054F-8918-491A-91BB-DFE84114D60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D866486-12CE-4DB5-8564-28F36144F30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FA512B-B2A1-440C-87DA-7CE322D3103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81728E2-7F79-41C0-A4F7-F38C46C1813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5479CAA-5E3A-42A2-A55E-08C3456A25A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4AB1A7-3430-474E-870E-4BC92D3A77A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B91656D-ED8A-449E-B45A-7EA5727A57F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1D4FEB-A285-46EE-8CB6-B346AEC23C9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FB22791-A1A5-4F00-A16E-18166234AB8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D94BCD-CE68-475C-ACC8-16B81181012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E4FE88-F417-410E-B23B-F535062AE3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132930-7CDB-4763-B6E4-18BAB2289B7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95BA53-4937-4D4D-99AF-9AB6131B67B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8"/>
    <xdr:sp macro="" textlink="">
      <xdr:nvSpPr>
        <xdr:cNvPr id="61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60A69A-C19F-473E-B12C-8C1A67A7EC7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8"/>
    <xdr:sp macro="" textlink="">
      <xdr:nvSpPr>
        <xdr:cNvPr id="61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B063371-C656-4CF0-829A-94CFF44419E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69DE1BB-2B8F-4A1B-990E-371FB1B7AE5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E03733-D5B4-4E80-8000-05D4882585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5A5F452-0D0F-4DDD-8B00-172335C6227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3F6E072-EE28-49CE-8C05-664E609435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6E1BEE-3102-4F71-A5F0-D23502ACF14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5E5DB09-120D-4F79-9FB7-27F18113018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D4463B2-A78C-4026-8AFF-C41AEC9E087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415E054-1667-40D4-AA05-7A66952672E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602C43A-01FA-471E-A285-26A14977D08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FD8ADC-214E-41D5-B040-7CBD09CB3C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1478784-ED28-409A-9D5C-522B48E003B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80"/>
    <xdr:sp macro="" textlink="">
      <xdr:nvSpPr>
        <xdr:cNvPr id="61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795B71-FCF5-47DB-90E0-31FAE5925B5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8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7BA317-95F8-44B4-8364-DB8DB43A3F6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926657E-DC8E-4465-A9CD-645065684EF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BC503E-F840-4690-9217-C62BCBAFDEE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5"/>
    <xdr:sp macro="" textlink="">
      <xdr:nvSpPr>
        <xdr:cNvPr id="61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269335-9EB6-4CBE-BDA9-C5B8F245C53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8A62672-D20C-4134-88EB-EC1F4E01848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A1EA5B9-6FCA-431F-A7DD-C6D8CEC7EAF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B1A22B9B-A017-4DF6-9679-E48FB83FBCA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6679"/>
    <xdr:sp macro="" textlink="">
      <xdr:nvSpPr>
        <xdr:cNvPr id="61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5B0499-1868-4009-A52B-14D813F0B5E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667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128741-7589-412D-9B0F-BB03CA0BB4C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92C0B3C-B815-4E35-991C-A4E7EF01C31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8BE47A-5CDD-488A-9BB3-0BF4FB4B167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5644"/>
    <xdr:sp macro="" textlink="">
      <xdr:nvSpPr>
        <xdr:cNvPr id="61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1FAD19E-604E-4010-96DD-0C6230211FE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564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4175"/>
    <xdr:sp macro="" textlink="">
      <xdr:nvSpPr>
        <xdr:cNvPr id="61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176C5E1-FF83-4023-8698-128C57E0C1E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4175"/>
    <xdr:sp macro="" textlink="">
      <xdr:nvSpPr>
        <xdr:cNvPr id="61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ABB58BE-400C-4574-A0E9-3ED74233280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4175"/>
    <xdr:sp macro="" textlink="">
      <xdr:nvSpPr>
        <xdr:cNvPr id="61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D7E18C0A-627B-423A-ABB5-D0338692E23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4175"/>
    <xdr:sp macro="" textlink="">
      <xdr:nvSpPr>
        <xdr:cNvPr id="61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CCD07B3-7067-4EFA-A96D-CF76C90506C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4175"/>
    <xdr:sp macro="" textlink="">
      <xdr:nvSpPr>
        <xdr:cNvPr id="61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B827790A-7CD3-464E-A2E3-C442BED6022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4175"/>
    <xdr:sp macro="" textlink="">
      <xdr:nvSpPr>
        <xdr:cNvPr id="61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EC5CBF09-8C4D-4810-896E-5841094F6D5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4175"/>
    <xdr:sp macro="" textlink="">
      <xdr:nvSpPr>
        <xdr:cNvPr id="61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B62A17-507E-4384-8AAA-405FCB6F982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4175"/>
    <xdr:sp macro="" textlink="">
      <xdr:nvSpPr>
        <xdr:cNvPr id="61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D55BB99-7226-4244-8063-C87B9E3085D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4175"/>
    <xdr:sp macro="" textlink="">
      <xdr:nvSpPr>
        <xdr:cNvPr id="61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FAC3DB-AFEC-43FC-87D5-2248ACF8D7E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4175"/>
    <xdr:sp macro="" textlink="">
      <xdr:nvSpPr>
        <xdr:cNvPr id="61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A2DEB23-B4F8-4E4A-965A-F3CF0507319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4175"/>
    <xdr:sp macro="" textlink="">
      <xdr:nvSpPr>
        <xdr:cNvPr id="61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62DB8B-5EB2-4532-BC81-75812F16D94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4175"/>
    <xdr:sp macro="" textlink="">
      <xdr:nvSpPr>
        <xdr:cNvPr id="61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43EFA27-FEFF-48AD-9E4D-532AD32CE1E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4175"/>
    <xdr:sp macro="" textlink="">
      <xdr:nvSpPr>
        <xdr:cNvPr id="61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16A47F3-E309-4FF7-BAC8-74208489654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4175"/>
    <xdr:sp macro="" textlink="">
      <xdr:nvSpPr>
        <xdr:cNvPr id="61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205854-31D9-479D-83F8-B106CFB2FD7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4175"/>
    <xdr:sp macro="" textlink="">
      <xdr:nvSpPr>
        <xdr:cNvPr id="61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997023D-3328-4B9C-A67D-DE76B656DE0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417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4175"/>
    <xdr:sp macro="" textlink="">
      <xdr:nvSpPr>
        <xdr:cNvPr id="61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284412-8E57-421A-A059-7D16F75F651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417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1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909F50B-C52F-43AB-9A51-65F9BD8F19D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1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F13CB70-8FCC-43AF-9808-045B0BDBDC4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1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A1542C-B886-490D-AFB9-F0676198C0F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1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466947-401E-4EA8-BE4C-0EE61C6E15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1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12FC688-8769-4A3F-B200-1C56588B296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1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1DF49DC-1D49-4167-8CF9-BDC4381037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1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9CE60FC-72D4-4CA5-9C9E-DDA095AE0C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1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E361227-8FB2-4716-A172-661188E2160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1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75ABF7-A4A1-40EA-AFEF-1570546F347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1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F875CDB-81CE-4D97-9598-49087BEA426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1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15F73C-84AA-417C-ABB2-B5159B31B1F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1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D9380AD-4765-45D1-A382-B080CEE9BF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1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8661DC-61A4-45EA-B59F-7E1D1C1144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1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BD493E-0189-47D1-8563-0B176612C50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1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2CB75B7-3E3A-4063-8794-25C3A17FEC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1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98AB7F0-1B83-40CB-8E3D-5D69B90BB0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494687-19EC-49E5-B1BB-1B879DCBA78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45AF213-778A-4DFD-8595-D4C50DE441E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B0B0F55-0736-43A4-887A-076FC1839E3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A35925-704A-49E8-B531-008D47213F3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C43E4B-93A3-4783-83B7-42076166EC9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52FF1FB-8E2B-4494-9CD7-226D5EBB265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9E9A607-7C18-4544-8567-1A13E3420BF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ADDD2B4-6490-47D7-9E8F-609C8AB1FDF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69182FB-7A55-4E1B-9E69-088DE77D9D4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85B084-62A1-40DD-A783-50FE5C7C7A1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2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642A40-B36E-4197-A5AC-69370A63E95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2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DE393EB-C291-40F9-8D45-099B37E0B66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3A0467-FE9C-45D3-A1FD-0DADF4CB31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662B9F-298D-4A5F-BDE4-070D80C800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7CD82BB-272E-4CBD-8E1E-70F5B576CC9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098223-8E99-4E40-BFF5-7D32171AF29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A5C313F-FC10-47B0-838B-946186883B7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7D9B6A-0410-46B4-BA8F-41A8DF3E4B4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5BAED7-AD83-48BD-9825-14D7427DDDE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74FE7BC-B2CB-48B4-907C-E7898838A05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10BBB14-E257-43DB-B410-61F1D3C8297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52DFE3-1CF0-4321-8414-9DBF5EDE189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F7F90B2-5C3E-4EF9-A955-0C4CD9E832A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1CE833-02B9-419A-A9A5-ED1A4BE2BD9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06B32CB-FBFC-4A07-8964-DFB2D84A6A6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DB0275-74D0-4F51-9CD2-A85FC4784EE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6CE036-B18A-4387-AFB4-7079333DAE3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BC5AE03A-259B-44C5-AD87-55F739A9EA8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137083-E2BD-40EF-BC65-0CB090BC381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42206C9-9813-4626-BE28-8D7D329331E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42E7FDE-E4E0-4E71-8FE0-B92BC98EDB4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16D747-2D19-4E41-AE1A-8A03A0CB23C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8C17AA3-93F6-45D3-BBA3-C8E8236C96B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DC59FD-C4D9-4215-896D-ACCD5ACD2DE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4350195-7A1A-4E8A-8E96-D0FC40CFEC9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1192AD-48EE-4A85-BF68-1B8019390DF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2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DC3D7DE-10FA-41A6-A14B-E8EECC4EE7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2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F17AB3E-43A9-4EEA-83E5-8E66F8F41A7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D8054E1-F85A-4C2B-AF58-4A3ED7170B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9798590-D167-4F70-A10C-D5DC4283EB1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CE9CBD-BC29-4360-8B9D-1D7B430A89F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A14E21-46CD-4865-AB64-5C9FF8C04AF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7C7B8E-EE5D-42C2-907F-44C2529ECE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4ECBF5-AD68-476E-9D2B-4821A2BCD68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5E50AA-C13C-46AE-8FC0-503FCFEE669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E0175FB-B670-437A-B2D1-55358C40BEA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13B6ED5-B594-43BF-950D-0A4ED289E6C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5D3D215-1210-47C4-A981-76EDCFD2F1A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87863F8-4BF2-4771-BD5B-E383862305F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1EC65B-215F-4EFA-9AF5-52B01CA2323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328EED-B739-4E26-B8D5-69D1433F997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D75C61F-3AFD-4393-A55C-2E71F1057A4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90ABBE8-E85B-4A12-B0F1-C10A88B748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4EB36B9-1AB8-4176-B70A-4F027443F04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038DAD-BE49-4A6E-BAD5-0ABC0A490B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943BEEA-122E-41E5-B699-A84C9FE4F34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CB1103-593E-4AD2-A85B-8DFF95FBBEA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4DEF33-7B33-4556-B10B-B5171FB048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B6EE201-DF8D-4ECC-B354-D12914C162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893736E-D2BF-48AA-B465-A0DF335E4A7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A77D000-785B-42E3-810C-89F3F7CCC7E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83BC0D7-64BF-4C4A-A943-143BD88F5BA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2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EA62F2-D7AC-46F4-88EA-8A9A03B0C98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2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FE4B013-2A91-43F6-9E14-30DA77E2356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E7A08EC-8E55-42CF-8B09-FECD0CD5279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E974B5-A677-4193-8C90-691F5069AF0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52FADF-D2BA-49FF-9D37-37D53D0AA16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0AF86C-C3B3-49B3-9023-46FC2343C7F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DD2791-37B5-4868-B6E8-3753444627B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0F7D88-9027-45C4-8A4F-2F61143A58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99161F7-FA43-4463-B121-104C3A1FB5C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0C4E0D-BBBA-42B6-AAD8-84B4C258D96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3C9AE0-74DE-4F20-BF12-95AEBE21210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FCC2CB3-483B-4263-8EE8-8FFC658FD02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7B68824-4FCD-428E-B13C-2C4C90EC773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2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828CEE8-C4F7-43F6-B52F-1BD2190956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396A2A-7842-4904-A8A4-90BDCFE779A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4CCC1A6-B6D3-42C0-AB10-CC917D3C544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F483C6D-327F-4059-8D83-F5E889764D1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2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384123-D858-4FAD-98F6-CD83A24E949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3D6353-44AB-4CBB-B73A-71F61C42230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6B6038AE-776A-4FC3-8FC0-EFF6B3DDB65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CEE17C5-72AD-4620-92DF-6E5703B4497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2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07EB04E-8366-4A11-B3DE-0ECACCB792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DA07E802-31AD-4AC6-BF4E-EAA6FF002B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D7B708-AB9E-4E3B-993A-F61A695F8FB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2009890-D5AC-4578-B122-67E45BA729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2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626348-382C-4DA2-92A7-45F5AD78240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1000"/>
    <xdr:sp macro="" textlink="">
      <xdr:nvSpPr>
        <xdr:cNvPr id="62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DF5F1962-EDF5-4D49-B3D8-DF5F534EF4F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1000"/>
    <xdr:sp macro="" textlink="">
      <xdr:nvSpPr>
        <xdr:cNvPr id="62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C97B42-89AA-4D93-94DD-E1A8F96F8A0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1000"/>
    <xdr:sp macro="" textlink="">
      <xdr:nvSpPr>
        <xdr:cNvPr id="62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F9CD8F1-047C-41E6-B714-52DC9579006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1000"/>
    <xdr:sp macro="" textlink="">
      <xdr:nvSpPr>
        <xdr:cNvPr id="62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E6D2B76-84D4-4F39-B961-6CAA3813188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1000"/>
    <xdr:sp macro="" textlink="">
      <xdr:nvSpPr>
        <xdr:cNvPr id="62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B8C91DA-27B8-4970-94EC-F7084AFD430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1000"/>
    <xdr:sp macro="" textlink="">
      <xdr:nvSpPr>
        <xdr:cNvPr id="62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F24CBF-DFC4-4AE0-AC6D-E63ABBD7DFF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1000"/>
    <xdr:sp macro="" textlink="">
      <xdr:nvSpPr>
        <xdr:cNvPr id="62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90D0A8D-4E02-4311-8171-8DF91296EDD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1000"/>
    <xdr:sp macro="" textlink="">
      <xdr:nvSpPr>
        <xdr:cNvPr id="62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C22D6F5-D5DF-4DB1-8758-F6963E005C1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1000"/>
    <xdr:sp macro="" textlink="">
      <xdr:nvSpPr>
        <xdr:cNvPr id="62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8E3DA08-BB20-46E2-8C19-C8899CAEF7C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1000"/>
    <xdr:sp macro="" textlink="">
      <xdr:nvSpPr>
        <xdr:cNvPr id="62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DD15BF-522C-4568-A1C2-E04C412FDDB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1000"/>
    <xdr:sp macro="" textlink="">
      <xdr:nvSpPr>
        <xdr:cNvPr id="62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F4AD12-70BE-4335-8518-C6DF97BC296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1000"/>
    <xdr:sp macro="" textlink="">
      <xdr:nvSpPr>
        <xdr:cNvPr id="62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2940DB5-08E2-4D16-B70A-FB7D7FF8AFBC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1000"/>
    <xdr:sp macro="" textlink="">
      <xdr:nvSpPr>
        <xdr:cNvPr id="63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2B540D-6D08-4545-ACA8-22A3867513A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1000"/>
    <xdr:sp macro="" textlink="">
      <xdr:nvSpPr>
        <xdr:cNvPr id="63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92CCE2C-2FEF-486E-B0D7-908CB86A7E6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51000"/>
    <xdr:sp macro="" textlink="">
      <xdr:nvSpPr>
        <xdr:cNvPr id="63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EE1D6A7-7DA5-408F-A0C3-F626F2CC83E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51000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51000"/>
    <xdr:sp macro="" textlink="">
      <xdr:nvSpPr>
        <xdr:cNvPr id="63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E20534F-A537-4DA6-B7AC-70FDDC5A128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5100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3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6FDDFF-17B2-48AF-BC11-9B86FAC3C2D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3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F0A8E0E-C8B8-49F6-9FE3-765FA98CDB1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A72AA92-9980-4655-BD02-1FA2C043F89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906640F-646E-4AFD-A0ED-590D1DF1465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B8594DD-CCC6-4931-9123-3712F10C528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377732D-9CBB-48F5-A1C2-79F128524FD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85DDD8C-B4DE-4C76-8256-7BD9B863933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888E3C-78DE-404C-8BCE-E63BF177D97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53C043F-6E23-4F2B-B2D4-D6FB565AA4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AFE325-EBE3-470E-B90D-1929CA693D7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62AEB83A-C355-4101-AA3C-4FDEFC43A99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BC8F51-43F4-48F6-9143-4B6203D3063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21CC7C3-0B3B-48B3-BEF2-BFE096DD2CE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D37A63-358F-47B5-BB1C-8A2A96CFE8A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34ED853-0D10-464C-81E7-46B2081BEC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A01AC1-12C0-4B95-8F93-E321E2848F7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D894A2C-221C-42C7-96CE-0E8FFBCF9FF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84B4F66-81B6-42D2-B03F-4476DB746D1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77F7CB1-1AEA-409D-80F2-317F4D165BC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DF0A930-BEBB-4171-8A36-1A90F49C8D7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71AEA9-8A11-4759-97C1-B27AC2EC993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C5B42B7-FE9C-46CA-B851-C627C0AC40A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DADCE4E-0817-4A77-BB2B-72A00CFE792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8BABB50-2B6B-4FA8-B916-151BC82ABD2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210FFAC-7272-4737-9F78-4AFFB9052DC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EE1985B-DD46-4D30-88D0-4455C8E630D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3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7A748C-1432-46FB-9132-EF37BF63AD5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3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9AD248-DF3C-448E-96CD-0F51B2886F3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E6F7967-8598-4ED8-A0B9-D79F79A163F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7EA4028-B4D0-4810-A833-EA42C52B04A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B8CBCB-648D-4539-BDBF-45D98D49ECF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6C8BFD5-15FC-4CD4-8404-DE642B4689B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55C3C65-9DEA-49D9-A0E0-2C8821AAA49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E43868-0C05-40E9-B2CA-D98D362F9A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3A2135-6045-4970-B156-E80E8358E2A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EA67D4D-AA90-4AD7-AEA3-7515D70E002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FD08DE9-EE15-496E-9CD3-6C229A70783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B0125DC-4EE9-4714-9917-1EAD87DBD10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E09DE3-AC46-42C0-8D90-161AB86351A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D84017C-BC6A-4545-9996-C0E3D93C74B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9B70DA0-E59F-4A5E-8D86-C7F3C428EE9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CDB800-F8B3-4127-BD12-80F49424199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F291AE-949A-4307-969A-58B874EEE9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3640C89-7E8C-4DC6-90B4-82A69F9B465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CC5E1E3-C0D7-4347-B87A-B1021602C35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0A0480-A4E4-4F35-BC37-C7E93D5E5A6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CCE3599-C1AB-4B4F-90AA-8FDF2DE4990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66E1CF-3362-4C41-8494-621856248A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F591318-BFE8-4BCC-84E2-E57CF8259E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61FED83-75A9-4B62-BAE8-25F6BAE337B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616098C-0C21-4CB5-BB90-8CF90D63D35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CB64BA-C705-4D46-9B7F-952FC8CAA65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3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0FCA99-264C-4344-A7D6-7F0A5B86A74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3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B526A78-8BEC-4FA5-B560-9D40ED6695D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1E9E2C-D01C-4C64-AEF4-483166074B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8F5EE59-0A8C-4873-B47E-9A65D310DA7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C104631-0F39-4D38-94EA-46B8CF4550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5814FB2-5C3A-42B9-9CDC-2471765F07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BF1ABFAF-1671-47A4-8C2D-F4C0D15DB7D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117AE0-8B41-47F1-9245-69E13003BBF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B6D4B7E-AACF-4EC7-90E7-5DBE830CC8A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950B828-B489-46FB-8C0E-C9C0D3E24EB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41528A-D552-4E64-BF71-E957A343B2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C33621-883F-44A3-B6AD-2F4326DBC6B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0F08963-E71A-415A-8A13-A497AD5AA85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E0F6EA-7CDC-4ABD-A69F-04BF1F04B76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274F323-3E0C-4FFA-84D0-231DB4C364E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920EF7-CAF1-4B66-924C-71913AE0439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F6B5FF-CF45-4C08-B7D0-6A724077D3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60487F1-4DEA-4B6A-AD58-105460B8E76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C1FA6CF-2018-40E6-ACCE-414578F167C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621345-2214-40BD-BBC1-69588CF1785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C47EC44-DACA-46FA-A0C7-B865B03CA1C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BE9F0064-CA51-4372-A619-141C963092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2FF920-07C5-4291-BC84-3FD34A06516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8FB3CB-7DDE-42C5-B13C-EAE1CF47C08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8143BAF-10FB-43B3-B632-8AE7B389BC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47704C4-179A-49A5-B5C9-D1C3A8540D0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3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E7A8FB-D6EE-4881-90D1-321802F414E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3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739F75-194B-4218-84CC-CFCCEA92C86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A3F1F3A-33CE-40A5-A877-E7B1F8E5966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BAF2CB-B3D6-4C59-8A99-0744F84920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17E710-5283-4EEB-87B3-12601736DEF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3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E8B68D-766A-4AF4-9CC0-B38F899E7E9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7EDB1F-D75A-41CD-924A-6C2A2955ED6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B2276F-242F-4FA2-9D2A-46255A2476B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8452D00-E995-40A2-B6F2-1AA37193B1A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3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71793C-5C9A-42AB-89D7-E1D540A93D4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B763777-A184-4369-B8A8-EF453D56338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58E5969-2649-4B82-A189-FB163CCC9EF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A00E636-7BCD-4E84-A2DC-1B25ED5359C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3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0CC1CCD-3AB5-47DC-8A03-FFFFD9C696C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B4EA46-A0FA-40B0-918D-880735957E1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193C74D-D13B-48D6-909A-ED3C38D87AD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9CE701-51DD-49A1-9259-0B1D2B26E2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3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1CA7934-0EAB-4AD3-8DF0-E2A00851ADC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4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B4F5577-0FA6-4FEA-981B-F35C288C881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4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DDD65B-468B-457C-B659-86F39EDAECF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4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8E77B3-6559-4E34-B1CE-7FA36E83BCE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4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064AF38-299F-4DD2-90E7-B2A1ACBEA90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4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6BA2045-9896-4736-8575-B191C2FBDDC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4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BEED5E6-4802-41CF-9607-946F6029581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4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D8758D-010E-4CA9-8230-38DFCF91982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4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CCBEE0-4533-4422-8607-EF2A75FB21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47825"/>
    <xdr:sp macro="" textlink="">
      <xdr:nvSpPr>
        <xdr:cNvPr id="64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D29C88-7DC0-4958-B135-2C2787B6053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47825"/>
    <xdr:sp macro="" textlink="">
      <xdr:nvSpPr>
        <xdr:cNvPr id="64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AB960A-3318-466D-86C6-55CD4F8A9AA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47825"/>
    <xdr:sp macro="" textlink="">
      <xdr:nvSpPr>
        <xdr:cNvPr id="64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EB4680-517A-4144-A773-FB1FA4B3BA7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47825"/>
    <xdr:sp macro="" textlink="">
      <xdr:nvSpPr>
        <xdr:cNvPr id="64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186F706-8A80-49EF-8CA4-7B086EBC571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47825"/>
    <xdr:sp macro="" textlink="">
      <xdr:nvSpPr>
        <xdr:cNvPr id="64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72B149B-097A-4A5E-AB1D-779FDC2235F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47825"/>
    <xdr:sp macro="" textlink="">
      <xdr:nvSpPr>
        <xdr:cNvPr id="64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D047343-2FA9-4CC6-B99F-41F9E57F6D4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47825"/>
    <xdr:sp macro="" textlink="">
      <xdr:nvSpPr>
        <xdr:cNvPr id="64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BAFB7B1-25CF-453A-8D36-30DFD5A688A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47825"/>
    <xdr:sp macro="" textlink="">
      <xdr:nvSpPr>
        <xdr:cNvPr id="64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2475E4-1314-4C78-A078-5AA63E05A24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47825"/>
    <xdr:sp macro="" textlink="">
      <xdr:nvSpPr>
        <xdr:cNvPr id="64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F01B428-3C71-4A4A-84D3-29099B35F83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47825"/>
    <xdr:sp macro="" textlink="">
      <xdr:nvSpPr>
        <xdr:cNvPr id="64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5884FA-3AC6-4227-9D16-FE01275CE37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47825"/>
    <xdr:sp macro="" textlink="">
      <xdr:nvSpPr>
        <xdr:cNvPr id="64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A6E789A-68E8-4FA0-BCBB-AF04328DC62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47825"/>
    <xdr:sp macro="" textlink="">
      <xdr:nvSpPr>
        <xdr:cNvPr id="64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0E46CE8-403C-4BD7-9BD8-05251BE1E6F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47825"/>
    <xdr:sp macro="" textlink="">
      <xdr:nvSpPr>
        <xdr:cNvPr id="64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BB6B9A5-EF12-41B3-BE23-1306B38F2401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47825"/>
    <xdr:sp macro="" textlink="">
      <xdr:nvSpPr>
        <xdr:cNvPr id="64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8338D8E-5B6C-4FAF-93BA-B295A430FE9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1095" cy="1647825"/>
    <xdr:sp macro="" textlink="">
      <xdr:nvSpPr>
        <xdr:cNvPr id="64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EA78A1D-3675-4B49-9CF9-7AEDA852F16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7825"/>
        </a:xfrm>
        <a:prstGeom prst="rect">
          <a:avLst/>
        </a:prstGeom>
        <a:noFill/>
      </xdr:spPr>
    </xdr:sp>
    <xdr:clientData/>
  </xdr:oneCellAnchor>
  <xdr:oneCellAnchor>
    <xdr:from>
      <xdr:col>9</xdr:col>
      <xdr:colOff>472846</xdr:colOff>
      <xdr:row>11</xdr:row>
      <xdr:rowOff>0</xdr:rowOff>
    </xdr:from>
    <xdr:ext cx="162152" cy="1647825"/>
    <xdr:sp macro="" textlink="">
      <xdr:nvSpPr>
        <xdr:cNvPr id="64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451517D-49F9-4E63-9AEA-F5D52AE5133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782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4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930644B-B441-4A81-B12A-5EA8CB5DE2F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4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B7A6A6-19BC-4E7D-8BD5-6400D49F271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EF5520F-898B-443B-BAD1-52DAB6F74CF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8A7E01-E071-4215-9F17-E9B9B63AB6C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E01D850-A8AA-4817-8F10-3D396303236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0E1FCD-535F-486F-8743-B0932F81B3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72FC85-5B0E-4EA4-A0D7-3863EB471E0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21A3597-8B19-4ECA-B2F6-6DAD2F50C7B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33B7A1-E506-4CB4-81DE-48714588297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835C8CE-200C-4945-A4E0-289B6A0F8C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111C0B8-7E09-4FB5-9928-15823A59051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7CA94434-7955-4747-A5D0-5D7FF14C33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B67863F-E532-4322-8C83-BF6C3745D30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67DBF76-F49E-4A84-96D6-214338205B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AAB45E5-D32F-4F7C-8F5B-EDE0B7FAB9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98FDBFC-6A60-49B9-AB7E-21E92C51697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5F4DEAC-D763-454A-AF5E-C62D23A53E0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FB89F572-280B-4601-8C65-FD2B4455C1C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131484-6A36-4B4A-902C-3BBD13A303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C2DAF6-D081-4750-B803-70E92891B93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2C91C1-3192-4B62-B6B5-A32A225ABF8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1633F2BB-F7B2-4CD9-ACFC-D84103F001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1FBFE2F-9F3D-4F85-9D38-557D50A4808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1E529AF-9B77-43A7-8515-3551C570FE4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4D40EC-1294-4819-B91F-9D36569011E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EE9FCCC-9A20-47CC-8DF9-B5C412D56BC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4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B36500C-B530-413B-A1DE-D69F5285CA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4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F0116BD-0AA4-404C-83C0-8BEBDCA6B31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AC1033F-8481-44B8-83D9-1D65F0692A6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B7A197A-4F3A-4551-91CC-262615AC1A4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75E0136-6BB2-4778-9CB8-35ED193FD67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61D94E-6D41-4BAA-835E-56E0E5818FD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81135BF-6C7F-4DB9-92CC-2F1726A6B17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BC73F45B-126F-4542-A2C9-EE13BB8A531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0EEF28-8E15-473D-9D6F-42DCABA15F4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F44DA967-5522-4AE8-9326-223B110E4DB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F1E67B-894C-4027-8533-E3554CC8D24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0148485-2132-42DF-AEFB-22EDC34DA8B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9A286D-9913-482E-8BB8-F33AD739ABF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3C27382-259B-4508-8F41-147ACCE9A4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A8A93D-7B12-45CC-B2F8-DABFBF41E05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2E8DD7-70C4-4239-9EA3-888011B921E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F30EFC-E98E-4EBB-9B86-8F687033BCA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867AC80-F463-431A-9471-9B49A4CD909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E44D9E9-9D1E-4D3D-A60D-ECF840058F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B3EE0FA-912C-4BF6-BF75-B88F886492D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2F1797-1107-4E05-9078-6C65CD6B8CC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C984F29-F841-474B-8404-5316E2210A1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EC3CAC-2385-4DBA-ABC6-50A3A42FB27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9762F49-B531-4AAC-873B-77B46BCF69D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A88D645-0B29-4687-906F-5077C343240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E0D0100-7745-4712-8063-B41A1A17483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4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F80C576-BED3-4E9E-B84A-5D590FB08A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4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76A8AA3-F003-448A-A4B1-9546DB4A36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1BB5AD-88AA-4D10-BD65-EFA1D0EA8E5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C0C1DF-412F-4F6C-AC32-C6F1868D703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A9057CA-D80A-486A-AB0E-407A5567997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7EABAE-F3D8-4EA3-A568-9D462BF0DD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40AB55-80F5-43DB-8FDE-3AB597E722A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2DA79C-A66E-466C-A222-11791C88F53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B881E28-437A-4D50-85FD-B7428D3645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25C5D5-875A-4AD8-B487-2BE065A8FB7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B9AB02-F24E-4FBA-9DA7-50D7132C91D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988F1083-FF25-4327-885D-6D88BC1C79B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FD26D4B-3256-4147-93F2-C8D85AE5211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4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DF96142-0929-4148-971D-C8B0D0E7FA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5A1CDFD-D3D8-4E16-B82E-A82B3B16BB6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37B019-1C3F-4B29-B459-4E59448275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48148C5-8F05-49F9-AD46-E661DB90349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4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E9D091-134E-462B-8B22-0219D25DE68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72475F1-214D-4700-A056-B937D4D72AF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5D84AC4-61DC-4E98-9909-6D43C609158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EFE64E-9F14-417A-ABDD-286D26C976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4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594974F-CD5A-461B-BF49-FF64B3E48A7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2B7F0B5-E1AC-40EA-8742-CD34BB28B6D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4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7B94564E-DC7C-456F-A2AD-B8E86105AC8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46C30BD-195B-4478-BCAC-DCE128A0305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F281FD-3BA2-44FA-9789-A0416807E6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5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DCFA5F-FE61-4D1A-9E80-8142F5BB44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3"/>
    <xdr:sp macro="" textlink="">
      <xdr:nvSpPr>
        <xdr:cNvPr id="65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6DB1B5-D582-407C-97A1-B92444E99F6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5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801D11-E7AB-435F-8FF2-B64C4AB409D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5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90B87E-7CB7-4192-A936-F11F9A6EC8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5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07544D2-E367-44A4-A942-53690D05C96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5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59EE5F-3DC8-401B-B242-A483A558FC7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1318C09-FC0F-4890-B6B2-C0639F47249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0A67EFA-29C6-4DF9-859E-7507150DBAE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789A46-7225-4C39-9E3F-BC8E48B498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0B3C18-BF46-4A2D-A34A-114AD313BE9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5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2904F9C-5452-44F3-9C81-7A9E88ADB9F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5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3B4D7D9-2A7D-4EB9-9D93-7434CBDEEF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5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58A7037-A200-42D8-A844-48AADC531C4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5"/>
    <xdr:sp macro="" textlink="">
      <xdr:nvSpPr>
        <xdr:cNvPr id="65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CFB5CF4-8207-4E53-B3BF-804E00C08EE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5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500E28-EC2C-4AC2-B9AE-7EE690D62DE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5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4E6E6A-D77A-439E-81E8-5C5B7A593D9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5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386BE50-C17B-47B1-89D4-A6AB889F195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70"/>
    <xdr:sp macro="" textlink="">
      <xdr:nvSpPr>
        <xdr:cNvPr id="65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93A0708-154F-4C84-BB77-9B26CAA4C87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5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0CAC1D-8F83-4052-884A-8412F2B0BFF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5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981F7CF-D831-4414-B4F7-46FFFF9FADE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5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D656C1-9F40-4638-ADCE-89D73491D30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3504"/>
    <xdr:sp macro="" textlink="">
      <xdr:nvSpPr>
        <xdr:cNvPr id="65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0661658-1EA5-422E-82FD-7A94D9CAA18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350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BB43E25-8D60-45B6-8713-84EF40106F5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AEDF22-364F-40DF-AD29-F0E00E7EFB7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6901A1F-0EDF-4D86-AFF9-FA6496A1C93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72469"/>
    <xdr:sp macro="" textlink="">
      <xdr:nvSpPr>
        <xdr:cNvPr id="65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4A3781-2270-4E05-AE7F-D162C18BA49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72469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5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D01F7047-4A02-4FB0-805D-1FDD1F61A1C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5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1A9B39-425C-47DB-A6E5-44F0B55D2600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5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299AB7B-B3EC-4D5A-892B-95F77C2770C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5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8ACD725-D30B-40CE-A806-5150308B5FB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5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82F023-A976-49F4-BFD4-12982E80165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5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3316C78E-F2B5-4DAB-AA85-D4A9A455CC3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5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82E8CBD-D730-4869-B2DB-85356B3BCADA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5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D612FD-2DB9-4DB4-B1DF-773F481B9554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5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7551B4-19BD-48D0-B076-B034F8A8F30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5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4A0DC30-3A3D-4A45-8F57-0D84DEE2159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5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7FA6357-39C5-4EB1-BA40-AD84B514C8D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5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005101-D77A-4FE3-8FC8-5A0423FDED3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5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BE20F8-0A16-4902-99B4-D49A1F9FA6A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5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8545182-B45B-4EA0-8AE4-554BD715A638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5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31B2E6-650E-45D4-8697-E38D8273728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5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3AEFD246-1E6F-4E76-90E0-3512ADA8624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5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3004BE0-53A9-49A1-BD93-07AFE16135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5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4671A90-F402-4895-BE18-DF720A21C9D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E6F7F2-E653-4BBC-B825-E6328127902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94778664-DF0F-47B1-9F2E-565DB53D623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B35ED08D-33ED-422F-A1F0-971685B36ED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288E0DF-090D-4219-93E6-7C16354BA53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5024A2B-E6B2-40EE-B946-18093810670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F9A915-4DA7-4B50-8CCD-EC574C3CCC5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02FB9E-DCD5-4D7C-AEBC-6BB810711D9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2F0517B-CCDD-400E-9A62-19FE6A71EB0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5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EB7187-C7E7-4397-AECC-B07A1AC96E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5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78865D74-D572-4461-9331-507F462CD84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5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8A1440-ABE2-4C6A-917F-D1DC6A52D25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5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6E8F17-8920-4956-8442-5D60EE2E3D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5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FC48D1C-36CF-4291-B539-0199343D81E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5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EA206D-95B0-4DA4-BEA6-97447733AEC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5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DD80F7-4293-4AA5-9B5A-61DFA6B01B4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5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F6B8DF5-5312-4028-B01B-89FC3EDF42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957933B-9523-4DB9-BA4E-C6A1E67A33D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DBDD34-FE7E-48F4-9B5C-EA16F8D473F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9795D4-A36B-4ABC-913D-AB26B11EC8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4F5C844-35C2-415E-9A7F-54BC334671D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FEF6DD-59FC-4DD3-9C93-2C70920977D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C6B141-3B52-4308-93B5-088FBF5517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FC4F16B-77DB-4FDC-BC6B-D356747AAE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707005E-1668-4530-BB9D-B151B5D5C5A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5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69E7DD-8965-43A1-A07C-ACB38EE36FA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5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54DCD5-DA51-4EC9-ACE0-471631990ED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002ED55-FBA1-4335-9881-5F326C425CE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93BA28C-A315-4467-B1C7-B720AF67BF1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86AE48-2A7C-45C9-904D-3F60E334B2B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E3FDD6C5-1603-44AB-96BF-6D95046AD37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DA3A71F-4F81-4A23-AC35-A10A31FD478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B1F9F7F-02F5-459D-8EEC-40BF41A4833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AA07F7E-4592-4854-B48D-C026A32237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9FC21FC-CBD0-43E3-A83B-1EDFE9CB736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5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69A58B-DAEE-4977-871C-A1F57434E94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5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0CBED3-E16E-4AA6-95D3-1E7D6665B64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5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CCBA15-563D-43C2-96EA-22500FEE4F8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5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2E1B23F-4257-4B3B-BCD8-93270DB867C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5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C6501E-E693-4C95-A3E8-B538C02D8D6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5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52018D-A36E-42DE-BFC7-F873DA017A6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5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B32D330-0944-4989-B9CE-AB25B7B2978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5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AC3B98B-0602-4461-9497-80AA00DF621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0B0886-74A1-4F05-AD22-CA1AB69A5C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FF8D1BD8-F942-419C-B7F9-A409AC98851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F05C8F4-4E62-4AE2-BC59-D4C59771D35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8A2E48-C436-45A7-BBA3-2F11CC866B7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06088C-F4B1-4611-B2AE-AB8A0663F77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6C526C-2E0C-4532-BADF-22D94147B54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2AB288-73F4-4788-9E9B-A8F1C9D93E7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5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5B82A26-C98F-44E9-B82F-18AC0D1B459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5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81F06D-48BA-4A54-8AA2-BC9F4468C43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5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D1CE82E-A284-40D8-B256-D5071CE0DDD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1932E6-3F5C-483B-92E0-02DBF3746DF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5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F1E6818-7368-44D8-BED2-2D34A5755A6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1B27CB-5096-4CA6-BE21-371EAC46EFB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C540F5-C6FC-4326-B3EC-BFF1C0FB219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EFF6F1-2A00-4A06-9840-6AD52AD9E9C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B48540-5764-4F6A-A2C2-54005B4E36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C86E2DA-D0EC-48A5-93A2-423AA5511BA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F812B64-358F-4EEE-BC7E-A5A48914725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6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96007E-8EFC-4F49-99D0-42BC3FBD4B6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6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D53E049-0FB1-4825-BF71-49CE818FF0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6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B1EF02-9B07-43B5-AF16-AE71F59C57D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6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6C742E-7CAB-4B4B-8A86-EC472AF40EB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6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2DB711B-5F00-4ECD-ADFB-493223267B5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6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CAD007-1FE5-43A7-9410-5CC6AE9FA01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6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432080-5279-46E1-B111-4439954CB9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6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1BD844D-9C6D-405F-ACA2-AFE80F57BD2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668D23-1D35-4782-B562-1313BB2883B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01B43D-01E9-475E-B4CA-4BE3BBA6901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FE2E0A8-96B8-4393-8D41-41351E9F4A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D108566-7E36-4D04-9C24-B94EBF0B20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32B132-ED68-489A-B08C-EBD7C2464CB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4698B1-41DC-4E8B-A067-69A8570666C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F34471-BC4A-4795-89B4-0216C34B9A7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154826-FE70-4A1A-A201-D49DC6A37D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6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317514F-B734-4D48-BFA6-BC0BFCB73F4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8"/>
    <xdr:sp macro="" textlink="">
      <xdr:nvSpPr>
        <xdr:cNvPr id="66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5351713-C54A-46C7-A021-D0EFB772B1A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A74C6A-832E-411D-8761-3DB54A30A42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5777B0F-0581-4B97-9F71-52A1885FF3A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FEFF715-85AD-4473-B160-9E4008B8A54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0409949-F9C3-4B44-AA8F-7C461916036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466D1B-F65E-4573-B332-98F77ED33B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2B32438-13E8-4EC4-B706-6AB56499E5A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ADAD5EF-DE6B-4CA1-8FE2-45725DCD88A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3306EDF-3D1E-4426-9F74-5428A771222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6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D9B71EAC-A418-48AF-A282-19F6CE5A7B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6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AA14C08-1623-4098-9738-B4119903EE6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6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D4C59E5-689A-40E0-A6E5-C749AA078E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30"/>
    <xdr:sp macro="" textlink="">
      <xdr:nvSpPr>
        <xdr:cNvPr id="66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AABD4F-1C10-4A87-A819-F7B6019F692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3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6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FE23B3-D0B3-4949-8C5A-6CB975E3734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6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A58B95-A6F1-4908-BA72-F0834F89B9B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6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1B75F30-BDF6-41E1-AADA-3C22717C346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5"/>
    <xdr:sp macro="" textlink="">
      <xdr:nvSpPr>
        <xdr:cNvPr id="66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498C90-1D9F-449D-8507-F8D60EFE7C8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1E5DE4-5ACB-407D-AF68-9748446C37D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F339139-F34E-4411-8539-B55B8B87756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2949B0D-FAFB-4B4F-849E-D820ADD2631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0329"/>
    <xdr:sp macro="" textlink="">
      <xdr:nvSpPr>
        <xdr:cNvPr id="66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E73E6AA-8DC3-4FE8-B190-6F89166BC2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032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7A52A5A-8F7C-4FC2-B858-5B1C27B4C86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8731D5-A6D6-43F7-BF38-9EC95F04EF5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1265848-0641-4357-8739-86E64519BFB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11</xdr:row>
      <xdr:rowOff>43587</xdr:rowOff>
    </xdr:from>
    <xdr:ext cx="45719" cy="1669294"/>
    <xdr:sp macro="" textlink="">
      <xdr:nvSpPr>
        <xdr:cNvPr id="66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C96FA8-E8F1-4F9B-8C3D-7EE5222148F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6650087"/>
          <a:ext cx="45719" cy="1669294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6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E7E7B60-11B7-4FFC-AC6B-7FE0E919A6A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6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5704A0-BBBA-479A-884C-5164F1BFBBD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6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0661FB9-9933-4C29-B38F-32DEC73BFF6E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6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D56B324-7D32-41B7-ACD6-C3F01FF19BC9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6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29400D-2298-4443-9518-A89EE2399747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6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0C2D3E-F56E-4E9E-AB77-750C758A9DF3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6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AE1108C-0FF7-421B-930B-517A1E712C4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6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2D9D4BA-793F-4180-96F9-60F7C07DAC85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6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F3D9D8-4F72-470D-9D72-4CD4896CC7B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6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D9363C-D77C-4122-B641-00BB828CAEEF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6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E8E2E56-73FB-4393-88F9-59774267350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6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64D54A1-EAF8-4C77-9616-E45BB3E2058B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6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5A0721-9EB2-4166-829D-3CD05EE14AE2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6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181ED27-23A0-4F1D-AFDF-A40350392D16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1095" cy="1643591"/>
    <xdr:sp macro="" textlink="">
      <xdr:nvSpPr>
        <xdr:cNvPr id="66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29DC6A0-C665-41BB-8E63-2F4D753A9F1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1095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406171</xdr:colOff>
      <xdr:row>11</xdr:row>
      <xdr:rowOff>0</xdr:rowOff>
    </xdr:from>
    <xdr:ext cx="162152" cy="1643591"/>
    <xdr:sp macro="" textlink="">
      <xdr:nvSpPr>
        <xdr:cNvPr id="66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0ABA50-81DA-4072-934A-4D73CD4EB65D}"/>
            </a:ext>
          </a:extLst>
        </xdr:cNvPr>
        <xdr:cNvSpPr>
          <a:spLocks noChangeAspect="1" noChangeArrowheads="1"/>
        </xdr:cNvSpPr>
      </xdr:nvSpPr>
      <xdr:spPr bwMode="auto">
        <a:xfrm flipH="1">
          <a:off x="13804671" y="26606500"/>
          <a:ext cx="162152" cy="164359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3"/>
    <xdr:sp macro="" textlink="">
      <xdr:nvSpPr>
        <xdr:cNvPr id="66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17E39D-CE42-4357-B797-5DE3BEC75B1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3"/>
    <xdr:sp macro="" textlink="">
      <xdr:nvSpPr>
        <xdr:cNvPr id="66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5823DA-60C0-4D28-8E95-6A25E46DE06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93F1AF-5D14-4BDF-93AC-5B253C8B455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9C9D449-CD76-424B-B778-E354DC41679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D5D373A-1F9E-4364-A1C2-1DB2132D447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BC7957C-D052-4DB8-AE33-9F59D9B8897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7F6D5F-4523-46FA-9F79-8C5D689FBB8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EA3061-2CB4-4FEE-B155-E46C630BC93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DCF9234-05B6-4A38-A5CC-AD5E11659A6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57E6147E-D011-4C56-9207-499E35E2D88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6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5BA00F-FEB7-4309-BAE9-610FB94850E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6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D566794-9DEE-4225-AAFC-5676D0DDA51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6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C88A00-9291-4043-BB77-737B938A4CF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6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B0BDC51B-931C-4EB8-8BC7-D76BF0D2CBB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6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42FB4E-ADA8-43E2-B5AC-84E154738F5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6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9D6BF3C-4D2C-4A8D-8813-791476E45EE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6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5EE4906-7E73-4C86-B265-2C65EB5C39E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6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92F3168-05A4-4DD2-8F4E-90212AA01AE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D534B4-8328-46B1-A136-E010A42CF1A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754850CA-34A1-4CD0-B3B9-8D1F27955AD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D5DD570-7C2C-4544-B10F-7F82AA0EB25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1A0D600-0C6A-4FCC-928E-38F2C11430D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907A160-D584-4C8F-A8EB-B1886744A55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BEE5CDA9-6D50-4CE3-908B-AA30E06232D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813360C-AF0C-4AE3-AD43-94AA9EB44CA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47A78AB-D93F-4328-B3B1-7236B16CB7C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3"/>
    <xdr:sp macro="" textlink="">
      <xdr:nvSpPr>
        <xdr:cNvPr id="66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1380BF-80B7-4264-BD4E-B52BAC067F1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3"/>
    <xdr:sp macro="" textlink="">
      <xdr:nvSpPr>
        <xdr:cNvPr id="66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DB2E53-263E-4DDE-8752-7A8F2FB1552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D139F7-37FB-4C8F-B4B1-2D30E60B116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526ED5D-EB76-4C1A-ADFB-1D6331AEACA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4E8A86A-BD95-4E12-9AFC-77631902E9D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6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0529F53-CCC6-4747-B2E5-EB3D8BC1D76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31BF227-6B79-41CB-B43B-6E8B3ECB01A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B2262D5-7B57-443A-B3CA-7943F14E12A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A4565B9-81D5-4B7B-AF8A-4DB38F354D9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6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FD77E83-8423-4B17-98F0-DD033F3ED04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D34CFF7-0836-4F4E-AC46-11C5A59FF6F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E9CC198-707A-448D-8AFC-7EC2DDAFB6A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A16869-4AED-4D58-9B3F-CECB32F4EA7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DED8B9-3D5E-48E6-B538-1215702D59E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1FFCC8-A587-461B-A863-6C62D9FBE68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F0A32C-698B-4306-AEE7-365E4F46913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BB179565-BBA0-4E2F-8813-05914AEFC62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BE35AC3-EC57-459C-BB7B-02142C7B696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71AA2D1-FC5E-4D82-AAD4-8E9D43D0634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A52634-5E13-4D06-8DF9-029F9BC4133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81FD53E-238D-43B4-BB55-69FF493D414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4B66D3-18EB-43E7-AC16-53522F71AED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E1FEFA1-9A36-454D-BA9F-48A4A7EEED5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A186F6E-EA29-42E7-85C3-7063B55D493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0B7658-8909-4ECD-A822-67AA9F9BCC8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2422011-C48F-4165-97C5-4CE5F68CEEE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3"/>
    <xdr:sp macro="" textlink="">
      <xdr:nvSpPr>
        <xdr:cNvPr id="67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918D399-D7B4-4269-B4BA-A2AC0C3757D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3"/>
    <xdr:sp macro="" textlink="">
      <xdr:nvSpPr>
        <xdr:cNvPr id="67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758229-79D4-458F-9A64-3618273A3D5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980D82E-0A53-4215-A09A-70C203FFF46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0C74D3B-C92B-4336-B710-28A8E55A83C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930D1EA-1469-4A19-8C50-71CDA99AE38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A571648-0970-4178-A1FF-7F20DC20775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EB1E298-19F3-446F-873A-2416B8B7485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E7A3B4C4-8F25-435D-B9AA-7536F162A30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3BDA71-260D-46E3-8BD7-FBAD432CD66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53554DF-FFF8-4599-9A7D-41E0F5940B5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12E910-E35F-4D20-B4BE-8266BC88C94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2938404-CC1B-4C75-87AE-CF28137D54C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5833BF4-9645-4383-971E-048AADF9A05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514BF2-E091-4A3B-9690-7505A35697C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0A068D2-F72C-4862-8A39-CDC6AE0286B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599A1D9-8C7D-424C-8EC3-99E08DCB372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1E747E3-5A79-4D9A-8B49-FA0E467F90D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CB4C81B-8644-4445-9ADC-22BFCF682C8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6A56A8-F8C4-4BD8-A9EB-85F8B08D783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D84386B-FDA6-4B4C-AF91-026561DBA51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C1DFDC0-CDFF-42AB-91CF-97588F55DCB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BF73654-ADE0-4E5A-9F66-0E61F51788A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57D5B1F-EBBE-4D2A-9B2C-06382D57F63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34EFB1E0-D730-425A-8DF6-D13A63FFA59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D90743-E4D8-47F0-B847-8074823484B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5F98E04-F4CE-416F-AB81-C875F255F5C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3"/>
    <xdr:sp macro="" textlink="">
      <xdr:nvSpPr>
        <xdr:cNvPr id="67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5D3CCAE6-4ED7-4656-A666-95C3D3072F8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3"/>
    <xdr:sp macro="" textlink="">
      <xdr:nvSpPr>
        <xdr:cNvPr id="67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0EDAC1-5385-4931-8E81-785751B282B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4D453A-34ED-4E41-A4F1-584ACA1F64A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084D4A-AE01-41DE-9DDC-ABC4025F04C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496063-3CD7-4FC5-8442-44C530FAEA7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4D6ADC-3030-4810-B9F0-06F496DF930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4E09830-648C-4E2F-A6B1-8D3B272FD63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1139A7-7753-4A9B-B1DE-919E38D88EC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B198B06-E5A1-4AC8-BE13-EEB991CC600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162969F-DC53-43F1-8080-0F0B373922A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5443A8-D4F3-4D8F-A465-E5002DC2B10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D0A4A0-9651-407A-96EB-CE4CFF99FF8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79152BEA-AE7E-4D52-8193-13E8AE8ED6A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5"/>
    <xdr:sp macro="" textlink="">
      <xdr:nvSpPr>
        <xdr:cNvPr id="67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6F3675D-DF7A-4180-8E12-540E2B5C555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0FD389-CB85-40D4-98E5-7C9B87EF5DD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875AFE-1C06-4D43-B071-3A87C86BD6D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052FD2C-60C1-41BE-AB88-DDEB0B6D299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6"/>
    <xdr:sp macro="" textlink="">
      <xdr:nvSpPr>
        <xdr:cNvPr id="67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8AE1E4-ABC7-4109-9147-5076555F6A2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3E0281-CCFD-4D32-9E0D-3580833E9AF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11D6960-70EF-4F2F-BED4-C4B9D547102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151ADD-625C-47EB-AB2E-2A7140BDA5D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63144"/>
    <xdr:sp macro="" textlink="">
      <xdr:nvSpPr>
        <xdr:cNvPr id="67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73946BE-B1FC-40CD-AB34-C8DD6EDEE26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0EB16A-0F48-4AA8-8F25-29934EF9693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E23C32-309D-4B41-8903-666B9196273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D5D3D7A-207E-4D62-AD43-513941F9D42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4245"/>
    <xdr:sp macro="" textlink="">
      <xdr:nvSpPr>
        <xdr:cNvPr id="67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562C1A-0AB6-4CC6-A33A-07C703EE1B4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8"/>
    <xdr:sp macro="" textlink="">
      <xdr:nvSpPr>
        <xdr:cNvPr id="67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90F1771-96DA-41A2-8FA3-17750D58B3B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8"/>
    <xdr:sp macro="" textlink="">
      <xdr:nvSpPr>
        <xdr:cNvPr id="67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BB3D418-AC7A-47E0-AE59-373AB8D5545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B27F26-E8FC-4DAB-BAD2-2ED55F8FD4E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BF6EE3-4F1D-4A6F-A928-9F7E111ABBD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EA0788-15CF-485E-8455-5B5CBBD72347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2272E20-B118-4FD9-8A13-ECBED9A95DB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7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C95AB7-893D-4653-8CA3-A66C777E659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7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E529A1-B023-4B57-B193-C6B9E494E13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7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8D352A4-97E8-4DE9-BB75-859BC82BD8F7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7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79CFB1C-8A71-4810-B67C-5FDE51F8C0C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7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1560DDC-29EC-4021-8972-62D2E3AA526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7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06A088-EFE3-4A79-8C4E-DF54D6A868F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7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B630B11-9EFF-4AF5-BFDB-80FC85036C7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7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D5BDD4-0A25-4366-8929-0D94DF5220E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7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FFF644F-CE16-47C4-876F-35941D07A367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7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9F2FEA2-EE47-43F6-99F6-B845B5B2B0F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7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02314A30-CFB1-4C19-A832-9A42FADDFED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7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43F0CD4-4E55-4C31-A379-E2400FABD8C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63EEA76-B8A7-4343-9EA8-E50F3DE4E30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74C1D192-4168-4E66-9FE7-6AA1AF04FAF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F2DA770-54C3-4461-BD30-66282CD4896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1276626-E63F-4AD6-81CC-46CA50050EB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7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9900632C-53C2-4ED3-81BE-09F0C42391D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7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686E73-6DF4-4B52-A0EE-4EB92D53386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7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A670F08-0046-4BEA-9757-F819CEB0728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7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D9593CB-E0EB-4B1B-BE08-0F4B38C677E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8"/>
    <xdr:sp macro="" textlink="">
      <xdr:nvSpPr>
        <xdr:cNvPr id="67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E6F6DC-4E12-4294-897B-0A3AF73C94C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8"/>
    <xdr:sp macro="" textlink="">
      <xdr:nvSpPr>
        <xdr:cNvPr id="67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AA63B2B-6084-40FF-B82D-5C98EB415447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7697E6-E543-4F2C-96A3-6187B048E35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44F632-C9EC-4800-96A8-EA091122129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6C5C6E-ABDC-47CE-B6B3-0D3A820F6FA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7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C70FF0D-E48F-401D-9EC4-11F9759594C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87AAA75-FE39-471E-836D-24E658FEE87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FB90AE-6160-4678-88C5-4F09C23B26F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8D78015-C0E9-4F30-9500-73872974BA5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AC6AB6-82C5-487C-A746-987FFB3217D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9C5381C-C682-49CF-94CD-4C674EC970E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797C01E-AA1F-4620-92E0-423C1E2EE28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BEF0FB6-247B-4900-BA51-27CA264DA28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F0BFD1-F959-4A62-B97A-FA29A58DEF77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3A07A7F-2E2B-4FFA-ADE7-B5D09404102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9C0F98F-9791-4476-B7BA-444F801DA42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6D7A06E-BEE4-4D6D-99D1-DE7AD66D8C8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42A5FD-BA5D-4163-AC3B-A362DE30323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C856D3-905A-4EAB-BDA0-5BCF632E256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771705F-5A95-4D35-B320-4EAC75D4071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BCB9B4-0D89-4B40-B506-4495A8BBB6F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A15878-D365-4E08-8479-9CC108A172F7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5602805-6CCE-41D1-921F-5718B00E7DA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1EE4016-18B9-44FD-9B20-77CEB7179E97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C579C78F-DA6F-4BC8-9307-D503FD1BDF7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B147E084-BEFD-4F8E-954C-2EC6FCAF0AE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8"/>
    <xdr:sp macro="" textlink="">
      <xdr:nvSpPr>
        <xdr:cNvPr id="68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D5F27DF-A2B1-47C8-9825-5F42C6470B0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8"/>
    <xdr:sp macro="" textlink="">
      <xdr:nvSpPr>
        <xdr:cNvPr id="68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6AAAB047-DBCA-4A6B-A912-024F86E8993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F90764-5DDE-4F2E-AF3C-0FA6899130E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17BFF6C-5358-4BF7-904C-C4E6D8DB9F4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DAA4F90-ECD0-4022-9F61-C119DE70914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3D65E9-05CA-424B-A364-EA2EC001A3A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0883CA8-2B7D-4A70-89AD-D4A9EC560AE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C9EE945-F59A-4969-94EF-F42269CDE520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9657DB1-5E05-4FE5-9277-08361E902CF7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1718D28-4636-4B38-888A-CA3D71675C0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05066E-15F4-49B5-AA62-36C096B26F7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0FF0CAC-C00D-4D41-8415-1732CC30262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8113EECA-F707-4C11-B1AA-8C2DC94966B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13C7C0E-3379-483D-9C2A-2AE7A721115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D7EEEEBE-71BD-4EE4-84D8-0D89E3CF87D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D5CE7E6-C888-4EB1-BED7-EBE05635BEF5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6E69A1-059D-46D6-A58C-8BBE089E394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A7220CA-D406-44CD-B518-DEB5EA64853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F2883F-CEE4-4173-8553-EAAB7B8A6E2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BD3579D-2BD0-4541-9098-83A11208D93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9658DC4-21C6-448E-9AD5-4A9DA6AA1A6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D94C5A2-1188-4545-9440-69F1CB16F8E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124CFD3-107C-4F32-8D95-B5999B08FB1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6449F44-DCDA-45A7-A8F4-DD92BF788A6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4BCA7DA-C0B0-44A4-9E83-E04CB223EEF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A73C18-AC37-448F-942F-2BD5C660915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8"/>
    <xdr:sp macro="" textlink="">
      <xdr:nvSpPr>
        <xdr:cNvPr id="68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F7AD94-F11C-4DE6-91F5-52B96B2AE54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8"/>
    <xdr:sp macro="" textlink="">
      <xdr:nvSpPr>
        <xdr:cNvPr id="68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D993C0-F9FB-4EDE-87B3-03E0E0C121F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3EE7F89-77DC-4D54-806D-E5E5F4CD1CA3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072EB647-1280-4AD7-A57C-F5C470C99DE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6921594F-2382-494C-9D72-56D7BA1B846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7E664CA-91CD-4357-8B85-327C53C6335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B4EF89-F980-461A-8A11-98ED92CA062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D257C51-4414-4F64-A08E-68E985D5A42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8145A47-BD36-4E1C-BF5F-A843C3CD8F7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A069012-191C-4F84-88B2-313E82490E39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FDDD43-0F9E-4A82-BD02-26A53DF38C1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5AAFF83-E63B-4DAB-B006-854F2D9AD552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827F04-41E1-4C7F-A685-2DB0E5C9CE08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70"/>
    <xdr:sp macro="" textlink="">
      <xdr:nvSpPr>
        <xdr:cNvPr id="68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720096-308E-47FA-93E3-753C0E8D35CC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1D1D85-1336-44B7-ADB3-AAF3AADE435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EA74F5-1F06-4A18-AF6C-4C2BB61E79A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A42FAE-BE35-4611-AFDF-2FE82E9871D4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1"/>
    <xdr:sp macro="" textlink="">
      <xdr:nvSpPr>
        <xdr:cNvPr id="68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81F9883-52D5-488B-A796-CC298A07E24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F97646D0-BEDB-4656-917D-701E4B163F46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DA3E059-290F-4C62-9233-461F91745D6F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E435177-F496-4219-810F-BB8E5753A9A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59969"/>
    <xdr:sp macro="" textlink="">
      <xdr:nvSpPr>
        <xdr:cNvPr id="68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E8C5993-31A1-4FF8-AABA-EA37C34CB4EB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FEE63F-D62B-4141-8162-CDE1D7B6F9AD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50E443-990F-4DFA-8FAF-0B165C716F1A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D8F1CEEB-FDCD-481C-A9F2-A2F1485551FE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9</xdr:col>
      <xdr:colOff>0</xdr:colOff>
      <xdr:row>10</xdr:row>
      <xdr:rowOff>0</xdr:rowOff>
    </xdr:from>
    <xdr:ext cx="45719" cy="1371070"/>
    <xdr:sp macro="" textlink="">
      <xdr:nvSpPr>
        <xdr:cNvPr id="68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9A2C76E7-6463-4046-80F8-DC03A58128B1}"/>
            </a:ext>
          </a:extLst>
        </xdr:cNvPr>
        <xdr:cNvSpPr>
          <a:spLocks noChangeAspect="1" noChangeArrowheads="1"/>
        </xdr:cNvSpPr>
      </xdr:nvSpPr>
      <xdr:spPr bwMode="auto">
        <a:xfrm>
          <a:off x="13446125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3"/>
    <xdr:sp macro="" textlink="">
      <xdr:nvSpPr>
        <xdr:cNvPr id="68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32ABAE0B-7F7A-4643-B40D-18DB45EC6A4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3"/>
    <xdr:sp macro="" textlink="">
      <xdr:nvSpPr>
        <xdr:cNvPr id="68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1D37D7-F942-4284-B542-5405414BA2C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8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4D421F5-6BDB-4ED1-8DED-C1AB73A8624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8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9BFB25-C36C-4E80-9491-09384D0470B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8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FFC70A-706B-4460-95F6-1BE8B197B2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8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1D75FED-7895-4251-BB4B-ACC3FB6DDD1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8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6C9350E8-5105-4715-BAAD-303C0E8138D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8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0AA9731-FEB1-4D79-9E1F-A727F79E81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8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D990F56D-F82F-44D2-85B0-94FB87DDFFF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8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B389C1-D959-4077-B0E0-0ECAB4D3FDE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8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E4A11E-AEF5-47D2-8E70-7349F7D4BBF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8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021746C9-75CF-4460-A9AC-146F76D31A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8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B41A6AB-AF3F-4612-A329-7A618AE7D3D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8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7C2BA00-EFBD-472C-9084-619198CCDC5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8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78E8B1-301A-49AA-80B1-3D27FCAA22D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8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CB03746-9085-41F7-81BF-44AF3521D11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8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2E052F1-56AD-4D7E-B1E0-31B59E0EB85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8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A0B3243-85A3-4813-B950-4DC99E2F342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8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563F099-EA00-4A63-9CBC-710385A1B23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8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35D226-CE27-4C37-BE3F-B57A38525DA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8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AA025BE-3A62-455A-827D-35034F3A0F1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8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57BB7C2-691D-4FCE-9181-A368F61B020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8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8953AE-29C6-4E50-B629-9672741D326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8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92D28651-4954-4FDF-B485-A50FF717F50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8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619DBAC-9119-4A2D-9C0A-A75C48B55D2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8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792E76-6688-48A5-BB93-8D45D6A07EA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3"/>
    <xdr:sp macro="" textlink="">
      <xdr:nvSpPr>
        <xdr:cNvPr id="68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F21D7667-FD96-41B4-A0FA-23FF6891BF6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3"/>
    <xdr:sp macro="" textlink="">
      <xdr:nvSpPr>
        <xdr:cNvPr id="68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9BFB07EF-D76F-4FBE-91E3-110735D89CC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78E35F-4187-4D7F-A4B7-5B35243F854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329DD17A-7FEE-41DE-AF1E-C3273DC0587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52F5E6-1260-46D1-A13F-A77956A29A5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3AD8568B-8994-45B2-99D4-0EE71565733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5F5C52-2CC5-4A68-A404-F0C6ECC28F8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C86D08-3730-4CB3-BE91-09D448F5A2C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E4D191-4243-416E-87F6-AB79A54B23A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1CD6B5F-12A9-423C-9DB5-B39E8DAB8B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37EC013C-45F7-4C91-8FAE-5F121F00208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054544-67DF-4CBE-90C4-CE1B7B38C8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BFDC15B3-0947-48B6-B9E3-9EDB67A0428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EB3C0A-79AE-4D72-8E7A-2C544AC2888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422C0CC5-3D66-4749-9745-D092DE89AC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2C22117-4DA1-4935-B6EE-FDC4B588313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8ABCDCC-8B63-4037-A02E-689FB18FFBE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D63911-FC42-421A-9E27-8F92E843712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30BAC0AC-B0F7-46B6-944E-F9910415465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A79AF6-FC39-4A50-8DEE-2269FED0C99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767A26C6-D80F-4910-B5E6-7FCF2A7272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52C0C79-C804-403B-A4C6-9DE7E62464D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CBBA9C-C9F7-4DDF-81B9-03A754BE7C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5AAC12-7B71-44C6-8DBA-B5B06A02F24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53FC9B5-16A1-4EF6-9A71-02C72C4A698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49F5A197-A359-454C-931A-ACF3982D5E4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3"/>
    <xdr:sp macro="" textlink="">
      <xdr:nvSpPr>
        <xdr:cNvPr id="69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D280FC3-525B-40C3-B30C-845FEF0E79A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3"/>
    <xdr:sp macro="" textlink="">
      <xdr:nvSpPr>
        <xdr:cNvPr id="69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39C2FC4-8F6B-4A3E-A15A-4AB4A97F3D8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92752B7-F685-4980-86C0-48E425B45D2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0D86E1F-7730-464D-8024-375D13F9F9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4A6512-B210-4137-B857-2AC52484134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EDCDDD6-7095-4E7E-8801-82074B537B4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D2B2B41-5628-4B71-A0E4-64079409A96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141CD161-7C88-4AFF-80C0-8F5FBF8AF5C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C00A6515-4489-4CAB-991E-22034258483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DDF44654-DCFC-46A5-A2E3-F8DCA083452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DCDBD245-6A95-4E1D-88F7-A9AEC8CF59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CE85D0D-EB6B-414F-B453-2927645DD0D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C6798DF-5457-4F55-AD79-460C02C7DC1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277135-D4E7-42F7-9F56-DB607C1B399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52ED8D-7ABF-464C-B62B-2321AC4BE22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03FA88-E65C-4810-9989-9D8A37F28EF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9E6063-D84B-4DA6-9D16-F505A96ECC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7C4F968-CB28-4C47-ACEA-92DF4640E93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7AA78750-6AE0-4575-B1AF-C43937A485B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B82E9E6-EB19-4AB5-BF4A-ECD28BB2658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E800AB5-57F3-4876-AFEF-29FF5687D7C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A5A940-CFAE-42CD-BE81-A3772387F72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E41695F-B008-4E64-961F-3B5D5E95E6B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092E4B5-988A-47A6-AA5A-475F82B67A5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B7630C6-1DD1-407B-868C-71155D8BDDB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32504A5-37B9-4702-9F8A-4C85A903B05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3"/>
    <xdr:sp macro="" textlink="">
      <xdr:nvSpPr>
        <xdr:cNvPr id="69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8FAC0C-2E25-424B-8A0D-35055F8B4BA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3"/>
    <xdr:sp macro="" textlink="">
      <xdr:nvSpPr>
        <xdr:cNvPr id="69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D76C8BC-D2F8-47EA-863C-A09EC0D9BC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3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36A554-E50F-490A-BCB7-1B0D9ECD6C0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7713634-CE10-428D-A122-9F5250DCDFA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3B626FC-3497-44BB-8B1C-AB2011E62C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7BD64E-A4F7-42C2-8150-F9660E05956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84684D86-6474-4BBE-BEE8-95D1A0BD0AA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C3057C5A-D219-49C8-9FA2-BBDF0A16DA5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3119D772-2397-4134-BF65-7E82FF93F2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4695A4-E33B-46FA-BC4A-C8F2773574F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FC15453C-384D-4554-AF39-6B0DADE7014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2228A9CA-2E77-4333-ACF5-83064753BDE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63A3AEE-3D61-4147-BC64-514D7039026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5"/>
    <xdr:sp macro="" textlink="">
      <xdr:nvSpPr>
        <xdr:cNvPr id="69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59AFAD4-E08F-495B-98E8-672E1A0DD83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1CB2691-8F75-47B0-A820-B172571C81A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C57D3C-2368-4E46-B910-FD8FF81FAE3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9B996A4B-BF48-4C72-9F61-AE2C6D5060D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6"/>
    <xdr:sp macro="" textlink="">
      <xdr:nvSpPr>
        <xdr:cNvPr id="69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CC766C-D899-4AD7-824D-F1A70D15020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6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8371E918-C764-4FB9-B53F-B9A04B6CEE9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4DC3D1-C05C-40AE-97FC-8D80EABA104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7944344-7E41-4B40-A859-5E4770D1E5C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63144"/>
    <xdr:sp macro="" textlink="">
      <xdr:nvSpPr>
        <xdr:cNvPr id="69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E2A9B3-E150-499E-8FF6-38E0D8A7A30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63144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B1E6E028-A42A-474C-816A-CD54C277E41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BD4CD1AE-79A0-4350-BBFF-A5C6F7678BF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51E238-AA43-407D-9143-2A4A46D548B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4245"/>
    <xdr:sp macro="" textlink="">
      <xdr:nvSpPr>
        <xdr:cNvPr id="69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D0E2476-3081-4EFF-98B3-487DD74F5E4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4245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8"/>
    <xdr:sp macro="" textlink="">
      <xdr:nvSpPr>
        <xdr:cNvPr id="69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1F10225D-9AB2-41BC-8511-FBFCFC4033C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8"/>
    <xdr:sp macro="" textlink="">
      <xdr:nvSpPr>
        <xdr:cNvPr id="69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B9189C-9061-4BFF-A039-B9FE5519E86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69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3BEBAE83-C44D-4212-9796-3B5DCE446D5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69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2ABE1D-BE76-4FED-97E8-14CE6D31236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698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BE9A2CA-71F9-4BDC-8F33-9C303C56F01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698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C5D56D4-E8D8-4F62-952B-9542F311CEE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6982" name="AutoShape 1" descr="https://ssl.gstatic.com/ui/v1/icons/mail/images/cleardot.gif">
          <a:extLst>
            <a:ext uri="{FF2B5EF4-FFF2-40B4-BE49-F238E27FC236}">
              <a16:creationId xmlns:a16="http://schemas.microsoft.com/office/drawing/2014/main" id="{B84482CC-5238-4927-A757-9D4D44D1320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698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E574C26-9165-4DFA-85B4-4AED8AA033D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698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09C29C-3E6E-4E69-9C11-AFFC2614635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6985" name="AutoShape 1" descr="https://ssl.gstatic.com/ui/v1/icons/mail/images/cleardot.gif">
          <a:extLst>
            <a:ext uri="{FF2B5EF4-FFF2-40B4-BE49-F238E27FC236}">
              <a16:creationId xmlns:a16="http://schemas.microsoft.com/office/drawing/2014/main" id="{0E66CBCC-83D5-40EC-A85A-EF9F03EF509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6986" name="AutoShape 1" descr="https://ssl.gstatic.com/ui/v1/icons/mail/images/cleardot.gif">
          <a:extLst>
            <a:ext uri="{FF2B5EF4-FFF2-40B4-BE49-F238E27FC236}">
              <a16:creationId xmlns:a16="http://schemas.microsoft.com/office/drawing/2014/main" id="{0052FF99-1C12-4BE0-A40C-21A79620A9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6987" name="AutoShape 1" descr="https://ssl.gstatic.com/ui/v1/icons/mail/images/cleardot.gif">
          <a:extLst>
            <a:ext uri="{FF2B5EF4-FFF2-40B4-BE49-F238E27FC236}">
              <a16:creationId xmlns:a16="http://schemas.microsoft.com/office/drawing/2014/main" id="{D2C08DDD-F9AB-430D-B3F5-D93EA2755BA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698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9926A55-9ADE-4E87-AB1B-66E6177B8AC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6989" name="AutoShape 1" descr="https://ssl.gstatic.com/ui/v1/icons/mail/images/cleardot.gif">
          <a:extLst>
            <a:ext uri="{FF2B5EF4-FFF2-40B4-BE49-F238E27FC236}">
              <a16:creationId xmlns:a16="http://schemas.microsoft.com/office/drawing/2014/main" id="{EC5E0D16-B270-4BA3-8919-24088A573FF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6990" name="AutoShape 1" descr="https://ssl.gstatic.com/ui/v1/icons/mail/images/cleardot.gif">
          <a:extLst>
            <a:ext uri="{FF2B5EF4-FFF2-40B4-BE49-F238E27FC236}">
              <a16:creationId xmlns:a16="http://schemas.microsoft.com/office/drawing/2014/main" id="{CC5A4712-A6ED-400A-89CA-BE16227996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699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F546CEF-D304-45B7-9E6E-3FE9B14E58C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699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0B758E0-BA20-4759-AB7A-B67970F14BF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6993" name="AutoShape 1" descr="https://ssl.gstatic.com/ui/v1/icons/mail/images/cleardot.gif">
          <a:extLst>
            <a:ext uri="{FF2B5EF4-FFF2-40B4-BE49-F238E27FC236}">
              <a16:creationId xmlns:a16="http://schemas.microsoft.com/office/drawing/2014/main" id="{CD380AD0-2461-4B7C-9F3C-46781F0126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6994" name="AutoShape 1" descr="https://ssl.gstatic.com/ui/v1/icons/mail/images/cleardot.gif">
          <a:extLst>
            <a:ext uri="{FF2B5EF4-FFF2-40B4-BE49-F238E27FC236}">
              <a16:creationId xmlns:a16="http://schemas.microsoft.com/office/drawing/2014/main" id="{AF50DE95-921B-41F3-8B25-24F9AAE6D6E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699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21652D-EA24-45C2-BD68-F80DBD33286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6996" name="AutoShape 1" descr="https://ssl.gstatic.com/ui/v1/icons/mail/images/cleardot.gif">
          <a:extLst>
            <a:ext uri="{FF2B5EF4-FFF2-40B4-BE49-F238E27FC236}">
              <a16:creationId xmlns:a16="http://schemas.microsoft.com/office/drawing/2014/main" id="{4450C2F0-758E-46B3-ACC5-000B9C491D7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6997" name="AutoShape 1" descr="https://ssl.gstatic.com/ui/v1/icons/mail/images/cleardot.gif">
          <a:extLst>
            <a:ext uri="{FF2B5EF4-FFF2-40B4-BE49-F238E27FC236}">
              <a16:creationId xmlns:a16="http://schemas.microsoft.com/office/drawing/2014/main" id="{FAC9F838-BF43-456C-BB54-562E10F3EF4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699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4545D8E-A5E8-4F7F-974A-766C5B88069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6999" name="AutoShape 1" descr="https://ssl.gstatic.com/ui/v1/icons/mail/images/cleardot.gif">
          <a:extLst>
            <a:ext uri="{FF2B5EF4-FFF2-40B4-BE49-F238E27FC236}">
              <a16:creationId xmlns:a16="http://schemas.microsoft.com/office/drawing/2014/main" id="{636A4901-FB32-4048-B22C-31C50F1E9F1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00" name="AutoShape 1" descr="https://ssl.gstatic.com/ui/v1/icons/mail/images/cleardot.gif">
          <a:extLst>
            <a:ext uri="{FF2B5EF4-FFF2-40B4-BE49-F238E27FC236}">
              <a16:creationId xmlns:a16="http://schemas.microsoft.com/office/drawing/2014/main" id="{38F933D8-C236-4EE5-B89F-97A12DC68F3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01" name="AutoShape 1" descr="https://ssl.gstatic.com/ui/v1/icons/mail/images/cleardot.gif">
          <a:extLst>
            <a:ext uri="{FF2B5EF4-FFF2-40B4-BE49-F238E27FC236}">
              <a16:creationId xmlns:a16="http://schemas.microsoft.com/office/drawing/2014/main" id="{DE813690-6BDB-4B95-9BF7-2C77BF4F39D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8"/>
    <xdr:sp macro="" textlink="">
      <xdr:nvSpPr>
        <xdr:cNvPr id="700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41FCE4C-62C6-455F-9F7E-FACE5146E3A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8"/>
    <xdr:sp macro="" textlink="">
      <xdr:nvSpPr>
        <xdr:cNvPr id="7003" name="AutoShape 1" descr="https://ssl.gstatic.com/ui/v1/icons/mail/images/cleardot.gif">
          <a:extLst>
            <a:ext uri="{FF2B5EF4-FFF2-40B4-BE49-F238E27FC236}">
              <a16:creationId xmlns:a16="http://schemas.microsoft.com/office/drawing/2014/main" id="{99E9F2B7-AE3B-41E4-A48A-8452FA9A9C5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04" name="AutoShape 1" descr="https://ssl.gstatic.com/ui/v1/icons/mail/images/cleardot.gif">
          <a:extLst>
            <a:ext uri="{FF2B5EF4-FFF2-40B4-BE49-F238E27FC236}">
              <a16:creationId xmlns:a16="http://schemas.microsoft.com/office/drawing/2014/main" id="{43E3C834-8CA9-4659-8E39-E50D291261E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05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0DCF17-1F4C-4A67-A733-20FDE670247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06" name="AutoShape 1" descr="https://ssl.gstatic.com/ui/v1/icons/mail/images/cleardot.gif">
          <a:extLst>
            <a:ext uri="{FF2B5EF4-FFF2-40B4-BE49-F238E27FC236}">
              <a16:creationId xmlns:a16="http://schemas.microsoft.com/office/drawing/2014/main" id="{2C76B402-7A0F-4DE4-8FC3-203577768C1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07" name="AutoShape 1" descr="https://ssl.gstatic.com/ui/v1/icons/mail/images/cleardot.gif">
          <a:extLst>
            <a:ext uri="{FF2B5EF4-FFF2-40B4-BE49-F238E27FC236}">
              <a16:creationId xmlns:a16="http://schemas.microsoft.com/office/drawing/2014/main" id="{68B276F0-D240-481C-8008-A00F79C3514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0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87B8981-BA26-4C5B-A0AF-F0E9CA6D822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09" name="AutoShape 1" descr="https://ssl.gstatic.com/ui/v1/icons/mail/images/cleardot.gif">
          <a:extLst>
            <a:ext uri="{FF2B5EF4-FFF2-40B4-BE49-F238E27FC236}">
              <a16:creationId xmlns:a16="http://schemas.microsoft.com/office/drawing/2014/main" id="{8581B501-4AAC-4CF7-97FA-1DC66DDAC86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1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E447914-6E5B-4486-8953-14920AC8FC9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1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F0232B7-A2F3-4EE3-8BD5-F65A86BCFA8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1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D4294DF-500D-4588-8015-B53549AD237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13" name="AutoShape 1" descr="https://ssl.gstatic.com/ui/v1/icons/mail/images/cleardot.gif">
          <a:extLst>
            <a:ext uri="{FF2B5EF4-FFF2-40B4-BE49-F238E27FC236}">
              <a16:creationId xmlns:a16="http://schemas.microsoft.com/office/drawing/2014/main" id="{AD42D914-2B56-4CAE-AE91-110940400C9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14" name="AutoShape 1" descr="https://ssl.gstatic.com/ui/v1/icons/mail/images/cleardot.gif">
          <a:extLst>
            <a:ext uri="{FF2B5EF4-FFF2-40B4-BE49-F238E27FC236}">
              <a16:creationId xmlns:a16="http://schemas.microsoft.com/office/drawing/2014/main" id="{9C94D3A2-65F5-43B6-AC5D-108316EA39F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1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6C6D8F3-A247-41FF-AE52-14D39902E53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1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6B76823-6884-4BA2-AA57-7B4306BC1954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1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EE7F38D-6FD3-452F-9A1A-82C5D1019EB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1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34C3E4-162E-42D7-99D4-036E87300BD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1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56499A4-C7EB-4329-811A-19EB775EF3F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20" name="AutoShape 1" descr="https://ssl.gstatic.com/ui/v1/icons/mail/images/cleardot.gif">
          <a:extLst>
            <a:ext uri="{FF2B5EF4-FFF2-40B4-BE49-F238E27FC236}">
              <a16:creationId xmlns:a16="http://schemas.microsoft.com/office/drawing/2014/main" id="{4627E865-308A-4328-9898-8EBA0127920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2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8EA5E03-46D4-411D-87F4-25C6E9802C3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22" name="AutoShape 1" descr="https://ssl.gstatic.com/ui/v1/icons/mail/images/cleardot.gif">
          <a:extLst>
            <a:ext uri="{FF2B5EF4-FFF2-40B4-BE49-F238E27FC236}">
              <a16:creationId xmlns:a16="http://schemas.microsoft.com/office/drawing/2014/main" id="{24633108-3E88-407D-8693-939B54497D4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23" name="AutoShape 1" descr="https://ssl.gstatic.com/ui/v1/icons/mail/images/cleardot.gif">
          <a:extLst>
            <a:ext uri="{FF2B5EF4-FFF2-40B4-BE49-F238E27FC236}">
              <a16:creationId xmlns:a16="http://schemas.microsoft.com/office/drawing/2014/main" id="{365C4746-E569-4D3D-9015-4F10814ED52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24" name="AutoShape 1" descr="https://ssl.gstatic.com/ui/v1/icons/mail/images/cleardot.gif">
          <a:extLst>
            <a:ext uri="{FF2B5EF4-FFF2-40B4-BE49-F238E27FC236}">
              <a16:creationId xmlns:a16="http://schemas.microsoft.com/office/drawing/2014/main" id="{29560597-6CF9-46F9-AF3F-0C4A2E36E8D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2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90C7F8-F30F-4A4B-A032-9E74A5B8CA1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2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D0497C5-E045-4373-B466-FFEDD1FF15C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27" name="AutoShape 1" descr="https://ssl.gstatic.com/ui/v1/icons/mail/images/cleardot.gif">
          <a:extLst>
            <a:ext uri="{FF2B5EF4-FFF2-40B4-BE49-F238E27FC236}">
              <a16:creationId xmlns:a16="http://schemas.microsoft.com/office/drawing/2014/main" id="{B2B907CD-DC8E-4AB4-81D6-28DD4B08D47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8"/>
    <xdr:sp macro="" textlink="">
      <xdr:nvSpPr>
        <xdr:cNvPr id="702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77AA885-FCC3-49D9-B475-251D1FFD5CB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8"/>
    <xdr:sp macro="" textlink="">
      <xdr:nvSpPr>
        <xdr:cNvPr id="702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6591448-05E6-4BA1-B6E4-07AB8201D16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30" name="AutoShape 1" descr="https://ssl.gstatic.com/ui/v1/icons/mail/images/cleardot.gif">
          <a:extLst>
            <a:ext uri="{FF2B5EF4-FFF2-40B4-BE49-F238E27FC236}">
              <a16:creationId xmlns:a16="http://schemas.microsoft.com/office/drawing/2014/main" id="{09C1EE3D-8A8F-49D2-B53E-F18D35B31C0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31" name="AutoShape 1" descr="https://ssl.gstatic.com/ui/v1/icons/mail/images/cleardot.gif">
          <a:extLst>
            <a:ext uri="{FF2B5EF4-FFF2-40B4-BE49-F238E27FC236}">
              <a16:creationId xmlns:a16="http://schemas.microsoft.com/office/drawing/2014/main" id="{B50C0894-E988-49B1-8D19-4C688FCD1A3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32" name="AutoShape 1" descr="https://ssl.gstatic.com/ui/v1/icons/mail/images/cleardot.gif">
          <a:extLst>
            <a:ext uri="{FF2B5EF4-FFF2-40B4-BE49-F238E27FC236}">
              <a16:creationId xmlns:a16="http://schemas.microsoft.com/office/drawing/2014/main" id="{A6BCD49A-AFAD-4CF8-8646-E61FED8196D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33" name="AutoShape 1" descr="https://ssl.gstatic.com/ui/v1/icons/mail/images/cleardot.gif">
          <a:extLst>
            <a:ext uri="{FF2B5EF4-FFF2-40B4-BE49-F238E27FC236}">
              <a16:creationId xmlns:a16="http://schemas.microsoft.com/office/drawing/2014/main" id="{F2649F12-E0FF-4492-8EE3-8FD2826DB16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34" name="AutoShape 1" descr="https://ssl.gstatic.com/ui/v1/icons/mail/images/cleardot.gif">
          <a:extLst>
            <a:ext uri="{FF2B5EF4-FFF2-40B4-BE49-F238E27FC236}">
              <a16:creationId xmlns:a16="http://schemas.microsoft.com/office/drawing/2014/main" id="{C7C4E331-1C67-4D92-BF62-F26C5B548AB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35" name="AutoShape 1" descr="https://ssl.gstatic.com/ui/v1/icons/mail/images/cleardot.gif">
          <a:extLst>
            <a:ext uri="{FF2B5EF4-FFF2-40B4-BE49-F238E27FC236}">
              <a16:creationId xmlns:a16="http://schemas.microsoft.com/office/drawing/2014/main" id="{F0A24039-362A-4067-A2D1-D89E5F9CC99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36" name="AutoShape 1" descr="https://ssl.gstatic.com/ui/v1/icons/mail/images/cleardot.gif">
          <a:extLst>
            <a:ext uri="{FF2B5EF4-FFF2-40B4-BE49-F238E27FC236}">
              <a16:creationId xmlns:a16="http://schemas.microsoft.com/office/drawing/2014/main" id="{6EDDA741-E0AE-48D2-9D21-A84F1D695DA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37" name="AutoShape 1" descr="https://ssl.gstatic.com/ui/v1/icons/mail/images/cleardot.gif">
          <a:extLst>
            <a:ext uri="{FF2B5EF4-FFF2-40B4-BE49-F238E27FC236}">
              <a16:creationId xmlns:a16="http://schemas.microsoft.com/office/drawing/2014/main" id="{5311F7D7-6987-442B-8472-4FC3C6954E5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38" name="AutoShape 1" descr="https://ssl.gstatic.com/ui/v1/icons/mail/images/cleardot.gif">
          <a:extLst>
            <a:ext uri="{FF2B5EF4-FFF2-40B4-BE49-F238E27FC236}">
              <a16:creationId xmlns:a16="http://schemas.microsoft.com/office/drawing/2014/main" id="{5A0B6903-C19F-4347-8624-C21BC1DD923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39" name="AutoShape 1" descr="https://ssl.gstatic.com/ui/v1/icons/mail/images/cleardot.gif">
          <a:extLst>
            <a:ext uri="{FF2B5EF4-FFF2-40B4-BE49-F238E27FC236}">
              <a16:creationId xmlns:a16="http://schemas.microsoft.com/office/drawing/2014/main" id="{4B6CF564-305F-48DC-8CD3-FDB69ADD941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4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F726A1B-B533-4D9B-9A0B-2BB50551985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41" name="AutoShape 1" descr="https://ssl.gstatic.com/ui/v1/icons/mail/images/cleardot.gif">
          <a:extLst>
            <a:ext uri="{FF2B5EF4-FFF2-40B4-BE49-F238E27FC236}">
              <a16:creationId xmlns:a16="http://schemas.microsoft.com/office/drawing/2014/main" id="{076C8E03-60A9-4DD6-957A-BDCCC031E6A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42" name="AutoShape 1" descr="https://ssl.gstatic.com/ui/v1/icons/mail/images/cleardot.gif">
          <a:extLst>
            <a:ext uri="{FF2B5EF4-FFF2-40B4-BE49-F238E27FC236}">
              <a16:creationId xmlns:a16="http://schemas.microsoft.com/office/drawing/2014/main" id="{D3F6056E-0C1A-42D7-B7DE-B4CB0D1CA9C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43" name="AutoShape 1" descr="https://ssl.gstatic.com/ui/v1/icons/mail/images/cleardot.gif">
          <a:extLst>
            <a:ext uri="{FF2B5EF4-FFF2-40B4-BE49-F238E27FC236}">
              <a16:creationId xmlns:a16="http://schemas.microsoft.com/office/drawing/2014/main" id="{166392EB-BA1E-46BB-8DDE-212E79D8545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4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FEFF851-22F1-40CA-836F-8BADE83319F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45" name="AutoShape 1" descr="https://ssl.gstatic.com/ui/v1/icons/mail/images/cleardot.gif">
          <a:extLst>
            <a:ext uri="{FF2B5EF4-FFF2-40B4-BE49-F238E27FC236}">
              <a16:creationId xmlns:a16="http://schemas.microsoft.com/office/drawing/2014/main" id="{656EBF0D-0E8A-408C-AF27-063C3ABB563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46" name="AutoShape 1" descr="https://ssl.gstatic.com/ui/v1/icons/mail/images/cleardot.gif">
          <a:extLst>
            <a:ext uri="{FF2B5EF4-FFF2-40B4-BE49-F238E27FC236}">
              <a16:creationId xmlns:a16="http://schemas.microsoft.com/office/drawing/2014/main" id="{A188BB8A-0A89-4BB2-AF96-40EAAD211B5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47" name="AutoShape 1" descr="https://ssl.gstatic.com/ui/v1/icons/mail/images/cleardot.gif">
          <a:extLst>
            <a:ext uri="{FF2B5EF4-FFF2-40B4-BE49-F238E27FC236}">
              <a16:creationId xmlns:a16="http://schemas.microsoft.com/office/drawing/2014/main" id="{1BBFD8B1-5CAE-4198-84C0-CA5FEC69C9B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48" name="AutoShape 1" descr="https://ssl.gstatic.com/ui/v1/icons/mail/images/cleardot.gif">
          <a:extLst>
            <a:ext uri="{FF2B5EF4-FFF2-40B4-BE49-F238E27FC236}">
              <a16:creationId xmlns:a16="http://schemas.microsoft.com/office/drawing/2014/main" id="{E555D0C7-8BB5-4B15-BA07-B718464D9EE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49" name="AutoShape 1" descr="https://ssl.gstatic.com/ui/v1/icons/mail/images/cleardot.gif">
          <a:extLst>
            <a:ext uri="{FF2B5EF4-FFF2-40B4-BE49-F238E27FC236}">
              <a16:creationId xmlns:a16="http://schemas.microsoft.com/office/drawing/2014/main" id="{DAC44B30-6164-4F1D-8DC8-7B4E72D57C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50" name="AutoShape 1" descr="https://ssl.gstatic.com/ui/v1/icons/mail/images/cleardot.gif">
          <a:extLst>
            <a:ext uri="{FF2B5EF4-FFF2-40B4-BE49-F238E27FC236}">
              <a16:creationId xmlns:a16="http://schemas.microsoft.com/office/drawing/2014/main" id="{A89156A1-E7EE-412B-8019-FA0C8B0DCDD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51" name="AutoShape 1" descr="https://ssl.gstatic.com/ui/v1/icons/mail/images/cleardot.gif">
          <a:extLst>
            <a:ext uri="{FF2B5EF4-FFF2-40B4-BE49-F238E27FC236}">
              <a16:creationId xmlns:a16="http://schemas.microsoft.com/office/drawing/2014/main" id="{E1801F1C-8274-4506-B190-5DED8ED488B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52" name="AutoShape 1" descr="https://ssl.gstatic.com/ui/v1/icons/mail/images/cleardot.gif">
          <a:extLst>
            <a:ext uri="{FF2B5EF4-FFF2-40B4-BE49-F238E27FC236}">
              <a16:creationId xmlns:a16="http://schemas.microsoft.com/office/drawing/2014/main" id="{6624073C-9880-4AFA-95DE-6C2D85FDFF8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53" name="AutoShape 1" descr="https://ssl.gstatic.com/ui/v1/icons/mail/images/cleardot.gif">
          <a:extLst>
            <a:ext uri="{FF2B5EF4-FFF2-40B4-BE49-F238E27FC236}">
              <a16:creationId xmlns:a16="http://schemas.microsoft.com/office/drawing/2014/main" id="{87407250-6E25-4B26-BEA6-A7D64666672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8"/>
    <xdr:sp macro="" textlink="">
      <xdr:nvSpPr>
        <xdr:cNvPr id="7054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A2C771-8779-46B2-946E-ECC26B59CD89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8"/>
    <xdr:sp macro="" textlink="">
      <xdr:nvSpPr>
        <xdr:cNvPr id="7055" name="AutoShape 1" descr="https://ssl.gstatic.com/ui/v1/icons/mail/images/cleardot.gif">
          <a:extLst>
            <a:ext uri="{FF2B5EF4-FFF2-40B4-BE49-F238E27FC236}">
              <a16:creationId xmlns:a16="http://schemas.microsoft.com/office/drawing/2014/main" id="{C06E95BE-59E8-4F65-9A51-F63BD50B30CE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8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5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4C8DE9D-16C2-4220-852D-111A1ED3D90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57" name="AutoShape 1" descr="https://ssl.gstatic.com/ui/v1/icons/mail/images/cleardot.gif">
          <a:extLst>
            <a:ext uri="{FF2B5EF4-FFF2-40B4-BE49-F238E27FC236}">
              <a16:creationId xmlns:a16="http://schemas.microsoft.com/office/drawing/2014/main" id="{82C31912-7702-402C-9A0C-FEA7F8D2226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5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DC9CE35-FA70-499A-88CF-6B8D68FDC80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59" name="AutoShape 1" descr="https://ssl.gstatic.com/ui/v1/icons/mail/images/cleardot.gif">
          <a:extLst>
            <a:ext uri="{FF2B5EF4-FFF2-40B4-BE49-F238E27FC236}">
              <a16:creationId xmlns:a16="http://schemas.microsoft.com/office/drawing/2014/main" id="{CE56B35A-E8D7-4E3D-9F3D-B581DFA19EC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60" name="AutoShape 1" descr="https://ssl.gstatic.com/ui/v1/icons/mail/images/cleardot.gif">
          <a:extLst>
            <a:ext uri="{FF2B5EF4-FFF2-40B4-BE49-F238E27FC236}">
              <a16:creationId xmlns:a16="http://schemas.microsoft.com/office/drawing/2014/main" id="{822AD33F-58F0-47BA-B63F-F6ECA02D350A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61" name="AutoShape 1" descr="https://ssl.gstatic.com/ui/v1/icons/mail/images/cleardot.gif">
          <a:extLst>
            <a:ext uri="{FF2B5EF4-FFF2-40B4-BE49-F238E27FC236}">
              <a16:creationId xmlns:a16="http://schemas.microsoft.com/office/drawing/2014/main" id="{8C4DBEA2-7048-46D5-9813-254A11F7F29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62" name="AutoShape 1" descr="https://ssl.gstatic.com/ui/v1/icons/mail/images/cleardot.gif">
          <a:extLst>
            <a:ext uri="{FF2B5EF4-FFF2-40B4-BE49-F238E27FC236}">
              <a16:creationId xmlns:a16="http://schemas.microsoft.com/office/drawing/2014/main" id="{F0A5DA8D-6657-41EB-AC00-E009F42EE0B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63" name="AutoShape 1" descr="https://ssl.gstatic.com/ui/v1/icons/mail/images/cleardot.gif">
          <a:extLst>
            <a:ext uri="{FF2B5EF4-FFF2-40B4-BE49-F238E27FC236}">
              <a16:creationId xmlns:a16="http://schemas.microsoft.com/office/drawing/2014/main" id="{206CA434-B401-4333-9E6A-3FE27C665E28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64" name="AutoShape 1" descr="https://ssl.gstatic.com/ui/v1/icons/mail/images/cleardot.gif">
          <a:extLst>
            <a:ext uri="{FF2B5EF4-FFF2-40B4-BE49-F238E27FC236}">
              <a16:creationId xmlns:a16="http://schemas.microsoft.com/office/drawing/2014/main" id="{B4AD13C9-241F-4DC3-BE25-CE7909AEF51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65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7D974B-B252-43BA-83BB-92067099C3BB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66" name="AutoShape 1" descr="https://ssl.gstatic.com/ui/v1/icons/mail/images/cleardot.gif">
          <a:extLst>
            <a:ext uri="{FF2B5EF4-FFF2-40B4-BE49-F238E27FC236}">
              <a16:creationId xmlns:a16="http://schemas.microsoft.com/office/drawing/2014/main" id="{7207F50B-DE5F-4D23-8539-6D330F04CFA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70"/>
    <xdr:sp macro="" textlink="">
      <xdr:nvSpPr>
        <xdr:cNvPr id="7067" name="AutoShape 1" descr="https://ssl.gstatic.com/ui/v1/icons/mail/images/cleardot.gif">
          <a:extLst>
            <a:ext uri="{FF2B5EF4-FFF2-40B4-BE49-F238E27FC236}">
              <a16:creationId xmlns:a16="http://schemas.microsoft.com/office/drawing/2014/main" id="{A3470672-4B19-4488-BE87-0EA8B7840D05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68" name="AutoShape 1" descr="https://ssl.gstatic.com/ui/v1/icons/mail/images/cleardot.gif">
          <a:extLst>
            <a:ext uri="{FF2B5EF4-FFF2-40B4-BE49-F238E27FC236}">
              <a16:creationId xmlns:a16="http://schemas.microsoft.com/office/drawing/2014/main" id="{2A111FFD-D7D9-467F-8E0A-BDF8F806640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69" name="AutoShape 1" descr="https://ssl.gstatic.com/ui/v1/icons/mail/images/cleardot.gif">
          <a:extLst>
            <a:ext uri="{FF2B5EF4-FFF2-40B4-BE49-F238E27FC236}">
              <a16:creationId xmlns:a16="http://schemas.microsoft.com/office/drawing/2014/main" id="{5D0E770F-1093-4B98-AB41-2D374E584582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70" name="AutoShape 1" descr="https://ssl.gstatic.com/ui/v1/icons/mail/images/cleardot.gif">
          <a:extLst>
            <a:ext uri="{FF2B5EF4-FFF2-40B4-BE49-F238E27FC236}">
              <a16:creationId xmlns:a16="http://schemas.microsoft.com/office/drawing/2014/main" id="{70C6D5C7-5681-41C2-8C6A-A34DBEAF94B7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1"/>
    <xdr:sp macro="" textlink="">
      <xdr:nvSpPr>
        <xdr:cNvPr id="7071" name="AutoShape 1" descr="https://ssl.gstatic.com/ui/v1/icons/mail/images/cleardot.gif">
          <a:extLst>
            <a:ext uri="{FF2B5EF4-FFF2-40B4-BE49-F238E27FC236}">
              <a16:creationId xmlns:a16="http://schemas.microsoft.com/office/drawing/2014/main" id="{47C1EFB1-9333-4383-8CE7-D7A784FFF8C1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1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72" name="AutoShape 1" descr="https://ssl.gstatic.com/ui/v1/icons/mail/images/cleardot.gif">
          <a:extLst>
            <a:ext uri="{FF2B5EF4-FFF2-40B4-BE49-F238E27FC236}">
              <a16:creationId xmlns:a16="http://schemas.microsoft.com/office/drawing/2014/main" id="{56075D1A-E9C8-4D74-B35F-49C34C2C5DD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73" name="AutoShape 1" descr="https://ssl.gstatic.com/ui/v1/icons/mail/images/cleardot.gif">
          <a:extLst>
            <a:ext uri="{FF2B5EF4-FFF2-40B4-BE49-F238E27FC236}">
              <a16:creationId xmlns:a16="http://schemas.microsoft.com/office/drawing/2014/main" id="{63EDC9BD-03B0-4B95-A11A-4C2F13806AD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74" name="AutoShape 1" descr="https://ssl.gstatic.com/ui/v1/icons/mail/images/cleardot.gif">
          <a:extLst>
            <a:ext uri="{FF2B5EF4-FFF2-40B4-BE49-F238E27FC236}">
              <a16:creationId xmlns:a16="http://schemas.microsoft.com/office/drawing/2014/main" id="{82A3E47A-59BE-431B-9500-12055D2DEDDF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59969"/>
    <xdr:sp macro="" textlink="">
      <xdr:nvSpPr>
        <xdr:cNvPr id="7075" name="AutoShape 1" descr="https://ssl.gstatic.com/ui/v1/icons/mail/images/cleardot.gif">
          <a:extLst>
            <a:ext uri="{FF2B5EF4-FFF2-40B4-BE49-F238E27FC236}">
              <a16:creationId xmlns:a16="http://schemas.microsoft.com/office/drawing/2014/main" id="{3C8D9390-7614-4929-B0CF-CF79D8676F90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59969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76" name="AutoShape 1" descr="https://ssl.gstatic.com/ui/v1/icons/mail/images/cleardot.gif">
          <a:extLst>
            <a:ext uri="{FF2B5EF4-FFF2-40B4-BE49-F238E27FC236}">
              <a16:creationId xmlns:a16="http://schemas.microsoft.com/office/drawing/2014/main" id="{E0F5F5E4-6931-45EE-A785-B8D2C58ECADD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77" name="AutoShape 1" descr="https://ssl.gstatic.com/ui/v1/icons/mail/images/cleardot.gif">
          <a:extLst>
            <a:ext uri="{FF2B5EF4-FFF2-40B4-BE49-F238E27FC236}">
              <a16:creationId xmlns:a16="http://schemas.microsoft.com/office/drawing/2014/main" id="{4E9941C7-E922-460F-B6BC-C53A1E4EBA5C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78" name="AutoShape 1" descr="https://ssl.gstatic.com/ui/v1/icons/mail/images/cleardot.gif">
          <a:extLst>
            <a:ext uri="{FF2B5EF4-FFF2-40B4-BE49-F238E27FC236}">
              <a16:creationId xmlns:a16="http://schemas.microsoft.com/office/drawing/2014/main" id="{97DC1BC2-C358-417F-A863-58F8EE9A1FB3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  <xdr:oneCellAnchor>
    <xdr:from>
      <xdr:col>10</xdr:col>
      <xdr:colOff>0</xdr:colOff>
      <xdr:row>10</xdr:row>
      <xdr:rowOff>0</xdr:rowOff>
    </xdr:from>
    <xdr:ext cx="45719" cy="1371070"/>
    <xdr:sp macro="" textlink="">
      <xdr:nvSpPr>
        <xdr:cNvPr id="7079" name="AutoShape 1" descr="https://ssl.gstatic.com/ui/v1/icons/mail/images/cleardot.gif">
          <a:extLst>
            <a:ext uri="{FF2B5EF4-FFF2-40B4-BE49-F238E27FC236}">
              <a16:creationId xmlns:a16="http://schemas.microsoft.com/office/drawing/2014/main" id="{2B1248DF-0F01-4D20-9C40-8A6B661AB076}"/>
            </a:ext>
          </a:extLst>
        </xdr:cNvPr>
        <xdr:cNvSpPr>
          <a:spLocks noChangeAspect="1" noChangeArrowheads="1"/>
        </xdr:cNvSpPr>
      </xdr:nvSpPr>
      <xdr:spPr bwMode="auto">
        <a:xfrm>
          <a:off x="13811250" y="25844500"/>
          <a:ext cx="45719" cy="1371070"/>
        </a:xfrm>
        <a:prstGeom prst="rect">
          <a:avLst/>
        </a:prstGeom>
        <a:noFill/>
      </xdr:spPr>
    </xdr:sp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500-000000000000}">
  <sheetPr codeName="Sheet1">
    <tabColor rgb="FFFF0000"/>
  </sheetPr>
  <dimension ref="B1:L13"/>
  <sheetViews>
    <sheetView workbookViewId="0">
      <selection activeCell="D13" sqref="D13"/>
    </sheetView>
  </sheetViews>
  <sheetFormatPr defaultColWidth="9.109375" defaultRowHeight="13.8"/>
  <cols>
    <col min="1" max="1" width="9.109375" style="52"/>
    <col min="2" max="2" width="25.5546875" style="52" customWidth="1"/>
    <col min="3" max="3" width="9.109375" style="52"/>
    <col min="4" max="4" width="24" style="52" customWidth="1"/>
    <col min="5" max="5" width="26.33203125" style="52" customWidth="1"/>
    <col min="6" max="6" width="7.5546875" style="52" customWidth="1"/>
    <col min="7" max="7" width="9.109375" style="52"/>
    <col min="8" max="8" width="4.44140625" style="52" customWidth="1"/>
    <col min="9" max="9" width="19" style="52" customWidth="1"/>
    <col min="10" max="10" width="17.88671875" style="52" customWidth="1"/>
    <col min="11" max="11" width="11.44140625" style="52" customWidth="1"/>
    <col min="12" max="12" width="11.33203125" style="52" bestFit="1" customWidth="1"/>
    <col min="13" max="13" width="7.88671875" style="52" customWidth="1"/>
    <col min="14" max="14" width="2.6640625" style="52" customWidth="1"/>
    <col min="15" max="15" width="11.6640625" style="52" customWidth="1"/>
    <col min="16" max="16384" width="9.109375" style="52"/>
  </cols>
  <sheetData>
    <row r="1" spans="2:12" ht="14.4" thickBot="1"/>
    <row r="2" spans="2:12" ht="33" customHeight="1" thickBot="1">
      <c r="B2" s="53" t="s">
        <v>0</v>
      </c>
      <c r="C2" s="214" t="s">
        <v>148</v>
      </c>
      <c r="D2" s="215"/>
      <c r="E2" s="216"/>
      <c r="F2" s="217"/>
      <c r="G2" s="203"/>
      <c r="H2" s="204"/>
      <c r="I2" s="204"/>
      <c r="J2" s="204"/>
      <c r="K2" s="205"/>
    </row>
    <row r="3" spans="2:12" ht="15.75" customHeight="1">
      <c r="B3" s="54" t="s">
        <v>14</v>
      </c>
      <c r="C3" s="210">
        <v>260103</v>
      </c>
      <c r="D3" s="211"/>
      <c r="E3" s="55"/>
      <c r="F3" s="56"/>
      <c r="G3" s="206"/>
      <c r="H3" s="206"/>
      <c r="I3" s="206"/>
      <c r="J3" s="206"/>
      <c r="K3" s="207"/>
    </row>
    <row r="4" spans="2:12" ht="15.75" customHeight="1">
      <c r="B4" s="54" t="s">
        <v>1</v>
      </c>
      <c r="C4" s="212" t="s">
        <v>144</v>
      </c>
      <c r="D4" s="213"/>
      <c r="E4" s="57"/>
      <c r="F4" s="58"/>
      <c r="G4" s="206"/>
      <c r="H4" s="206"/>
      <c r="I4" s="206"/>
      <c r="J4" s="206"/>
      <c r="K4" s="207"/>
    </row>
    <row r="5" spans="2:12" ht="15.75" customHeight="1" thickBot="1">
      <c r="B5" s="59" t="s">
        <v>2</v>
      </c>
      <c r="C5" s="218" t="s">
        <v>160</v>
      </c>
      <c r="D5" s="219"/>
      <c r="E5" s="57"/>
      <c r="F5" s="58"/>
      <c r="G5" s="208"/>
      <c r="H5" s="208"/>
      <c r="I5" s="208"/>
      <c r="J5" s="208"/>
      <c r="K5" s="209"/>
    </row>
    <row r="6" spans="2:12" ht="16.2" thickBot="1">
      <c r="B6" s="223" t="s">
        <v>82</v>
      </c>
      <c r="C6" s="223" t="str">
        <f>_xlfn.CONCAT(G13,"/",H13,"/",I13,"/",J13,"/",K13,"/",L13)</f>
        <v>SLTS/FN/26/AD/JAN/01</v>
      </c>
      <c r="D6" s="225" t="e">
        <f t="shared" ref="D6" si="0">_xlfn.CONCAT(#REF!,"/",#REF!,"/",A6,"/",B6,"/",C6)</f>
        <v>#REF!</v>
      </c>
      <c r="E6" s="60"/>
      <c r="F6" s="61"/>
      <c r="G6" s="228" t="str">
        <f>I10</f>
        <v>From: 1-Jan-2026</v>
      </c>
      <c r="H6" s="229"/>
      <c r="I6" s="230"/>
      <c r="J6" s="231" t="str">
        <f>J10</f>
        <v>To: 31-Jan-2026</v>
      </c>
      <c r="K6" s="232"/>
    </row>
    <row r="7" spans="2:12" ht="16.2" thickBot="1">
      <c r="B7" s="224"/>
      <c r="C7" s="226" t="e">
        <f t="shared" ref="C7" si="1">_xlfn.CONCAT(#REF!,"/",#REF!,"/",#REF!,"/",A7,"/",B7)</f>
        <v>#REF!</v>
      </c>
      <c r="D7" s="227" t="e">
        <f t="shared" ref="D7" si="2">_xlfn.CONCAT(#REF!,"/",#REF!,"/",A7,"/",B7,"/",C7)</f>
        <v>#REF!</v>
      </c>
      <c r="E7" s="100" t="s">
        <v>54</v>
      </c>
      <c r="F7" s="62">
        <v>169</v>
      </c>
      <c r="G7" s="233" t="s">
        <v>73</v>
      </c>
      <c r="H7" s="234"/>
      <c r="I7" s="234"/>
      <c r="J7" s="235">
        <f>I9</f>
        <v>46105</v>
      </c>
      <c r="K7" s="236"/>
    </row>
    <row r="8" spans="2:12" ht="21.75" customHeight="1" thickBot="1">
      <c r="B8" s="101" t="s">
        <v>100</v>
      </c>
      <c r="C8" s="220" t="s">
        <v>161</v>
      </c>
      <c r="D8" s="221"/>
      <c r="E8" s="222"/>
    </row>
    <row r="9" spans="2:12" ht="16.2" thickBot="1">
      <c r="G9" s="37" t="s">
        <v>24</v>
      </c>
      <c r="H9" s="40" t="s">
        <v>25</v>
      </c>
      <c r="I9" s="39">
        <v>46105</v>
      </c>
      <c r="J9" s="38"/>
    </row>
    <row r="10" spans="2:12" ht="16.2" thickBot="1">
      <c r="G10" s="37" t="s">
        <v>38</v>
      </c>
      <c r="H10" s="40" t="s">
        <v>25</v>
      </c>
      <c r="I10" s="137" t="s">
        <v>145</v>
      </c>
      <c r="J10" s="138" t="s">
        <v>146</v>
      </c>
    </row>
    <row r="12" spans="2:12">
      <c r="G12" s="111" t="s">
        <v>124</v>
      </c>
      <c r="H12" s="111" t="s">
        <v>125</v>
      </c>
      <c r="I12" s="111">
        <v>26</v>
      </c>
      <c r="J12" s="112" t="s">
        <v>85</v>
      </c>
      <c r="K12" s="112" t="s">
        <v>126</v>
      </c>
      <c r="L12" s="112" t="s">
        <v>77</v>
      </c>
    </row>
    <row r="13" spans="2:12">
      <c r="G13" s="113" t="s">
        <v>124</v>
      </c>
      <c r="H13" s="113" t="s">
        <v>125</v>
      </c>
      <c r="I13" s="113">
        <v>26</v>
      </c>
      <c r="J13" s="114" t="s">
        <v>159</v>
      </c>
      <c r="K13" s="115" t="s">
        <v>147</v>
      </c>
      <c r="L13" s="115" t="s">
        <v>143</v>
      </c>
    </row>
  </sheetData>
  <mergeCells count="12">
    <mergeCell ref="C8:E8"/>
    <mergeCell ref="B6:B7"/>
    <mergeCell ref="C6:D7"/>
    <mergeCell ref="G6:I6"/>
    <mergeCell ref="J6:K6"/>
    <mergeCell ref="G7:I7"/>
    <mergeCell ref="J7:K7"/>
    <mergeCell ref="G2:K5"/>
    <mergeCell ref="C3:D3"/>
    <mergeCell ref="C4:D4"/>
    <mergeCell ref="C2:F2"/>
    <mergeCell ref="C5:D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A2DC0-A1B2-4A08-B15A-3C79C6720065}">
  <sheetPr codeName="Sheet8">
    <tabColor theme="9"/>
    <pageSetUpPr fitToPage="1"/>
  </sheetPr>
  <dimension ref="A1:N48"/>
  <sheetViews>
    <sheetView view="pageBreakPreview" topLeftCell="B1" zoomScale="60" zoomScaleNormal="100" workbookViewId="0">
      <selection activeCell="K28" sqref="K28"/>
    </sheetView>
  </sheetViews>
  <sheetFormatPr defaultRowHeight="14.4"/>
  <cols>
    <col min="1" max="1" width="3" customWidth="1"/>
    <col min="4" max="4" width="8" customWidth="1"/>
    <col min="5" max="5" width="6.33203125" customWidth="1"/>
    <col min="6" max="6" width="10.5546875" customWidth="1"/>
    <col min="7" max="7" width="11.44140625" customWidth="1"/>
    <col min="9" max="9" width="4.5546875" customWidth="1"/>
    <col min="10" max="10" width="8" customWidth="1"/>
    <col min="11" max="11" width="15.5546875" customWidth="1"/>
    <col min="12" max="12" width="19.44140625" customWidth="1"/>
    <col min="13" max="13" width="3.109375" customWidth="1"/>
    <col min="14" max="14" width="2.109375" style="10" customWidth="1"/>
  </cols>
  <sheetData>
    <row r="1" spans="1:13"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1:13">
      <c r="A2" s="264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</row>
    <row r="3" spans="1:13" ht="17.399999999999999">
      <c r="A3" s="265"/>
      <c r="B3" s="10"/>
      <c r="C3" s="10"/>
      <c r="D3" s="10"/>
      <c r="E3" s="10"/>
      <c r="F3" s="10"/>
      <c r="G3" s="10"/>
      <c r="H3" s="10"/>
      <c r="I3" s="10"/>
      <c r="J3" s="30"/>
      <c r="K3" s="248" t="s">
        <v>68</v>
      </c>
      <c r="L3" s="248"/>
      <c r="M3" s="10"/>
    </row>
    <row r="4" spans="1:13">
      <c r="A4" s="10"/>
      <c r="B4" s="10"/>
      <c r="C4" s="10"/>
      <c r="D4" s="10"/>
      <c r="E4" s="10"/>
      <c r="F4" s="10"/>
      <c r="G4" s="10"/>
      <c r="H4" s="10"/>
      <c r="I4" s="10"/>
      <c r="J4" s="10"/>
      <c r="K4" s="249"/>
      <c r="L4" s="250"/>
      <c r="M4" s="10"/>
    </row>
    <row r="5" spans="1:13">
      <c r="A5" s="10"/>
      <c r="B5" s="10"/>
      <c r="C5" s="10"/>
      <c r="D5" s="10"/>
      <c r="E5" s="10"/>
      <c r="F5" s="10"/>
      <c r="G5" s="10"/>
      <c r="H5" s="10"/>
      <c r="I5" s="10"/>
      <c r="J5" s="10"/>
      <c r="K5" s="251"/>
      <c r="L5" s="252"/>
      <c r="M5" s="10"/>
    </row>
    <row r="6" spans="1:13" ht="25.5" customHeight="1">
      <c r="A6" s="10"/>
      <c r="B6" s="10"/>
      <c r="C6" s="10"/>
      <c r="D6" s="10"/>
      <c r="E6" s="10"/>
      <c r="F6" s="10"/>
      <c r="G6" s="10"/>
      <c r="H6" s="10"/>
      <c r="I6" s="10"/>
      <c r="J6" s="10"/>
      <c r="K6" s="253"/>
      <c r="L6" s="254"/>
      <c r="M6" s="10"/>
    </row>
    <row r="7" spans="1:13">
      <c r="A7" s="10"/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</row>
    <row r="8" spans="1:13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</row>
    <row r="9" spans="1:13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</row>
    <row r="10" spans="1:13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</row>
    <row r="11" spans="1:13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</row>
    <row r="12" spans="1:13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</row>
    <row r="13" spans="1:13" ht="48" customHeight="1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</row>
    <row r="14" spans="1:13" ht="39" customHeight="1">
      <c r="A14" s="31"/>
      <c r="B14" s="259" t="s">
        <v>26</v>
      </c>
      <c r="C14" s="259"/>
      <c r="D14" s="259"/>
      <c r="E14" s="259"/>
      <c r="F14" s="259"/>
      <c r="G14" s="259"/>
      <c r="H14" s="259"/>
      <c r="I14" s="259"/>
      <c r="J14" s="259"/>
      <c r="K14" s="259"/>
      <c r="L14" s="259"/>
      <c r="M14" s="259"/>
    </row>
    <row r="15" spans="1:13" ht="4.5" customHeight="1">
      <c r="A15" s="263"/>
      <c r="B15" s="263"/>
      <c r="C15" s="263"/>
      <c r="D15" s="263"/>
      <c r="E15" s="263"/>
      <c r="F15" s="263"/>
      <c r="G15" s="263"/>
      <c r="H15" s="263"/>
      <c r="I15" s="263"/>
      <c r="J15" s="263"/>
      <c r="K15" s="263"/>
      <c r="L15" s="11"/>
      <c r="M15" s="10"/>
    </row>
    <row r="16" spans="1:13" ht="39" customHeight="1">
      <c r="A16" s="33"/>
      <c r="B16" s="260" t="s">
        <v>69</v>
      </c>
      <c r="C16" s="260"/>
      <c r="D16" s="260"/>
      <c r="E16" s="260"/>
      <c r="F16" s="260"/>
      <c r="G16" s="260"/>
      <c r="H16" s="261">
        <f>KEY!C3</f>
        <v>260103</v>
      </c>
      <c r="I16" s="261"/>
      <c r="J16" s="261"/>
      <c r="K16" s="261"/>
      <c r="L16" s="261"/>
      <c r="M16" s="261"/>
    </row>
    <row r="17" spans="1:13" ht="5.25" customHeight="1">
      <c r="A17" s="262"/>
      <c r="B17" s="262"/>
      <c r="C17" s="262"/>
      <c r="D17" s="262"/>
      <c r="E17" s="262"/>
      <c r="F17" s="262"/>
      <c r="G17" s="262"/>
      <c r="H17" s="262"/>
      <c r="I17" s="262"/>
      <c r="J17" s="262"/>
      <c r="K17" s="262"/>
      <c r="L17" s="34"/>
      <c r="M17" s="27"/>
    </row>
    <row r="18" spans="1:13" ht="39" customHeight="1">
      <c r="A18" s="33"/>
      <c r="B18" s="260" t="s">
        <v>71</v>
      </c>
      <c r="C18" s="260"/>
      <c r="D18" s="260"/>
      <c r="E18" s="260"/>
      <c r="F18" s="260"/>
      <c r="G18" s="260"/>
      <c r="H18" s="261" t="s">
        <v>72</v>
      </c>
      <c r="I18" s="261"/>
      <c r="J18" s="261"/>
      <c r="K18" s="261"/>
      <c r="L18" s="261"/>
      <c r="M18" s="261"/>
    </row>
    <row r="19" spans="1:13" ht="3.75" customHeight="1">
      <c r="A19" s="262"/>
      <c r="B19" s="262"/>
      <c r="C19" s="262"/>
      <c r="D19" s="262"/>
      <c r="E19" s="262"/>
      <c r="F19" s="262"/>
      <c r="G19" s="262"/>
      <c r="H19" s="262"/>
      <c r="I19" s="262"/>
      <c r="J19" s="262"/>
      <c r="K19" s="262"/>
      <c r="L19" s="34"/>
      <c r="M19" s="27"/>
    </row>
    <row r="20" spans="1:13" ht="39" customHeight="1">
      <c r="A20" s="33"/>
      <c r="B20" s="260" t="s">
        <v>70</v>
      </c>
      <c r="C20" s="260"/>
      <c r="D20" s="260"/>
      <c r="E20" s="260"/>
      <c r="F20" s="260"/>
      <c r="G20" s="260"/>
      <c r="H20" s="261" t="str">
        <f>KEY!C5</f>
        <v>Anuradhapura</v>
      </c>
      <c r="I20" s="261"/>
      <c r="J20" s="261"/>
      <c r="K20" s="261"/>
      <c r="L20" s="261"/>
      <c r="M20" s="261"/>
    </row>
    <row r="21" spans="1:13" ht="15" customHeight="1">
      <c r="A21" s="31"/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11"/>
      <c r="M21" s="10"/>
    </row>
    <row r="22" spans="1:13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0"/>
    </row>
    <row r="23" spans="1:13" ht="15" customHeight="1">
      <c r="A23" s="32"/>
      <c r="B23" s="258" t="str">
        <f>KEY!C6</f>
        <v>SLTS/FN/26/AD/JAN/01</v>
      </c>
      <c r="C23" s="258"/>
      <c r="D23" s="258"/>
      <c r="E23" s="258"/>
      <c r="F23" s="258"/>
      <c r="G23" s="258"/>
      <c r="H23" s="258"/>
      <c r="I23" s="258"/>
      <c r="J23" s="258"/>
      <c r="K23" s="258"/>
      <c r="L23" s="258"/>
      <c r="M23" s="258"/>
    </row>
    <row r="24" spans="1:13" ht="45" customHeight="1">
      <c r="A24" s="32"/>
      <c r="B24" s="258"/>
      <c r="C24" s="258"/>
      <c r="D24" s="258"/>
      <c r="E24" s="258"/>
      <c r="F24" s="258"/>
      <c r="G24" s="258"/>
      <c r="H24" s="258"/>
      <c r="I24" s="258"/>
      <c r="J24" s="258"/>
      <c r="K24" s="258"/>
      <c r="L24" s="258"/>
      <c r="M24" s="258"/>
    </row>
    <row r="25" spans="1:1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</row>
    <row r="26" spans="1:13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</row>
    <row r="27" spans="1:13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</row>
    <row r="28" spans="1:13" ht="47.25" customHeight="1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</row>
    <row r="29" spans="1:13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</row>
    <row r="30" spans="1:13" ht="20.25" customHeight="1">
      <c r="A30" s="10"/>
      <c r="B30" s="248" t="s">
        <v>65</v>
      </c>
      <c r="C30" s="248"/>
      <c r="D30" s="248"/>
      <c r="E30" s="248"/>
      <c r="F30" s="248"/>
      <c r="G30" s="248"/>
      <c r="H30" s="248"/>
      <c r="I30" s="248"/>
      <c r="J30" s="248"/>
      <c r="K30" s="248"/>
      <c r="L30" s="248"/>
      <c r="M30" s="248"/>
    </row>
    <row r="31" spans="1:13" ht="30" customHeight="1">
      <c r="A31" s="10"/>
      <c r="B31" s="255" t="s">
        <v>66</v>
      </c>
      <c r="C31" s="256"/>
      <c r="D31" s="256"/>
      <c r="E31" s="256"/>
      <c r="F31" s="256"/>
      <c r="G31" s="257"/>
      <c r="H31" s="246" t="s">
        <v>67</v>
      </c>
      <c r="I31" s="246"/>
      <c r="J31" s="246"/>
      <c r="K31" s="246"/>
      <c r="L31" s="246"/>
      <c r="M31" s="246"/>
    </row>
    <row r="32" spans="1:13">
      <c r="A32" s="10"/>
      <c r="B32" s="237"/>
      <c r="C32" s="238"/>
      <c r="D32" s="238"/>
      <c r="E32" s="238"/>
      <c r="F32" s="238"/>
      <c r="G32" s="239"/>
      <c r="H32" s="247"/>
      <c r="I32" s="247"/>
      <c r="J32" s="247"/>
      <c r="K32" s="247"/>
      <c r="L32" s="247"/>
      <c r="M32" s="247"/>
    </row>
    <row r="33" spans="1:13">
      <c r="A33" s="10"/>
      <c r="B33" s="240"/>
      <c r="C33" s="241"/>
      <c r="D33" s="241"/>
      <c r="E33" s="241"/>
      <c r="F33" s="241"/>
      <c r="G33" s="242"/>
      <c r="H33" s="247"/>
      <c r="I33" s="247"/>
      <c r="J33" s="247"/>
      <c r="K33" s="247"/>
      <c r="L33" s="247"/>
      <c r="M33" s="247"/>
    </row>
    <row r="34" spans="1:13">
      <c r="A34" s="10"/>
      <c r="B34" s="240"/>
      <c r="C34" s="241"/>
      <c r="D34" s="241"/>
      <c r="E34" s="241"/>
      <c r="F34" s="241"/>
      <c r="G34" s="242"/>
      <c r="H34" s="247"/>
      <c r="I34" s="247"/>
      <c r="J34" s="247"/>
      <c r="K34" s="247"/>
      <c r="L34" s="247"/>
      <c r="M34" s="247"/>
    </row>
    <row r="35" spans="1:13">
      <c r="A35" s="10"/>
      <c r="B35" s="240"/>
      <c r="C35" s="241"/>
      <c r="D35" s="241"/>
      <c r="E35" s="241"/>
      <c r="F35" s="241"/>
      <c r="G35" s="242"/>
      <c r="H35" s="247"/>
      <c r="I35" s="247"/>
      <c r="J35" s="247"/>
      <c r="K35" s="247"/>
      <c r="L35" s="247"/>
      <c r="M35" s="247"/>
    </row>
    <row r="36" spans="1:13">
      <c r="A36" s="10"/>
      <c r="B36" s="240"/>
      <c r="C36" s="241"/>
      <c r="D36" s="241"/>
      <c r="E36" s="241"/>
      <c r="F36" s="241"/>
      <c r="G36" s="242"/>
      <c r="H36" s="247"/>
      <c r="I36" s="247"/>
      <c r="J36" s="247"/>
      <c r="K36" s="247"/>
      <c r="L36" s="247"/>
      <c r="M36" s="247"/>
    </row>
    <row r="37" spans="1:13">
      <c r="A37" s="10"/>
      <c r="B37" s="240"/>
      <c r="C37" s="241"/>
      <c r="D37" s="241"/>
      <c r="E37" s="241"/>
      <c r="F37" s="241"/>
      <c r="G37" s="242"/>
      <c r="H37" s="247"/>
      <c r="I37" s="247"/>
      <c r="J37" s="247"/>
      <c r="K37" s="247"/>
      <c r="L37" s="247"/>
      <c r="M37" s="247"/>
    </row>
    <row r="38" spans="1:13">
      <c r="A38" s="10"/>
      <c r="B38" s="240"/>
      <c r="C38" s="241"/>
      <c r="D38" s="241"/>
      <c r="E38" s="241"/>
      <c r="F38" s="241"/>
      <c r="G38" s="242"/>
      <c r="H38" s="247"/>
      <c r="I38" s="247"/>
      <c r="J38" s="247"/>
      <c r="K38" s="247"/>
      <c r="L38" s="247"/>
      <c r="M38" s="247"/>
    </row>
    <row r="39" spans="1:13">
      <c r="A39" s="10"/>
      <c r="B39" s="240"/>
      <c r="C39" s="241"/>
      <c r="D39" s="241"/>
      <c r="E39" s="241"/>
      <c r="F39" s="241"/>
      <c r="G39" s="242"/>
      <c r="H39" s="247"/>
      <c r="I39" s="247"/>
      <c r="J39" s="247"/>
      <c r="K39" s="247"/>
      <c r="L39" s="247"/>
      <c r="M39" s="247"/>
    </row>
    <row r="40" spans="1:13">
      <c r="A40" s="10"/>
      <c r="B40" s="240"/>
      <c r="C40" s="241"/>
      <c r="D40" s="241"/>
      <c r="E40" s="241"/>
      <c r="F40" s="241"/>
      <c r="G40" s="242"/>
      <c r="H40" s="247"/>
      <c r="I40" s="247"/>
      <c r="J40" s="247"/>
      <c r="K40" s="247"/>
      <c r="L40" s="247"/>
      <c r="M40" s="247"/>
    </row>
    <row r="41" spans="1:13">
      <c r="A41" s="10"/>
      <c r="B41" s="243"/>
      <c r="C41" s="244"/>
      <c r="D41" s="244"/>
      <c r="E41" s="244"/>
      <c r="F41" s="244"/>
      <c r="G41" s="245"/>
      <c r="H41" s="247"/>
      <c r="I41" s="247"/>
      <c r="J41" s="247"/>
      <c r="K41" s="247"/>
      <c r="L41" s="247"/>
      <c r="M41" s="247"/>
    </row>
    <row r="42" spans="1:13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</row>
    <row r="43" spans="1:13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</row>
    <row r="44" spans="1:13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</row>
    <row r="45" spans="1:13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</row>
    <row r="46" spans="1:13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</row>
    <row r="47" spans="1:13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</row>
    <row r="48" spans="1:13" ht="9" customHeight="1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</row>
  </sheetData>
  <mergeCells count="19">
    <mergeCell ref="B20:G20"/>
    <mergeCell ref="H18:M18"/>
    <mergeCell ref="H20:M20"/>
    <mergeCell ref="B32:G41"/>
    <mergeCell ref="H31:M31"/>
    <mergeCell ref="H32:M41"/>
    <mergeCell ref="B30:M30"/>
    <mergeCell ref="K3:L3"/>
    <mergeCell ref="K4:L6"/>
    <mergeCell ref="B31:G31"/>
    <mergeCell ref="B23:M24"/>
    <mergeCell ref="B14:M14"/>
    <mergeCell ref="B16:G16"/>
    <mergeCell ref="H16:M16"/>
    <mergeCell ref="B18:G18"/>
    <mergeCell ref="A19:K19"/>
    <mergeCell ref="A15:K15"/>
    <mergeCell ref="A17:K17"/>
    <mergeCell ref="A2:A3"/>
  </mergeCells>
  <pageMargins left="0.34" right="0.17" top="0.72" bottom="0.17" header="0.17" footer="0.17"/>
  <pageSetup paperSize="9" scale="8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800-000000000000}">
  <sheetPr codeName="Sheet4">
    <tabColor rgb="FFFFFF00"/>
  </sheetPr>
  <dimension ref="A2:H53"/>
  <sheetViews>
    <sheetView view="pageBreakPreview" topLeftCell="A26" zoomScale="60" workbookViewId="0">
      <selection activeCell="K28" sqref="K28"/>
    </sheetView>
  </sheetViews>
  <sheetFormatPr defaultColWidth="9.109375" defaultRowHeight="13.8"/>
  <cols>
    <col min="1" max="1" width="27.88671875" style="1" bestFit="1" customWidth="1"/>
    <col min="2" max="2" width="1.44140625" style="1" customWidth="1"/>
    <col min="3" max="3" width="39.109375" style="1" customWidth="1"/>
    <col min="4" max="4" width="22.109375" style="1" customWidth="1"/>
    <col min="5" max="5" width="18.44140625" style="1" customWidth="1"/>
    <col min="6" max="6" width="1.44140625" style="1" customWidth="1"/>
    <col min="7" max="8" width="23.6640625" style="1" customWidth="1"/>
    <col min="9" max="16384" width="9.109375" style="1"/>
  </cols>
  <sheetData>
    <row r="2" spans="1:8" ht="14.4" thickBot="1"/>
    <row r="3" spans="1:8" ht="21" thickBot="1">
      <c r="A3" s="286" t="s">
        <v>60</v>
      </c>
      <c r="B3" s="287"/>
      <c r="C3" s="287"/>
      <c r="D3" s="287"/>
      <c r="E3" s="287"/>
      <c r="F3" s="287"/>
      <c r="G3" s="287"/>
      <c r="H3" s="288"/>
    </row>
    <row r="4" spans="1:8">
      <c r="A4" s="3"/>
      <c r="H4" s="2"/>
    </row>
    <row r="5" spans="1:8" ht="18">
      <c r="A5" s="14" t="s">
        <v>35</v>
      </c>
      <c r="B5" s="15"/>
      <c r="C5" s="15"/>
      <c r="D5" s="15"/>
      <c r="E5" s="15"/>
      <c r="F5" s="15"/>
      <c r="G5" s="15"/>
      <c r="H5" s="16"/>
    </row>
    <row r="6" spans="1:8" ht="18">
      <c r="A6" s="268" t="str">
        <f>KEY!C2</f>
        <v>FTTH &amp; PeoTV Connections 2026</v>
      </c>
      <c r="B6" s="289"/>
      <c r="C6" s="289"/>
      <c r="D6" s="289"/>
      <c r="E6" s="15"/>
      <c r="F6" s="15"/>
      <c r="G6" s="15"/>
      <c r="H6" s="16"/>
    </row>
    <row r="7" spans="1:8" ht="18">
      <c r="A7" s="14"/>
      <c r="B7" s="15"/>
      <c r="C7" s="15"/>
      <c r="D7" s="15"/>
      <c r="E7" s="15"/>
      <c r="F7" s="15"/>
      <c r="G7" s="15"/>
      <c r="H7" s="16"/>
    </row>
    <row r="8" spans="1:8" ht="18">
      <c r="A8" s="14" t="s">
        <v>36</v>
      </c>
      <c r="B8" s="289" t="str">
        <f>KEY!C4</f>
        <v>L/0733/2025</v>
      </c>
      <c r="C8" s="289"/>
      <c r="D8" s="15"/>
      <c r="E8" s="15" t="s">
        <v>37</v>
      </c>
      <c r="F8" s="15" t="s">
        <v>25</v>
      </c>
      <c r="G8" s="29" t="str">
        <f>KEY!C5</f>
        <v>Anuradhapura</v>
      </c>
      <c r="H8" s="16"/>
    </row>
    <row r="9" spans="1:8" ht="18">
      <c r="A9" s="14"/>
      <c r="B9" s="15"/>
      <c r="C9" s="15"/>
      <c r="D9" s="15"/>
      <c r="E9" s="15" t="s">
        <v>59</v>
      </c>
      <c r="F9" s="15" t="s">
        <v>25</v>
      </c>
      <c r="G9" s="289" t="str">
        <f>KEY!C6</f>
        <v>SLTS/FN/26/AD/JAN/01</v>
      </c>
      <c r="H9" s="292"/>
    </row>
    <row r="10" spans="1:8" ht="18">
      <c r="A10" s="14"/>
      <c r="B10" s="15"/>
      <c r="C10" s="15"/>
      <c r="D10" s="15"/>
      <c r="E10" s="15" t="s">
        <v>24</v>
      </c>
      <c r="F10" s="15" t="s">
        <v>25</v>
      </c>
      <c r="G10" s="28">
        <f>KEY!I9</f>
        <v>46105</v>
      </c>
      <c r="H10" s="16"/>
    </row>
    <row r="11" spans="1:8" ht="18">
      <c r="A11" s="14"/>
      <c r="B11" s="15"/>
      <c r="C11" s="15"/>
      <c r="D11" s="15"/>
      <c r="E11" s="15" t="s">
        <v>38</v>
      </c>
      <c r="F11" s="15" t="s">
        <v>25</v>
      </c>
      <c r="G11" s="15" t="str">
        <f>KEY!I10</f>
        <v>From: 1-Jan-2026</v>
      </c>
      <c r="H11" s="16" t="str">
        <f>KEY!J10</f>
        <v>To: 31-Jan-2026</v>
      </c>
    </row>
    <row r="12" spans="1:8" ht="18">
      <c r="A12" s="14"/>
      <c r="B12" s="15"/>
      <c r="C12" s="15"/>
      <c r="D12" s="15"/>
      <c r="E12" s="15"/>
      <c r="F12" s="15"/>
      <c r="G12" s="15"/>
      <c r="H12" s="16"/>
    </row>
    <row r="13" spans="1:8" ht="18">
      <c r="A13" s="14" t="s">
        <v>39</v>
      </c>
      <c r="B13" s="17" t="s">
        <v>25</v>
      </c>
      <c r="C13" s="15" t="s">
        <v>94</v>
      </c>
      <c r="D13" s="15"/>
      <c r="E13" s="15"/>
      <c r="F13" s="15"/>
      <c r="G13" s="15"/>
      <c r="H13" s="16"/>
    </row>
    <row r="14" spans="1:8" ht="18">
      <c r="A14" s="14" t="s">
        <v>40</v>
      </c>
      <c r="B14" s="15" t="s">
        <v>41</v>
      </c>
      <c r="C14" s="15" t="s">
        <v>127</v>
      </c>
      <c r="D14" s="15"/>
      <c r="E14" s="15"/>
      <c r="F14" s="15"/>
      <c r="G14" s="15"/>
      <c r="H14" s="16"/>
    </row>
    <row r="15" spans="1:8" ht="18">
      <c r="A15" s="14"/>
      <c r="B15" s="15"/>
      <c r="C15" s="15"/>
      <c r="D15" s="15"/>
      <c r="E15" s="15"/>
      <c r="F15" s="15"/>
      <c r="G15" s="15"/>
      <c r="H15" s="16"/>
    </row>
    <row r="16" spans="1:8" ht="18">
      <c r="A16" s="18"/>
      <c r="B16" s="19"/>
      <c r="C16" s="19"/>
      <c r="D16" s="19"/>
      <c r="E16" s="19"/>
      <c r="F16" s="19"/>
      <c r="G16" s="19"/>
      <c r="H16" s="20"/>
    </row>
    <row r="17" spans="1:8" ht="18">
      <c r="A17" s="21"/>
      <c r="B17" s="22"/>
      <c r="C17" s="22"/>
      <c r="D17" s="22"/>
      <c r="E17" s="22"/>
      <c r="F17" s="22"/>
      <c r="G17" s="22"/>
      <c r="H17" s="23"/>
    </row>
    <row r="18" spans="1:8" ht="18">
      <c r="A18" s="108" t="s">
        <v>120</v>
      </c>
      <c r="B18" s="17" t="s">
        <v>25</v>
      </c>
      <c r="C18" s="24">
        <f>KEY!F7</f>
        <v>169</v>
      </c>
      <c r="D18" s="15"/>
      <c r="E18" s="15"/>
      <c r="F18" s="15"/>
      <c r="G18" s="15"/>
      <c r="H18" s="16"/>
    </row>
    <row r="19" spans="1:8" ht="18">
      <c r="A19" s="18"/>
      <c r="B19" s="19"/>
      <c r="C19" s="19"/>
      <c r="D19" s="19"/>
      <c r="E19" s="19"/>
      <c r="F19" s="19"/>
      <c r="G19" s="19"/>
      <c r="H19" s="20"/>
    </row>
    <row r="20" spans="1:8" ht="18">
      <c r="A20" s="21"/>
      <c r="B20" s="22"/>
      <c r="C20" s="22"/>
      <c r="D20" s="22"/>
      <c r="E20" s="22"/>
      <c r="F20" s="22"/>
      <c r="G20" s="22"/>
      <c r="H20" s="23"/>
    </row>
    <row r="21" spans="1:8" ht="18">
      <c r="A21" s="14" t="s">
        <v>42</v>
      </c>
      <c r="B21" s="17" t="s">
        <v>25</v>
      </c>
      <c r="C21" s="15" t="s">
        <v>26</v>
      </c>
      <c r="D21" s="15"/>
      <c r="E21" s="15" t="s">
        <v>43</v>
      </c>
      <c r="F21" s="17" t="s">
        <v>25</v>
      </c>
      <c r="G21" s="15" t="s">
        <v>16</v>
      </c>
      <c r="H21" s="16"/>
    </row>
    <row r="22" spans="1:8" ht="18">
      <c r="A22" s="14"/>
      <c r="B22" s="17"/>
      <c r="C22" s="15"/>
      <c r="D22" s="15"/>
      <c r="E22" s="15"/>
      <c r="F22" s="17"/>
      <c r="G22" s="15"/>
      <c r="H22" s="16"/>
    </row>
    <row r="23" spans="1:8" ht="18">
      <c r="A23" s="14" t="s">
        <v>44</v>
      </c>
      <c r="B23" s="17" t="s">
        <v>25</v>
      </c>
      <c r="C23" s="15" t="s">
        <v>45</v>
      </c>
      <c r="D23" s="15"/>
      <c r="E23" s="15" t="s">
        <v>44</v>
      </c>
      <c r="F23" s="17" t="s">
        <v>25</v>
      </c>
      <c r="G23" s="15" t="s">
        <v>46</v>
      </c>
      <c r="H23" s="16"/>
    </row>
    <row r="24" spans="1:8" ht="18">
      <c r="A24" s="14"/>
      <c r="B24" s="17"/>
      <c r="C24" s="15"/>
      <c r="D24" s="15"/>
      <c r="E24" s="15"/>
      <c r="F24" s="17"/>
      <c r="G24" s="15"/>
      <c r="H24" s="16"/>
    </row>
    <row r="25" spans="1:8" ht="36">
      <c r="A25" s="14" t="s">
        <v>10</v>
      </c>
      <c r="B25" s="17" t="s">
        <v>25</v>
      </c>
      <c r="C25" s="25" t="s">
        <v>58</v>
      </c>
      <c r="D25" s="15"/>
      <c r="E25" s="15" t="s">
        <v>10</v>
      </c>
      <c r="F25" s="17" t="s">
        <v>25</v>
      </c>
      <c r="G25" s="15" t="s">
        <v>47</v>
      </c>
      <c r="H25" s="16"/>
    </row>
    <row r="26" spans="1:8">
      <c r="A26" s="4"/>
      <c r="B26" s="5"/>
      <c r="C26" s="5"/>
      <c r="D26" s="5"/>
      <c r="E26" s="5"/>
      <c r="F26" s="5"/>
      <c r="G26" s="5"/>
      <c r="H26" s="6"/>
    </row>
    <row r="27" spans="1:8" ht="17.399999999999999">
      <c r="A27" s="248" t="s">
        <v>31</v>
      </c>
      <c r="B27" s="248"/>
      <c r="C27" s="248"/>
      <c r="D27" s="248"/>
      <c r="E27" s="248"/>
      <c r="F27" s="248"/>
      <c r="G27" s="290" t="s">
        <v>23</v>
      </c>
      <c r="H27" s="291"/>
    </row>
    <row r="28" spans="1:8" ht="17.399999999999999">
      <c r="A28" s="248"/>
      <c r="B28" s="248"/>
      <c r="C28" s="248"/>
      <c r="D28" s="248"/>
      <c r="E28" s="248"/>
      <c r="F28" s="248"/>
      <c r="G28" s="26" t="s">
        <v>48</v>
      </c>
      <c r="H28" s="26" t="s">
        <v>27</v>
      </c>
    </row>
    <row r="29" spans="1:8" ht="56.25" customHeight="1">
      <c r="A29" s="279" t="s">
        <v>123</v>
      </c>
      <c r="B29" s="280"/>
      <c r="C29" s="280"/>
      <c r="D29" s="280"/>
      <c r="E29" s="280"/>
      <c r="F29" s="281"/>
      <c r="G29" s="35"/>
      <c r="H29" s="35">
        <f>SUMMARY!J12</f>
        <v>1859000</v>
      </c>
    </row>
    <row r="30" spans="1:8" ht="56.25" customHeight="1">
      <c r="A30" s="279" t="s">
        <v>99</v>
      </c>
      <c r="B30" s="280"/>
      <c r="C30" s="280"/>
      <c r="D30" s="280"/>
      <c r="E30" s="280"/>
      <c r="F30" s="281"/>
      <c r="G30" s="35">
        <v>0</v>
      </c>
      <c r="H30" s="35"/>
    </row>
    <row r="31" spans="1:8" ht="56.25" customHeight="1">
      <c r="A31" s="282" t="s">
        <v>115</v>
      </c>
      <c r="B31" s="282"/>
      <c r="C31" s="282"/>
      <c r="D31" s="282"/>
      <c r="E31" s="282"/>
      <c r="F31" s="282"/>
      <c r="G31" s="35"/>
      <c r="H31" s="36">
        <f>H29-G30</f>
        <v>1859000</v>
      </c>
    </row>
    <row r="32" spans="1:8" ht="56.25" customHeight="1">
      <c r="A32" s="282" t="s">
        <v>80</v>
      </c>
      <c r="B32" s="282"/>
      <c r="C32" s="282"/>
      <c r="D32" s="282"/>
      <c r="E32" s="282"/>
      <c r="F32" s="282"/>
      <c r="G32" s="35"/>
      <c r="H32" s="36">
        <f>H31*0.0256</f>
        <v>47590.400000000001</v>
      </c>
    </row>
    <row r="33" spans="1:8" ht="56.25" customHeight="1">
      <c r="A33" s="283" t="s">
        <v>81</v>
      </c>
      <c r="B33" s="284"/>
      <c r="C33" s="284"/>
      <c r="D33" s="284"/>
      <c r="E33" s="284"/>
      <c r="F33" s="285"/>
      <c r="G33" s="35"/>
      <c r="H33" s="36">
        <f>H31+H32</f>
        <v>1906590.4</v>
      </c>
    </row>
    <row r="34" spans="1:8" ht="56.25" customHeight="1">
      <c r="A34" s="282" t="s">
        <v>117</v>
      </c>
      <c r="B34" s="282"/>
      <c r="C34" s="282"/>
      <c r="D34" s="282"/>
      <c r="E34" s="282"/>
      <c r="F34" s="282"/>
      <c r="G34" s="35"/>
      <c r="H34" s="36">
        <f>(H33)*0.18</f>
        <v>343186.272</v>
      </c>
    </row>
    <row r="35" spans="1:8" ht="56.25" customHeight="1">
      <c r="A35" s="282" t="s">
        <v>49</v>
      </c>
      <c r="B35" s="282"/>
      <c r="C35" s="282"/>
      <c r="D35" s="282"/>
      <c r="E35" s="282"/>
      <c r="F35" s="282"/>
      <c r="G35" s="35"/>
      <c r="H35" s="36">
        <f>H34+H33</f>
        <v>2249776.6719999998</v>
      </c>
    </row>
    <row r="36" spans="1:8" ht="15" customHeight="1">
      <c r="A36" s="267" t="s">
        <v>56</v>
      </c>
      <c r="B36" s="22"/>
      <c r="C36" s="270" t="s">
        <v>162</v>
      </c>
      <c r="D36" s="271"/>
      <c r="E36" s="271"/>
      <c r="F36" s="271"/>
      <c r="G36" s="271"/>
      <c r="H36" s="272"/>
    </row>
    <row r="37" spans="1:8" ht="15" customHeight="1">
      <c r="A37" s="268"/>
      <c r="B37" s="15"/>
      <c r="C37" s="273"/>
      <c r="D37" s="274"/>
      <c r="E37" s="274"/>
      <c r="F37" s="274"/>
      <c r="G37" s="274"/>
      <c r="H37" s="275"/>
    </row>
    <row r="38" spans="1:8" ht="15" customHeight="1">
      <c r="A38" s="269"/>
      <c r="B38" s="19"/>
      <c r="C38" s="276"/>
      <c r="D38" s="277"/>
      <c r="E38" s="277"/>
      <c r="F38" s="277"/>
      <c r="G38" s="277"/>
      <c r="H38" s="278"/>
    </row>
    <row r="39" spans="1:8">
      <c r="A39" s="7"/>
      <c r="B39" s="8"/>
      <c r="C39" s="8"/>
      <c r="D39" s="9"/>
      <c r="E39" s="7"/>
      <c r="F39" s="8"/>
      <c r="G39" s="8"/>
      <c r="H39" s="9"/>
    </row>
    <row r="40" spans="1:8">
      <c r="A40" s="3"/>
      <c r="D40" s="2"/>
      <c r="E40" s="3"/>
      <c r="H40" s="2"/>
    </row>
    <row r="41" spans="1:8">
      <c r="A41" s="3"/>
      <c r="D41" s="2"/>
      <c r="E41" s="3"/>
      <c r="H41" s="2"/>
    </row>
    <row r="42" spans="1:8" ht="18">
      <c r="A42" s="14" t="s">
        <v>50</v>
      </c>
      <c r="B42" s="15" t="s">
        <v>51</v>
      </c>
      <c r="C42" s="15"/>
      <c r="D42" s="2"/>
      <c r="E42" s="3"/>
      <c r="H42" s="2"/>
    </row>
    <row r="43" spans="1:8" ht="18">
      <c r="A43" s="14"/>
      <c r="B43" s="266" t="s">
        <v>52</v>
      </c>
      <c r="C43" s="266"/>
      <c r="D43" s="2"/>
      <c r="E43" s="3"/>
      <c r="H43" s="2"/>
    </row>
    <row r="44" spans="1:8" ht="18">
      <c r="A44" s="14"/>
      <c r="B44" s="15"/>
      <c r="C44" s="15"/>
      <c r="D44" s="2"/>
      <c r="E44" s="3"/>
      <c r="H44" s="2"/>
    </row>
    <row r="45" spans="1:8" ht="18">
      <c r="A45" s="14"/>
      <c r="B45" s="15"/>
      <c r="C45" s="15"/>
      <c r="D45" s="2"/>
      <c r="E45" s="3"/>
      <c r="H45" s="2"/>
    </row>
    <row r="46" spans="1:8" ht="18">
      <c r="A46" s="14"/>
      <c r="B46" s="15"/>
      <c r="C46" s="15"/>
      <c r="D46" s="2"/>
      <c r="E46" s="3"/>
      <c r="H46" s="2"/>
    </row>
    <row r="47" spans="1:8" ht="18">
      <c r="A47" s="14"/>
      <c r="B47" s="15"/>
      <c r="C47" s="15"/>
      <c r="D47" s="2"/>
      <c r="E47" s="3"/>
      <c r="H47" s="2"/>
    </row>
    <row r="48" spans="1:8" ht="18">
      <c r="A48" s="14"/>
      <c r="B48" s="15"/>
      <c r="C48" s="15"/>
      <c r="D48" s="2"/>
      <c r="E48" s="3"/>
      <c r="H48" s="2"/>
    </row>
    <row r="49" spans="1:8" ht="18">
      <c r="A49" s="14"/>
      <c r="B49" s="15"/>
      <c r="C49" s="15"/>
      <c r="D49" s="2"/>
      <c r="E49" s="3"/>
      <c r="H49" s="2"/>
    </row>
    <row r="50" spans="1:8" ht="18">
      <c r="A50" s="14" t="s">
        <v>53</v>
      </c>
      <c r="B50" s="15" t="s">
        <v>51</v>
      </c>
      <c r="C50" s="15"/>
      <c r="D50" s="2"/>
      <c r="E50" s="3"/>
      <c r="H50" s="2"/>
    </row>
    <row r="51" spans="1:8" ht="18">
      <c r="A51" s="14"/>
      <c r="B51" s="15"/>
      <c r="C51" s="15"/>
      <c r="D51" s="2"/>
      <c r="E51" s="3"/>
      <c r="H51" s="2"/>
    </row>
    <row r="52" spans="1:8">
      <c r="A52" s="3"/>
      <c r="D52" s="2"/>
      <c r="E52" s="3"/>
      <c r="H52" s="2"/>
    </row>
    <row r="53" spans="1:8">
      <c r="A53" s="4"/>
      <c r="B53" s="5"/>
      <c r="C53" s="5"/>
      <c r="D53" s="6"/>
      <c r="E53" s="4"/>
      <c r="F53" s="5"/>
      <c r="G53" s="5"/>
      <c r="H53" s="6"/>
    </row>
  </sheetData>
  <mergeCells count="16">
    <mergeCell ref="A3:H3"/>
    <mergeCell ref="A6:D6"/>
    <mergeCell ref="A27:F28"/>
    <mergeCell ref="G27:H27"/>
    <mergeCell ref="G9:H9"/>
    <mergeCell ref="B8:C8"/>
    <mergeCell ref="B43:C43"/>
    <mergeCell ref="A36:A38"/>
    <mergeCell ref="C36:H38"/>
    <mergeCell ref="A29:F29"/>
    <mergeCell ref="A31:F31"/>
    <mergeCell ref="A35:F35"/>
    <mergeCell ref="A34:F34"/>
    <mergeCell ref="A32:F32"/>
    <mergeCell ref="A33:F33"/>
    <mergeCell ref="A30:F30"/>
  </mergeCells>
  <pageMargins left="1.05" right="0.13" top="1.78" bottom="0.37" header="0.3" footer="0.3"/>
  <pageSetup paperSize="9" scale="56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52216-DE2F-431C-8809-3E85F72AD960}">
  <sheetPr codeName="Sheet2">
    <tabColor rgb="FFFFFF00"/>
    <pageSetUpPr fitToPage="1"/>
  </sheetPr>
  <dimension ref="A1:U23"/>
  <sheetViews>
    <sheetView view="pageBreakPreview" topLeftCell="A6" zoomScale="70" zoomScaleSheetLayoutView="70" workbookViewId="0">
      <selection activeCell="K28" sqref="K28"/>
    </sheetView>
  </sheetViews>
  <sheetFormatPr defaultColWidth="9.109375" defaultRowHeight="13.8"/>
  <cols>
    <col min="1" max="1" width="13.21875" style="42" customWidth="1"/>
    <col min="2" max="2" width="22.21875" style="42" customWidth="1"/>
    <col min="3" max="3" width="9.5546875" style="1" customWidth="1"/>
    <col min="4" max="4" width="67.6640625" style="51" customWidth="1"/>
    <col min="5" max="8" width="17.33203125" style="42" customWidth="1"/>
    <col min="9" max="10" width="29.6640625" style="42" customWidth="1"/>
    <col min="11" max="11" width="9.109375" style="42"/>
    <col min="12" max="12" width="22.21875" style="42" customWidth="1"/>
    <col min="13" max="16384" width="9.109375" style="42"/>
  </cols>
  <sheetData>
    <row r="1" spans="1:21" ht="34.5" customHeight="1">
      <c r="A1" s="164" t="s">
        <v>0</v>
      </c>
      <c r="B1" s="165"/>
      <c r="C1" s="166" t="s">
        <v>25</v>
      </c>
      <c r="D1" s="167" t="str">
        <f>KEY!C2</f>
        <v>FTTH &amp; PeoTV Connections 2026</v>
      </c>
      <c r="E1" s="167"/>
      <c r="F1" s="167"/>
      <c r="G1" s="167"/>
      <c r="H1" s="168"/>
      <c r="I1" s="296" t="s">
        <v>30</v>
      </c>
      <c r="J1" s="296"/>
    </row>
    <row r="2" spans="1:21" ht="17.399999999999999" customHeight="1">
      <c r="A2" s="169" t="s">
        <v>14</v>
      </c>
      <c r="B2" s="170"/>
      <c r="C2" s="107" t="s">
        <v>25</v>
      </c>
      <c r="D2" s="171">
        <f>KEY!C3</f>
        <v>260103</v>
      </c>
      <c r="E2" s="171"/>
      <c r="F2" s="171"/>
      <c r="G2" s="171"/>
      <c r="H2" s="172"/>
      <c r="I2" s="296"/>
      <c r="J2" s="296"/>
    </row>
    <row r="3" spans="1:21" ht="17.399999999999999" customHeight="1">
      <c r="A3" s="169" t="s">
        <v>1</v>
      </c>
      <c r="B3" s="170"/>
      <c r="C3" s="107" t="s">
        <v>25</v>
      </c>
      <c r="D3" s="173" t="str">
        <f>KEY!C4</f>
        <v>L/0733/2025</v>
      </c>
      <c r="E3" s="106"/>
      <c r="F3" s="106"/>
      <c r="G3" s="106"/>
      <c r="H3" s="174"/>
      <c r="I3" s="296"/>
      <c r="J3" s="296"/>
    </row>
    <row r="4" spans="1:21" ht="17.399999999999999" customHeight="1">
      <c r="A4" s="169" t="s">
        <v>2</v>
      </c>
      <c r="B4" s="170"/>
      <c r="C4" s="107" t="s">
        <v>25</v>
      </c>
      <c r="D4" s="171" t="str">
        <f>KEY!C5</f>
        <v>Anuradhapura</v>
      </c>
      <c r="E4" s="106"/>
      <c r="F4" s="106"/>
      <c r="G4" s="106"/>
      <c r="H4" s="174"/>
      <c r="I4" s="296"/>
      <c r="J4" s="296"/>
    </row>
    <row r="5" spans="1:21" ht="20.399999999999999">
      <c r="A5" s="169" t="s">
        <v>59</v>
      </c>
      <c r="B5" s="170"/>
      <c r="C5" s="107" t="s">
        <v>25</v>
      </c>
      <c r="D5" s="171" t="str">
        <f>KEY!C6</f>
        <v>SLTS/FN/26/AD/JAN/01</v>
      </c>
      <c r="E5" s="106"/>
      <c r="F5" s="106"/>
      <c r="G5" s="106"/>
      <c r="H5" s="174"/>
      <c r="I5" s="140" t="str">
        <f>KEY!G6</f>
        <v>From: 1-Jan-2026</v>
      </c>
      <c r="J5" s="157" t="str">
        <f>KEY!J6</f>
        <v>To: 31-Jan-2026</v>
      </c>
    </row>
    <row r="6" spans="1:21" ht="27.6" customHeight="1">
      <c r="A6" s="175" t="s">
        <v>54</v>
      </c>
      <c r="B6" s="176"/>
      <c r="C6" s="177" t="s">
        <v>25</v>
      </c>
      <c r="D6" s="178">
        <f>KEY!F7</f>
        <v>169</v>
      </c>
      <c r="E6" s="179"/>
      <c r="F6" s="179"/>
      <c r="G6" s="179"/>
      <c r="H6" s="180"/>
      <c r="I6" s="140" t="s">
        <v>78</v>
      </c>
      <c r="J6" s="181">
        <f>KEY!J7</f>
        <v>46105</v>
      </c>
    </row>
    <row r="7" spans="1:21" s="68" customFormat="1" ht="19.8" customHeight="1">
      <c r="A7" s="297" t="s">
        <v>156</v>
      </c>
      <c r="B7" s="299" t="s">
        <v>149</v>
      </c>
      <c r="C7" s="299" t="s">
        <v>3</v>
      </c>
      <c r="D7" s="297" t="s">
        <v>31</v>
      </c>
      <c r="E7" s="301" t="s">
        <v>151</v>
      </c>
      <c r="F7" s="302"/>
      <c r="G7" s="301" t="s">
        <v>152</v>
      </c>
      <c r="H7" s="302"/>
      <c r="I7" s="303" t="s">
        <v>32</v>
      </c>
      <c r="J7" s="304"/>
    </row>
    <row r="8" spans="1:21" s="15" customFormat="1" ht="19.8" customHeight="1">
      <c r="A8" s="298"/>
      <c r="B8" s="300"/>
      <c r="C8" s="300"/>
      <c r="D8" s="298"/>
      <c r="E8" s="141" t="s">
        <v>153</v>
      </c>
      <c r="F8" s="141" t="s">
        <v>154</v>
      </c>
      <c r="G8" s="141" t="s">
        <v>153</v>
      </c>
      <c r="H8" s="141" t="s">
        <v>154</v>
      </c>
      <c r="I8" s="157" t="s">
        <v>153</v>
      </c>
      <c r="J8" s="157" t="s">
        <v>154</v>
      </c>
      <c r="L8" s="68"/>
      <c r="M8" s="68"/>
      <c r="N8" s="68"/>
      <c r="O8" s="68"/>
      <c r="P8" s="68"/>
      <c r="Q8" s="68"/>
      <c r="R8" s="68"/>
      <c r="S8" s="68"/>
      <c r="T8" s="68"/>
      <c r="U8" s="68"/>
    </row>
    <row r="9" spans="1:21" s="102" customFormat="1" ht="43.8" customHeight="1">
      <c r="A9" s="145" t="s">
        <v>157</v>
      </c>
      <c r="B9" s="145" t="s">
        <v>150</v>
      </c>
      <c r="C9" s="145" t="s">
        <v>155</v>
      </c>
      <c r="D9" s="146" t="s">
        <v>158</v>
      </c>
      <c r="E9" s="156">
        <v>0</v>
      </c>
      <c r="F9" s="156">
        <f>KEY!F7</f>
        <v>169</v>
      </c>
      <c r="G9" s="142"/>
      <c r="H9" s="142">
        <v>11000</v>
      </c>
      <c r="I9" s="143"/>
      <c r="J9" s="143">
        <f>F9*H9</f>
        <v>1859000</v>
      </c>
      <c r="L9" s="147"/>
      <c r="M9" s="147"/>
      <c r="N9" s="147"/>
      <c r="O9" s="147"/>
      <c r="P9" s="147"/>
      <c r="Q9" s="147"/>
      <c r="R9" s="147"/>
      <c r="S9" s="147"/>
      <c r="T9" s="147"/>
      <c r="U9" s="147"/>
    </row>
    <row r="10" spans="1:21" s="44" customFormat="1" ht="35.25" customHeight="1">
      <c r="A10" s="161"/>
      <c r="B10" s="162"/>
      <c r="C10" s="162"/>
      <c r="D10" s="163"/>
      <c r="E10" s="33"/>
      <c r="F10" s="33"/>
      <c r="G10" s="33"/>
      <c r="H10" s="33"/>
      <c r="I10" s="144">
        <f>SUM(I9:I9)</f>
        <v>0</v>
      </c>
      <c r="J10" s="144">
        <f>SUM(J9:J9)</f>
        <v>1859000</v>
      </c>
      <c r="K10" s="43"/>
      <c r="L10" s="42"/>
      <c r="M10" s="42"/>
      <c r="N10" s="42"/>
      <c r="O10" s="42"/>
      <c r="P10" s="42"/>
      <c r="Q10" s="42"/>
      <c r="R10" s="42"/>
      <c r="S10" s="42"/>
      <c r="T10" s="42"/>
      <c r="U10" s="42"/>
    </row>
    <row r="11" spans="1:21" s="44" customFormat="1" ht="70.5" customHeight="1">
      <c r="A11" s="148"/>
      <c r="B11" s="12"/>
      <c r="C11" s="12"/>
      <c r="D11" s="12"/>
      <c r="E11" s="13"/>
      <c r="F11" s="13"/>
      <c r="G11" s="13"/>
      <c r="H11" s="13"/>
      <c r="I11" s="45"/>
      <c r="J11" s="149"/>
      <c r="K11" s="46"/>
      <c r="L11" s="42"/>
      <c r="M11" s="42"/>
      <c r="N11" s="42"/>
      <c r="O11" s="42"/>
      <c r="P11" s="42"/>
      <c r="Q11" s="42"/>
      <c r="R11" s="42"/>
      <c r="S11" s="42"/>
      <c r="T11" s="42"/>
      <c r="U11" s="42"/>
    </row>
    <row r="12" spans="1:21" s="15" customFormat="1" ht="67.8" customHeight="1">
      <c r="A12" s="150"/>
      <c r="B12" s="64"/>
      <c r="C12" s="64"/>
      <c r="D12" s="109"/>
      <c r="E12" s="305" t="s">
        <v>79</v>
      </c>
      <c r="F12" s="306"/>
      <c r="G12" s="306"/>
      <c r="H12" s="306"/>
      <c r="I12" s="307"/>
      <c r="J12" s="159">
        <f>I10+J10</f>
        <v>1859000</v>
      </c>
      <c r="K12" s="65"/>
      <c r="L12" s="42"/>
      <c r="M12" s="42"/>
      <c r="N12" s="42"/>
      <c r="O12" s="42"/>
      <c r="P12" s="42"/>
      <c r="Q12" s="42"/>
      <c r="R12" s="42"/>
      <c r="S12" s="42"/>
      <c r="T12" s="42"/>
      <c r="U12" s="42"/>
    </row>
    <row r="13" spans="1:21" s="15" customFormat="1" ht="67.8" customHeight="1">
      <c r="A13" s="150"/>
      <c r="B13" s="64"/>
      <c r="C13" s="64"/>
      <c r="D13" s="109"/>
      <c r="E13" s="305" t="s">
        <v>99</v>
      </c>
      <c r="F13" s="306"/>
      <c r="G13" s="306"/>
      <c r="H13" s="306"/>
      <c r="I13" s="307"/>
      <c r="J13" s="159">
        <f>'REF DOC'!G30</f>
        <v>0</v>
      </c>
      <c r="K13" s="66"/>
    </row>
    <row r="14" spans="1:21" s="15" customFormat="1" ht="67.8" customHeight="1">
      <c r="A14" s="150"/>
      <c r="B14" s="64"/>
      <c r="C14" s="64"/>
      <c r="D14" s="109"/>
      <c r="E14" s="305" t="s">
        <v>116</v>
      </c>
      <c r="F14" s="306"/>
      <c r="G14" s="306"/>
      <c r="H14" s="306"/>
      <c r="I14" s="307"/>
      <c r="J14" s="159">
        <f>J12-J13</f>
        <v>1859000</v>
      </c>
      <c r="K14" s="66"/>
    </row>
    <row r="15" spans="1:21" s="15" customFormat="1" ht="67.8" customHeight="1">
      <c r="A15" s="150"/>
      <c r="B15" s="64"/>
      <c r="C15" s="64"/>
      <c r="D15" s="109"/>
      <c r="E15" s="305" t="s">
        <v>119</v>
      </c>
      <c r="F15" s="306"/>
      <c r="G15" s="306"/>
      <c r="H15" s="306"/>
      <c r="I15" s="307"/>
      <c r="J15" s="160">
        <f>J14*0.0256</f>
        <v>47590.400000000001</v>
      </c>
      <c r="K15" s="66"/>
    </row>
    <row r="16" spans="1:21" s="15" customFormat="1" ht="67.8" customHeight="1">
      <c r="A16" s="150"/>
      <c r="B16" s="64"/>
      <c r="C16" s="64"/>
      <c r="D16" s="109"/>
      <c r="E16" s="305" t="s">
        <v>81</v>
      </c>
      <c r="F16" s="306"/>
      <c r="G16" s="306"/>
      <c r="H16" s="306"/>
      <c r="I16" s="307"/>
      <c r="J16" s="160">
        <f>J14+J15</f>
        <v>1906590.4</v>
      </c>
      <c r="K16" s="66"/>
    </row>
    <row r="17" spans="1:12" s="15" customFormat="1" ht="67.8" customHeight="1">
      <c r="A17" s="150"/>
      <c r="B17" s="64"/>
      <c r="C17" s="64"/>
      <c r="D17" s="110"/>
      <c r="E17" s="293" t="s">
        <v>118</v>
      </c>
      <c r="F17" s="294"/>
      <c r="G17" s="294"/>
      <c r="H17" s="294"/>
      <c r="I17" s="295"/>
      <c r="J17" s="160">
        <f>(J16)*0.18</f>
        <v>343186.272</v>
      </c>
      <c r="K17" s="65"/>
    </row>
    <row r="18" spans="1:12" s="15" customFormat="1" ht="67.8" customHeight="1">
      <c r="A18" s="150"/>
      <c r="B18" s="64"/>
      <c r="C18" s="64"/>
      <c r="D18" s="110"/>
      <c r="E18" s="293" t="s">
        <v>33</v>
      </c>
      <c r="F18" s="294"/>
      <c r="G18" s="294"/>
      <c r="H18" s="294"/>
      <c r="I18" s="295"/>
      <c r="J18" s="160">
        <f>J17+J16</f>
        <v>2249776.6719999998</v>
      </c>
      <c r="K18" s="65"/>
    </row>
    <row r="19" spans="1:12" s="44" customFormat="1" ht="70.5" customHeight="1" thickBot="1">
      <c r="A19" s="151"/>
      <c r="B19" s="47"/>
      <c r="C19" s="47"/>
      <c r="D19" s="47"/>
      <c r="E19" s="48"/>
      <c r="F19" s="48"/>
      <c r="G19" s="48"/>
      <c r="H19" s="48"/>
      <c r="I19" s="50"/>
      <c r="J19" s="152"/>
      <c r="K19" s="49"/>
      <c r="L19" s="49"/>
    </row>
    <row r="20" spans="1:12" s="68" customFormat="1" ht="33.6" customHeight="1" thickBot="1">
      <c r="A20" s="308" t="s">
        <v>76</v>
      </c>
      <c r="B20" s="309"/>
      <c r="C20" s="309"/>
      <c r="D20" s="309"/>
      <c r="E20" s="158"/>
      <c r="F20" s="310" t="s">
        <v>34</v>
      </c>
      <c r="G20" s="310"/>
      <c r="H20" s="310"/>
      <c r="I20" s="310"/>
      <c r="J20" s="311"/>
      <c r="K20" s="67"/>
    </row>
    <row r="21" spans="1:12" s="68" customFormat="1" ht="154.19999999999999" customHeight="1" thickBot="1">
      <c r="A21" s="312" t="s">
        <v>4</v>
      </c>
      <c r="B21" s="313"/>
      <c r="C21" s="314"/>
      <c r="D21" s="314"/>
      <c r="E21" s="312" t="s">
        <v>22</v>
      </c>
      <c r="F21" s="313"/>
      <c r="G21" s="153"/>
      <c r="H21" s="153"/>
      <c r="I21" s="315"/>
      <c r="J21" s="316"/>
      <c r="K21" s="69"/>
    </row>
    <row r="22" spans="1:12" s="68" customFormat="1" ht="195.6" customHeight="1" thickBot="1">
      <c r="A22" s="312" t="s">
        <v>5</v>
      </c>
      <c r="B22" s="313"/>
      <c r="C22" s="317"/>
      <c r="D22" s="317"/>
      <c r="E22" s="312" t="s">
        <v>28</v>
      </c>
      <c r="F22" s="313"/>
      <c r="G22" s="154"/>
      <c r="H22" s="153"/>
      <c r="I22" s="315"/>
      <c r="J22" s="316"/>
      <c r="K22" s="69"/>
    </row>
    <row r="23" spans="1:12" ht="233.4" customHeight="1" thickBot="1">
      <c r="A23" s="312" t="s">
        <v>15</v>
      </c>
      <c r="B23" s="313"/>
      <c r="C23" s="318"/>
      <c r="D23" s="318"/>
      <c r="E23" s="312" t="s">
        <v>29</v>
      </c>
      <c r="F23" s="313"/>
      <c r="G23" s="155"/>
      <c r="H23" s="153"/>
      <c r="I23" s="315"/>
      <c r="J23" s="316"/>
    </row>
  </sheetData>
  <mergeCells count="29">
    <mergeCell ref="A22:B22"/>
    <mergeCell ref="C22:D22"/>
    <mergeCell ref="E22:F22"/>
    <mergeCell ref="I22:J22"/>
    <mergeCell ref="A23:B23"/>
    <mergeCell ref="C23:D23"/>
    <mergeCell ref="E23:F23"/>
    <mergeCell ref="I23:J23"/>
    <mergeCell ref="E18:I18"/>
    <mergeCell ref="A20:D20"/>
    <mergeCell ref="F20:J20"/>
    <mergeCell ref="A21:B21"/>
    <mergeCell ref="C21:D21"/>
    <mergeCell ref="E21:F21"/>
    <mergeCell ref="I21:J21"/>
    <mergeCell ref="E17:I17"/>
    <mergeCell ref="I1:J4"/>
    <mergeCell ref="A7:A8"/>
    <mergeCell ref="B7:B8"/>
    <mergeCell ref="C7:C8"/>
    <mergeCell ref="D7:D8"/>
    <mergeCell ref="E7:F7"/>
    <mergeCell ref="G7:H7"/>
    <mergeCell ref="I7:J7"/>
    <mergeCell ref="E12:I12"/>
    <mergeCell ref="E13:I13"/>
    <mergeCell ref="E14:I14"/>
    <mergeCell ref="E15:I15"/>
    <mergeCell ref="E16:I16"/>
  </mergeCells>
  <pageMargins left="0.67" right="0.31" top="1.79" bottom="0.18" header="0.3" footer="0.16"/>
  <pageSetup paperSize="9" scale="37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1D2B-AD53-4E37-A558-0B58F94E09C0}">
  <sheetPr codeName="Sheet9">
    <tabColor theme="6" tint="0.39997558519241921"/>
  </sheetPr>
  <dimension ref="A1:AL182"/>
  <sheetViews>
    <sheetView view="pageBreakPreview" zoomScale="70" zoomScaleNormal="100" zoomScaleSheetLayoutView="70" workbookViewId="0">
      <pane xSplit="3" ySplit="5" topLeftCell="D169" activePane="bottomRight" state="frozen"/>
      <selection pane="topRight" activeCell="D1" sqref="D1"/>
      <selection pane="bottomLeft" activeCell="A6" sqref="A6"/>
      <selection pane="bottomRight" activeCell="F175" sqref="F175"/>
    </sheetView>
  </sheetViews>
  <sheetFormatPr defaultColWidth="9.109375" defaultRowHeight="15.6"/>
  <cols>
    <col min="1" max="1" width="5.44140625" style="44" customWidth="1"/>
    <col min="2" max="2" width="22.33203125" style="81" bestFit="1" customWidth="1"/>
    <col min="3" max="3" width="10.6640625" style="12" customWidth="1"/>
    <col min="4" max="4" width="8.44140625" style="70" customWidth="1"/>
    <col min="5" max="5" width="18.109375" style="70" customWidth="1"/>
    <col min="6" max="6" width="11.21875" style="123" customWidth="1"/>
    <col min="7" max="8" width="5.6640625" style="123" customWidth="1"/>
    <col min="9" max="9" width="6" style="123" customWidth="1"/>
    <col min="10" max="10" width="6.109375" style="123" customWidth="1"/>
    <col min="11" max="11" width="6.44140625" style="123" customWidth="1"/>
    <col min="12" max="14" width="7.109375" style="123" customWidth="1"/>
    <col min="15" max="15" width="7.33203125" style="123" customWidth="1"/>
    <col min="16" max="16" width="6.6640625" style="123" customWidth="1"/>
    <col min="17" max="17" width="7.5546875" style="123" customWidth="1"/>
    <col min="18" max="18" width="7.5546875" style="124" customWidth="1"/>
    <col min="19" max="19" width="6.88671875" style="124" customWidth="1"/>
    <col min="20" max="20" width="6.6640625" style="123" customWidth="1"/>
    <col min="21" max="21" width="6.5546875" style="123" customWidth="1"/>
    <col min="22" max="22" width="7.44140625" style="123" customWidth="1"/>
    <col min="23" max="23" width="7.5546875" style="123" customWidth="1"/>
    <col min="24" max="24" width="7.6640625" style="123" customWidth="1"/>
    <col min="25" max="25" width="7.109375" style="123" customWidth="1"/>
    <col min="26" max="26" width="6.5546875" style="123" customWidth="1"/>
    <col min="27" max="27" width="7" style="123" customWidth="1"/>
    <col min="28" max="28" width="7.21875" style="123" customWidth="1"/>
    <col min="29" max="29" width="10" style="123" customWidth="1"/>
    <col min="30" max="31" width="9.109375" style="44"/>
    <col min="32" max="38" width="10.109375" style="44" customWidth="1"/>
    <col min="39" max="16384" width="9.109375" style="44"/>
  </cols>
  <sheetData>
    <row r="1" spans="1:29" ht="21.75" customHeight="1">
      <c r="A1" s="201"/>
      <c r="B1" s="201"/>
      <c r="C1" s="202"/>
      <c r="D1" s="202"/>
      <c r="E1" s="202"/>
      <c r="F1" s="202"/>
      <c r="G1" s="121"/>
      <c r="H1" s="121"/>
      <c r="I1" s="121"/>
      <c r="J1" s="121"/>
      <c r="K1" s="121"/>
      <c r="L1" s="121"/>
      <c r="M1" s="121"/>
      <c r="N1" s="121"/>
      <c r="O1" s="121"/>
      <c r="P1" s="122"/>
      <c r="U1" s="121"/>
      <c r="V1" s="121"/>
      <c r="W1" s="121"/>
      <c r="X1" s="121"/>
      <c r="Y1" s="121"/>
      <c r="Z1" s="121"/>
      <c r="AA1" s="121"/>
      <c r="AB1" s="121"/>
      <c r="AC1" s="122"/>
    </row>
    <row r="2" spans="1:29" ht="21.75" customHeight="1">
      <c r="A2" s="201" t="s">
        <v>82</v>
      </c>
      <c r="B2" s="201"/>
      <c r="C2" s="202" t="str">
        <f>KEY!C6</f>
        <v>SLTS/FN/26/AD/JAN/01</v>
      </c>
      <c r="D2" s="202"/>
      <c r="E2" s="202"/>
      <c r="F2" s="202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202"/>
      <c r="S2" s="202"/>
      <c r="T2" s="202"/>
      <c r="U2" s="202"/>
      <c r="V2" s="202"/>
      <c r="W2" s="202"/>
      <c r="X2" s="202"/>
      <c r="Y2" s="202"/>
      <c r="Z2" s="202"/>
      <c r="AA2" s="202"/>
      <c r="AB2" s="202"/>
      <c r="AC2" s="122"/>
    </row>
    <row r="3" spans="1:29" ht="21.75" customHeight="1">
      <c r="A3" s="118"/>
      <c r="B3" s="118"/>
      <c r="C3" s="117"/>
      <c r="D3" s="117"/>
      <c r="E3" s="117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2"/>
      <c r="R3" s="123"/>
      <c r="S3" s="123"/>
      <c r="U3" s="121"/>
      <c r="V3" s="121"/>
      <c r="W3" s="121"/>
      <c r="X3" s="121"/>
      <c r="Y3" s="121"/>
      <c r="Z3" s="121"/>
      <c r="AA3" s="121"/>
      <c r="AB3" s="121"/>
      <c r="AC3" s="122"/>
    </row>
    <row r="4" spans="1:29" ht="26.25" customHeight="1">
      <c r="A4" s="200" t="str">
        <f>KEY!C8</f>
        <v>BOM-R-AD-2026-03-24-291729108</v>
      </c>
      <c r="B4" s="200"/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</row>
    <row r="5" spans="1:29" s="81" customFormat="1" ht="68.25" customHeight="1">
      <c r="A5" s="104" t="s">
        <v>55</v>
      </c>
      <c r="B5" s="104" t="s">
        <v>101</v>
      </c>
      <c r="C5" s="104" t="s">
        <v>102</v>
      </c>
      <c r="D5" s="104" t="s">
        <v>85</v>
      </c>
      <c r="E5" s="116" t="s">
        <v>103</v>
      </c>
      <c r="F5" s="104" t="s">
        <v>104</v>
      </c>
      <c r="G5" s="104" t="s">
        <v>105</v>
      </c>
      <c r="H5" s="104" t="s">
        <v>128</v>
      </c>
      <c r="I5" s="104" t="s">
        <v>106</v>
      </c>
      <c r="J5" s="104" t="s">
        <v>107</v>
      </c>
      <c r="K5" s="104" t="s">
        <v>108</v>
      </c>
      <c r="L5" s="104" t="s">
        <v>109</v>
      </c>
      <c r="M5" s="104" t="s">
        <v>110</v>
      </c>
      <c r="N5" s="104" t="s">
        <v>111</v>
      </c>
      <c r="O5" s="105" t="s">
        <v>112</v>
      </c>
      <c r="P5" s="104" t="s">
        <v>113</v>
      </c>
      <c r="Q5" s="104" t="s">
        <v>114</v>
      </c>
      <c r="R5" s="104" t="s">
        <v>129</v>
      </c>
      <c r="S5" s="104" t="s">
        <v>130</v>
      </c>
      <c r="T5" s="104" t="s">
        <v>131</v>
      </c>
      <c r="U5" s="104" t="s">
        <v>132</v>
      </c>
      <c r="V5" s="104" t="s">
        <v>133</v>
      </c>
      <c r="W5" s="104" t="s">
        <v>134</v>
      </c>
      <c r="X5" s="104" t="s">
        <v>135</v>
      </c>
      <c r="Y5" s="104" t="s">
        <v>136</v>
      </c>
      <c r="Z5" s="104" t="s">
        <v>137</v>
      </c>
      <c r="AA5" s="104" t="s">
        <v>138</v>
      </c>
      <c r="AB5" s="105" t="s">
        <v>139</v>
      </c>
      <c r="AC5" s="104" t="s">
        <v>140</v>
      </c>
    </row>
    <row r="6" spans="1:29" ht="14.4" customHeight="1">
      <c r="A6" s="83">
        <v>1</v>
      </c>
      <c r="B6" s="84" t="s">
        <v>163</v>
      </c>
      <c r="C6" s="84">
        <v>252053154</v>
      </c>
      <c r="D6" s="83" t="s">
        <v>164</v>
      </c>
      <c r="E6" s="84" t="s">
        <v>124</v>
      </c>
      <c r="F6" s="125">
        <v>107</v>
      </c>
      <c r="G6" s="126"/>
      <c r="H6" s="127"/>
      <c r="I6" s="128"/>
      <c r="J6" s="128"/>
      <c r="K6" s="125"/>
      <c r="L6" s="129"/>
      <c r="M6" s="130"/>
      <c r="N6" s="130"/>
      <c r="O6" s="131"/>
      <c r="P6" s="131"/>
      <c r="Q6" s="131">
        <v>1</v>
      </c>
      <c r="R6" s="131"/>
      <c r="S6" s="131">
        <v>2</v>
      </c>
      <c r="T6" s="126">
        <v>1</v>
      </c>
      <c r="U6" s="126">
        <v>1</v>
      </c>
      <c r="V6" s="127"/>
      <c r="W6" s="128"/>
      <c r="X6" s="128">
        <v>4</v>
      </c>
      <c r="Y6" s="125"/>
      <c r="Z6" s="129"/>
      <c r="AA6" s="129"/>
      <c r="AB6" s="126"/>
      <c r="AC6" s="126">
        <v>30</v>
      </c>
    </row>
    <row r="7" spans="1:29" ht="14.4" customHeight="1">
      <c r="A7" s="83">
        <v>2</v>
      </c>
      <c r="B7" s="84" t="s">
        <v>165</v>
      </c>
      <c r="C7" s="84">
        <v>252229851</v>
      </c>
      <c r="D7" s="83" t="s">
        <v>164</v>
      </c>
      <c r="E7" s="84" t="s">
        <v>124</v>
      </c>
      <c r="F7" s="125">
        <v>162</v>
      </c>
      <c r="G7" s="126"/>
      <c r="H7" s="127">
        <v>1</v>
      </c>
      <c r="I7" s="128"/>
      <c r="J7" s="128"/>
      <c r="K7" s="125">
        <v>4</v>
      </c>
      <c r="L7" s="129"/>
      <c r="M7" s="129"/>
      <c r="N7" s="129"/>
      <c r="O7" s="126"/>
      <c r="P7" s="126"/>
      <c r="Q7" s="126">
        <v>1</v>
      </c>
      <c r="R7" s="126"/>
      <c r="S7" s="126">
        <v>2</v>
      </c>
      <c r="T7" s="126">
        <v>1</v>
      </c>
      <c r="U7" s="126">
        <v>1</v>
      </c>
      <c r="V7" s="127"/>
      <c r="W7" s="128">
        <v>2</v>
      </c>
      <c r="X7" s="128">
        <v>10</v>
      </c>
      <c r="Y7" s="125"/>
      <c r="Z7" s="129"/>
      <c r="AA7" s="129"/>
      <c r="AB7" s="126"/>
      <c r="AC7" s="126">
        <v>3</v>
      </c>
    </row>
    <row r="8" spans="1:29" ht="14.4" customHeight="1">
      <c r="A8" s="83">
        <v>3</v>
      </c>
      <c r="B8" s="84" t="s">
        <v>166</v>
      </c>
      <c r="C8" s="84">
        <v>252226763</v>
      </c>
      <c r="D8" s="83" t="s">
        <v>164</v>
      </c>
      <c r="E8" s="84" t="s">
        <v>124</v>
      </c>
      <c r="F8" s="125">
        <v>280</v>
      </c>
      <c r="G8" s="126"/>
      <c r="H8" s="127"/>
      <c r="I8" s="128"/>
      <c r="J8" s="128"/>
      <c r="K8" s="125"/>
      <c r="L8" s="129"/>
      <c r="M8" s="129">
        <v>1</v>
      </c>
      <c r="N8" s="129"/>
      <c r="O8" s="126"/>
      <c r="P8" s="126"/>
      <c r="Q8" s="126"/>
      <c r="R8" s="126"/>
      <c r="S8" s="126">
        <v>2</v>
      </c>
      <c r="T8" s="126">
        <v>1</v>
      </c>
      <c r="U8" s="126">
        <v>1</v>
      </c>
      <c r="V8" s="127"/>
      <c r="W8" s="128"/>
      <c r="X8" s="128">
        <v>16</v>
      </c>
      <c r="Y8" s="125"/>
      <c r="Z8" s="129"/>
      <c r="AA8" s="129"/>
      <c r="AB8" s="126"/>
      <c r="AC8" s="126">
        <v>6</v>
      </c>
    </row>
    <row r="9" spans="1:29" s="1" customFormat="1" ht="14.4" customHeight="1">
      <c r="A9" s="83">
        <v>4</v>
      </c>
      <c r="B9" s="84" t="s">
        <v>167</v>
      </c>
      <c r="C9" s="84">
        <v>252230558</v>
      </c>
      <c r="D9" s="83" t="s">
        <v>164</v>
      </c>
      <c r="E9" s="84" t="s">
        <v>124</v>
      </c>
      <c r="F9" s="125">
        <v>181</v>
      </c>
      <c r="G9" s="126"/>
      <c r="H9" s="127"/>
      <c r="I9" s="128"/>
      <c r="J9" s="128"/>
      <c r="K9" s="125"/>
      <c r="L9" s="129">
        <v>1</v>
      </c>
      <c r="M9" s="129"/>
      <c r="N9" s="129"/>
      <c r="O9" s="126"/>
      <c r="P9" s="126"/>
      <c r="Q9" s="126"/>
      <c r="R9" s="126"/>
      <c r="S9" s="126">
        <v>2</v>
      </c>
      <c r="T9" s="126">
        <v>1</v>
      </c>
      <c r="U9" s="126">
        <v>1</v>
      </c>
      <c r="V9" s="127"/>
      <c r="W9" s="128"/>
      <c r="X9" s="128">
        <v>10</v>
      </c>
      <c r="Y9" s="125"/>
      <c r="Z9" s="129"/>
      <c r="AA9" s="129"/>
      <c r="AB9" s="126"/>
      <c r="AC9" s="126">
        <v>6</v>
      </c>
    </row>
    <row r="10" spans="1:29" s="1" customFormat="1" ht="14.4" customHeight="1">
      <c r="A10" s="83">
        <v>5</v>
      </c>
      <c r="B10" s="84" t="s">
        <v>168</v>
      </c>
      <c r="C10" s="84">
        <v>252053856</v>
      </c>
      <c r="D10" s="83" t="s">
        <v>164</v>
      </c>
      <c r="E10" s="84" t="s">
        <v>124</v>
      </c>
      <c r="F10" s="125">
        <v>77</v>
      </c>
      <c r="G10" s="126"/>
      <c r="H10" s="127"/>
      <c r="I10" s="128"/>
      <c r="J10" s="128"/>
      <c r="K10" s="125"/>
      <c r="L10" s="129"/>
      <c r="M10" s="129"/>
      <c r="N10" s="129"/>
      <c r="O10" s="126"/>
      <c r="P10" s="126"/>
      <c r="Q10" s="126">
        <v>1</v>
      </c>
      <c r="R10" s="126"/>
      <c r="S10" s="126">
        <v>2</v>
      </c>
      <c r="T10" s="126">
        <v>1</v>
      </c>
      <c r="U10" s="126">
        <v>0</v>
      </c>
      <c r="V10" s="127"/>
      <c r="W10" s="128"/>
      <c r="X10" s="128">
        <v>6</v>
      </c>
      <c r="Y10" s="125"/>
      <c r="Z10" s="129"/>
      <c r="AA10" s="129"/>
      <c r="AB10" s="126"/>
      <c r="AC10" s="126">
        <v>1</v>
      </c>
    </row>
    <row r="11" spans="1:29" s="1" customFormat="1" ht="14.4" customHeight="1">
      <c r="A11" s="83">
        <v>6</v>
      </c>
      <c r="B11" s="84" t="s">
        <v>169</v>
      </c>
      <c r="C11" s="84">
        <v>252262949</v>
      </c>
      <c r="D11" s="83" t="s">
        <v>164</v>
      </c>
      <c r="E11" s="84" t="s">
        <v>124</v>
      </c>
      <c r="F11" s="125">
        <v>261</v>
      </c>
      <c r="G11" s="126"/>
      <c r="H11" s="127">
        <v>1</v>
      </c>
      <c r="I11" s="128"/>
      <c r="J11" s="128"/>
      <c r="K11" s="125">
        <v>2</v>
      </c>
      <c r="L11" s="129"/>
      <c r="M11" s="129"/>
      <c r="N11" s="129"/>
      <c r="O11" s="126">
        <v>1</v>
      </c>
      <c r="P11" s="126"/>
      <c r="Q11" s="126"/>
      <c r="R11" s="126"/>
      <c r="S11" s="126">
        <v>2</v>
      </c>
      <c r="T11" s="126">
        <v>1</v>
      </c>
      <c r="U11" s="126">
        <v>0</v>
      </c>
      <c r="V11" s="127">
        <v>69</v>
      </c>
      <c r="W11" s="128">
        <v>1</v>
      </c>
      <c r="X11" s="128">
        <v>12</v>
      </c>
      <c r="Y11" s="125">
        <v>6</v>
      </c>
      <c r="Z11" s="129"/>
      <c r="AA11" s="129"/>
      <c r="AB11" s="126">
        <v>150</v>
      </c>
      <c r="AC11" s="126">
        <v>17</v>
      </c>
    </row>
    <row r="12" spans="1:29" s="1" customFormat="1" ht="14.4" customHeight="1">
      <c r="A12" s="83">
        <v>7</v>
      </c>
      <c r="B12" s="84" t="s">
        <v>170</v>
      </c>
      <c r="C12" s="84">
        <v>252262959</v>
      </c>
      <c r="D12" s="83" t="s">
        <v>164</v>
      </c>
      <c r="E12" s="84" t="s">
        <v>124</v>
      </c>
      <c r="F12" s="125">
        <v>245</v>
      </c>
      <c r="G12" s="126"/>
      <c r="H12" s="127"/>
      <c r="I12" s="128"/>
      <c r="J12" s="128"/>
      <c r="K12" s="125"/>
      <c r="L12" s="129"/>
      <c r="M12" s="129"/>
      <c r="N12" s="129"/>
      <c r="O12" s="126">
        <v>1</v>
      </c>
      <c r="P12" s="126"/>
      <c r="Q12" s="126"/>
      <c r="R12" s="126"/>
      <c r="S12" s="126">
        <v>2</v>
      </c>
      <c r="T12" s="126">
        <v>1</v>
      </c>
      <c r="U12" s="126">
        <v>1</v>
      </c>
      <c r="V12" s="127"/>
      <c r="W12" s="128"/>
      <c r="X12" s="128">
        <v>12</v>
      </c>
      <c r="Y12" s="125">
        <v>6</v>
      </c>
      <c r="Z12" s="129"/>
      <c r="AA12" s="129"/>
      <c r="AB12" s="126">
        <v>38</v>
      </c>
      <c r="AC12" s="126">
        <v>11</v>
      </c>
    </row>
    <row r="13" spans="1:29" s="1" customFormat="1" ht="14.4" customHeight="1">
      <c r="A13" s="83">
        <v>8</v>
      </c>
      <c r="B13" s="84" t="s">
        <v>171</v>
      </c>
      <c r="C13" s="84">
        <v>252262939</v>
      </c>
      <c r="D13" s="83" t="s">
        <v>164</v>
      </c>
      <c r="E13" s="84" t="s">
        <v>124</v>
      </c>
      <c r="F13" s="125">
        <v>251</v>
      </c>
      <c r="G13" s="126"/>
      <c r="H13" s="127">
        <v>2</v>
      </c>
      <c r="I13" s="128"/>
      <c r="J13" s="128"/>
      <c r="K13" s="125">
        <v>4</v>
      </c>
      <c r="L13" s="129"/>
      <c r="M13" s="129"/>
      <c r="N13" s="129"/>
      <c r="O13" s="126"/>
      <c r="P13" s="126"/>
      <c r="Q13" s="126"/>
      <c r="R13" s="126"/>
      <c r="S13" s="126">
        <v>2</v>
      </c>
      <c r="T13" s="126">
        <v>1</v>
      </c>
      <c r="U13" s="126">
        <v>0</v>
      </c>
      <c r="V13" s="127">
        <v>31</v>
      </c>
      <c r="W13" s="128">
        <v>2</v>
      </c>
      <c r="X13" s="128">
        <v>12</v>
      </c>
      <c r="Y13" s="125">
        <v>4</v>
      </c>
      <c r="Z13" s="129"/>
      <c r="AA13" s="129"/>
      <c r="AB13" s="126">
        <v>46</v>
      </c>
      <c r="AC13" s="126">
        <v>30</v>
      </c>
    </row>
    <row r="14" spans="1:29" s="1" customFormat="1" ht="14.4" customHeight="1">
      <c r="A14" s="83">
        <v>9</v>
      </c>
      <c r="B14" s="84" t="s">
        <v>172</v>
      </c>
      <c r="C14" s="84">
        <v>252220004</v>
      </c>
      <c r="D14" s="83" t="s">
        <v>164</v>
      </c>
      <c r="E14" s="84" t="s">
        <v>124</v>
      </c>
      <c r="F14" s="125">
        <v>92</v>
      </c>
      <c r="G14" s="126"/>
      <c r="H14" s="127"/>
      <c r="I14" s="128"/>
      <c r="J14" s="128"/>
      <c r="K14" s="125"/>
      <c r="L14" s="129"/>
      <c r="M14" s="129"/>
      <c r="N14" s="129"/>
      <c r="O14" s="126"/>
      <c r="P14" s="126"/>
      <c r="Q14" s="126">
        <v>1</v>
      </c>
      <c r="R14" s="126"/>
      <c r="S14" s="126">
        <v>2</v>
      </c>
      <c r="T14" s="126">
        <v>1</v>
      </c>
      <c r="U14" s="126">
        <v>1</v>
      </c>
      <c r="V14" s="127"/>
      <c r="W14" s="128"/>
      <c r="X14" s="128">
        <v>4</v>
      </c>
      <c r="Y14" s="125"/>
      <c r="Z14" s="129"/>
      <c r="AA14" s="129"/>
      <c r="AB14" s="126"/>
      <c r="AC14" s="126">
        <v>7</v>
      </c>
    </row>
    <row r="15" spans="1:29" s="1" customFormat="1" ht="14.4" customHeight="1">
      <c r="A15" s="83">
        <v>10</v>
      </c>
      <c r="B15" s="84" t="s">
        <v>173</v>
      </c>
      <c r="C15" s="84">
        <v>252262567</v>
      </c>
      <c r="D15" s="83" t="s">
        <v>164</v>
      </c>
      <c r="E15" s="84" t="s">
        <v>124</v>
      </c>
      <c r="F15" s="125">
        <v>113</v>
      </c>
      <c r="G15" s="126"/>
      <c r="H15" s="127"/>
      <c r="I15" s="128"/>
      <c r="J15" s="128"/>
      <c r="K15" s="125"/>
      <c r="L15" s="129"/>
      <c r="M15" s="129">
        <v>1</v>
      </c>
      <c r="N15" s="129"/>
      <c r="O15" s="126"/>
      <c r="P15" s="126"/>
      <c r="Q15" s="126"/>
      <c r="R15" s="126"/>
      <c r="S15" s="126">
        <v>2</v>
      </c>
      <c r="T15" s="126">
        <v>1</v>
      </c>
      <c r="U15" s="126">
        <v>1</v>
      </c>
      <c r="V15" s="127"/>
      <c r="W15" s="128"/>
      <c r="X15" s="128">
        <v>8</v>
      </c>
      <c r="Y15" s="125"/>
      <c r="Z15" s="129"/>
      <c r="AA15" s="129"/>
      <c r="AB15" s="126"/>
      <c r="AC15" s="126">
        <v>6</v>
      </c>
    </row>
    <row r="16" spans="1:29" s="1" customFormat="1" ht="14.4" customHeight="1">
      <c r="A16" s="83">
        <v>11</v>
      </c>
      <c r="B16" s="84" t="s">
        <v>174</v>
      </c>
      <c r="C16" s="84">
        <v>252054066</v>
      </c>
      <c r="D16" s="83" t="s">
        <v>164</v>
      </c>
      <c r="E16" s="84" t="s">
        <v>124</v>
      </c>
      <c r="F16" s="125">
        <v>102</v>
      </c>
      <c r="G16" s="126"/>
      <c r="H16" s="127"/>
      <c r="I16" s="128"/>
      <c r="J16" s="128"/>
      <c r="K16" s="125"/>
      <c r="L16" s="129">
        <v>1</v>
      </c>
      <c r="M16" s="129"/>
      <c r="N16" s="129"/>
      <c r="O16" s="126"/>
      <c r="P16" s="126"/>
      <c r="Q16" s="126"/>
      <c r="R16" s="132"/>
      <c r="S16" s="132">
        <v>2</v>
      </c>
      <c r="T16" s="132">
        <v>1</v>
      </c>
      <c r="U16" s="126">
        <v>1</v>
      </c>
      <c r="V16" s="127"/>
      <c r="W16" s="128"/>
      <c r="X16" s="128">
        <v>6</v>
      </c>
      <c r="Y16" s="125"/>
      <c r="Z16" s="129"/>
      <c r="AA16" s="129"/>
      <c r="AB16" s="126"/>
      <c r="AC16" s="126">
        <v>16</v>
      </c>
    </row>
    <row r="17" spans="1:29" s="1" customFormat="1" ht="14.4" customHeight="1">
      <c r="A17" s="83">
        <v>12</v>
      </c>
      <c r="B17" s="84" t="s">
        <v>175</v>
      </c>
      <c r="C17" s="84">
        <v>252229970</v>
      </c>
      <c r="D17" s="83" t="s">
        <v>164</v>
      </c>
      <c r="E17" s="84" t="s">
        <v>124</v>
      </c>
      <c r="F17" s="125">
        <v>172</v>
      </c>
      <c r="G17" s="126"/>
      <c r="H17" s="127"/>
      <c r="I17" s="128"/>
      <c r="J17" s="128"/>
      <c r="K17" s="125"/>
      <c r="L17" s="129">
        <v>1</v>
      </c>
      <c r="M17" s="129"/>
      <c r="N17" s="129"/>
      <c r="O17" s="126"/>
      <c r="P17" s="126"/>
      <c r="Q17" s="126"/>
      <c r="R17" s="132"/>
      <c r="S17" s="132">
        <v>2</v>
      </c>
      <c r="T17" s="132">
        <v>1</v>
      </c>
      <c r="U17" s="126">
        <v>1</v>
      </c>
      <c r="V17" s="127"/>
      <c r="W17" s="128"/>
      <c r="X17" s="128">
        <v>10</v>
      </c>
      <c r="Y17" s="125"/>
      <c r="Z17" s="129"/>
      <c r="AA17" s="129"/>
      <c r="AB17" s="126"/>
      <c r="AC17" s="126">
        <v>10</v>
      </c>
    </row>
    <row r="18" spans="1:29" s="1" customFormat="1" ht="14.4" customHeight="1">
      <c r="A18" s="83">
        <v>13</v>
      </c>
      <c r="B18" s="84" t="s">
        <v>176</v>
      </c>
      <c r="C18" s="84">
        <v>252229861</v>
      </c>
      <c r="D18" s="83" t="s">
        <v>164</v>
      </c>
      <c r="E18" s="84" t="s">
        <v>124</v>
      </c>
      <c r="F18" s="125">
        <v>315</v>
      </c>
      <c r="G18" s="126"/>
      <c r="H18" s="127">
        <v>1</v>
      </c>
      <c r="I18" s="128"/>
      <c r="J18" s="128"/>
      <c r="K18" s="125">
        <v>2</v>
      </c>
      <c r="L18" s="129"/>
      <c r="M18" s="129">
        <v>1</v>
      </c>
      <c r="N18" s="129"/>
      <c r="O18" s="126"/>
      <c r="P18" s="126"/>
      <c r="Q18" s="126"/>
      <c r="R18" s="132"/>
      <c r="S18" s="132">
        <v>2</v>
      </c>
      <c r="T18" s="132">
        <v>1</v>
      </c>
      <c r="U18" s="126">
        <v>1</v>
      </c>
      <c r="V18" s="127"/>
      <c r="W18" s="128">
        <v>1</v>
      </c>
      <c r="X18" s="128">
        <v>20</v>
      </c>
      <c r="Y18" s="125"/>
      <c r="Z18" s="129"/>
      <c r="AA18" s="129"/>
      <c r="AB18" s="126"/>
      <c r="AC18" s="126">
        <v>0</v>
      </c>
    </row>
    <row r="19" spans="1:29" ht="14.4" customHeight="1">
      <c r="A19" s="83">
        <v>14</v>
      </c>
      <c r="B19" s="84" t="s">
        <v>177</v>
      </c>
      <c r="C19" s="84">
        <v>252230010</v>
      </c>
      <c r="D19" s="83" t="s">
        <v>164</v>
      </c>
      <c r="E19" s="84" t="s">
        <v>124</v>
      </c>
      <c r="F19" s="125">
        <v>403</v>
      </c>
      <c r="G19" s="126"/>
      <c r="H19" s="127"/>
      <c r="I19" s="128"/>
      <c r="J19" s="128"/>
      <c r="K19" s="125"/>
      <c r="L19" s="129">
        <v>1</v>
      </c>
      <c r="M19" s="129"/>
      <c r="N19" s="129"/>
      <c r="O19" s="126"/>
      <c r="P19" s="126"/>
      <c r="Q19" s="126"/>
      <c r="R19" s="132"/>
      <c r="S19" s="132">
        <v>2</v>
      </c>
      <c r="T19" s="132">
        <v>1</v>
      </c>
      <c r="U19" s="126">
        <v>1</v>
      </c>
      <c r="V19" s="127"/>
      <c r="W19" s="128"/>
      <c r="X19" s="128">
        <v>24</v>
      </c>
      <c r="Y19" s="125"/>
      <c r="Z19" s="129">
        <v>10</v>
      </c>
      <c r="AA19" s="129">
        <v>20</v>
      </c>
      <c r="AB19" s="126"/>
      <c r="AC19" s="126">
        <v>2</v>
      </c>
    </row>
    <row r="20" spans="1:29" ht="14.4" customHeight="1">
      <c r="A20" s="83">
        <v>15</v>
      </c>
      <c r="B20" s="84" t="s">
        <v>178</v>
      </c>
      <c r="C20" s="84">
        <v>252262168</v>
      </c>
      <c r="D20" s="83" t="s">
        <v>164</v>
      </c>
      <c r="E20" s="84" t="s">
        <v>124</v>
      </c>
      <c r="F20" s="125">
        <v>93</v>
      </c>
      <c r="G20" s="126"/>
      <c r="H20" s="127"/>
      <c r="I20" s="128"/>
      <c r="J20" s="128"/>
      <c r="K20" s="125"/>
      <c r="L20" s="129"/>
      <c r="M20" s="129"/>
      <c r="N20" s="129"/>
      <c r="O20" s="126"/>
      <c r="P20" s="126"/>
      <c r="Q20" s="126">
        <v>1</v>
      </c>
      <c r="R20" s="132"/>
      <c r="S20" s="132">
        <v>2</v>
      </c>
      <c r="T20" s="132">
        <v>1</v>
      </c>
      <c r="U20" s="126">
        <v>1</v>
      </c>
      <c r="V20" s="127">
        <v>16</v>
      </c>
      <c r="W20" s="128"/>
      <c r="X20" s="128">
        <v>6</v>
      </c>
      <c r="Y20" s="125">
        <v>2</v>
      </c>
      <c r="Z20" s="129"/>
      <c r="AA20" s="129"/>
      <c r="AB20" s="126">
        <v>40</v>
      </c>
      <c r="AC20" s="126">
        <v>9</v>
      </c>
    </row>
    <row r="21" spans="1:29" ht="14.4" customHeight="1">
      <c r="A21" s="83">
        <v>16</v>
      </c>
      <c r="B21" s="84" t="s">
        <v>179</v>
      </c>
      <c r="C21" s="84">
        <v>252260763</v>
      </c>
      <c r="D21" s="83" t="s">
        <v>164</v>
      </c>
      <c r="E21" s="84" t="s">
        <v>124</v>
      </c>
      <c r="F21" s="125">
        <v>224</v>
      </c>
      <c r="G21" s="126"/>
      <c r="H21" s="127"/>
      <c r="I21" s="128"/>
      <c r="J21" s="128"/>
      <c r="K21" s="125"/>
      <c r="L21" s="129"/>
      <c r="M21" s="129"/>
      <c r="N21" s="129"/>
      <c r="O21" s="126"/>
      <c r="P21" s="126"/>
      <c r="Q21" s="126">
        <v>1</v>
      </c>
      <c r="R21" s="132"/>
      <c r="S21" s="132">
        <v>2</v>
      </c>
      <c r="T21" s="132">
        <v>1</v>
      </c>
      <c r="U21" s="126">
        <v>1</v>
      </c>
      <c r="V21" s="127"/>
      <c r="W21" s="128"/>
      <c r="X21" s="128">
        <v>8</v>
      </c>
      <c r="Y21" s="125"/>
      <c r="Z21" s="129"/>
      <c r="AA21" s="129"/>
      <c r="AB21" s="126"/>
      <c r="AC21" s="126">
        <v>17</v>
      </c>
    </row>
    <row r="22" spans="1:29" ht="14.4" customHeight="1">
      <c r="A22" s="83">
        <v>17</v>
      </c>
      <c r="B22" s="84" t="s">
        <v>180</v>
      </c>
      <c r="C22" s="84">
        <v>252230990</v>
      </c>
      <c r="D22" s="83" t="s">
        <v>164</v>
      </c>
      <c r="E22" s="84" t="s">
        <v>124</v>
      </c>
      <c r="F22" s="125">
        <v>76</v>
      </c>
      <c r="G22" s="126"/>
      <c r="H22" s="127"/>
      <c r="I22" s="128"/>
      <c r="J22" s="128"/>
      <c r="K22" s="125"/>
      <c r="L22" s="129">
        <v>1</v>
      </c>
      <c r="M22" s="129"/>
      <c r="N22" s="129"/>
      <c r="O22" s="126"/>
      <c r="P22" s="126"/>
      <c r="Q22" s="126"/>
      <c r="R22" s="132"/>
      <c r="S22" s="132">
        <v>2</v>
      </c>
      <c r="T22" s="132">
        <v>1</v>
      </c>
      <c r="U22" s="126">
        <v>1</v>
      </c>
      <c r="V22" s="127"/>
      <c r="W22" s="128"/>
      <c r="X22" s="128">
        <v>4</v>
      </c>
      <c r="Y22" s="125"/>
      <c r="Z22" s="129"/>
      <c r="AA22" s="129"/>
      <c r="AB22" s="126"/>
      <c r="AC22" s="126">
        <v>0</v>
      </c>
    </row>
    <row r="23" spans="1:29" ht="14.4" customHeight="1">
      <c r="A23" s="83">
        <v>18</v>
      </c>
      <c r="B23" s="84" t="s">
        <v>181</v>
      </c>
      <c r="C23" s="84">
        <v>252262484</v>
      </c>
      <c r="D23" s="83" t="s">
        <v>164</v>
      </c>
      <c r="E23" s="84" t="s">
        <v>124</v>
      </c>
      <c r="F23" s="125">
        <v>135</v>
      </c>
      <c r="G23" s="126"/>
      <c r="H23" s="127">
        <v>1</v>
      </c>
      <c r="I23" s="128"/>
      <c r="J23" s="128"/>
      <c r="K23" s="125">
        <v>2</v>
      </c>
      <c r="L23" s="129"/>
      <c r="M23" s="129"/>
      <c r="N23" s="129"/>
      <c r="O23" s="126"/>
      <c r="P23" s="126"/>
      <c r="Q23" s="126"/>
      <c r="R23" s="132">
        <v>1</v>
      </c>
      <c r="S23" s="132">
        <v>2</v>
      </c>
      <c r="T23" s="132">
        <v>1</v>
      </c>
      <c r="U23" s="126">
        <v>1</v>
      </c>
      <c r="V23" s="127"/>
      <c r="W23" s="128">
        <v>1</v>
      </c>
      <c r="X23" s="128">
        <v>8</v>
      </c>
      <c r="Y23" s="125">
        <v>4</v>
      </c>
      <c r="Z23" s="129"/>
      <c r="AA23" s="129"/>
      <c r="AB23" s="126"/>
      <c r="AC23" s="126">
        <v>8</v>
      </c>
    </row>
    <row r="24" spans="1:29" ht="14.4" customHeight="1">
      <c r="A24" s="83">
        <v>19</v>
      </c>
      <c r="B24" s="84" t="s">
        <v>182</v>
      </c>
      <c r="C24" s="84">
        <v>252230588</v>
      </c>
      <c r="D24" s="83" t="s">
        <v>164</v>
      </c>
      <c r="E24" s="84" t="s">
        <v>124</v>
      </c>
      <c r="F24" s="125">
        <v>250</v>
      </c>
      <c r="G24" s="126"/>
      <c r="H24" s="127">
        <v>2</v>
      </c>
      <c r="I24" s="128"/>
      <c r="J24" s="128"/>
      <c r="K24" s="125">
        <v>4</v>
      </c>
      <c r="L24" s="129">
        <v>1</v>
      </c>
      <c r="M24" s="129"/>
      <c r="N24" s="129"/>
      <c r="O24" s="126"/>
      <c r="P24" s="126"/>
      <c r="Q24" s="126"/>
      <c r="R24" s="132"/>
      <c r="S24" s="132">
        <v>2</v>
      </c>
      <c r="T24" s="132">
        <v>1</v>
      </c>
      <c r="U24" s="126">
        <v>1</v>
      </c>
      <c r="V24" s="127"/>
      <c r="W24" s="128">
        <v>2</v>
      </c>
      <c r="X24" s="128">
        <v>16</v>
      </c>
      <c r="Y24" s="125"/>
      <c r="Z24" s="129"/>
      <c r="AA24" s="129"/>
      <c r="AB24" s="126"/>
      <c r="AC24" s="126">
        <v>9</v>
      </c>
    </row>
    <row r="25" spans="1:29" ht="14.4" customHeight="1">
      <c r="A25" s="83">
        <v>20</v>
      </c>
      <c r="B25" s="84" t="s">
        <v>183</v>
      </c>
      <c r="C25" s="84">
        <v>252235757</v>
      </c>
      <c r="D25" s="83" t="s">
        <v>164</v>
      </c>
      <c r="E25" s="84" t="s">
        <v>124</v>
      </c>
      <c r="F25" s="125">
        <v>161</v>
      </c>
      <c r="G25" s="126"/>
      <c r="H25" s="127">
        <v>1</v>
      </c>
      <c r="I25" s="128"/>
      <c r="J25" s="128"/>
      <c r="K25" s="125">
        <v>2</v>
      </c>
      <c r="L25" s="129"/>
      <c r="M25" s="129"/>
      <c r="N25" s="129"/>
      <c r="O25" s="126"/>
      <c r="P25" s="126"/>
      <c r="Q25" s="126">
        <v>1</v>
      </c>
      <c r="R25" s="132"/>
      <c r="S25" s="132">
        <v>2</v>
      </c>
      <c r="T25" s="132">
        <v>1</v>
      </c>
      <c r="U25" s="126">
        <v>1</v>
      </c>
      <c r="V25" s="127"/>
      <c r="W25" s="128">
        <v>1</v>
      </c>
      <c r="X25" s="128">
        <v>8</v>
      </c>
      <c r="Y25" s="125"/>
      <c r="Z25" s="129"/>
      <c r="AA25" s="129"/>
      <c r="AB25" s="126"/>
      <c r="AC25" s="126">
        <v>20</v>
      </c>
    </row>
    <row r="26" spans="1:29" ht="14.4" customHeight="1">
      <c r="A26" s="83">
        <v>21</v>
      </c>
      <c r="B26" s="84" t="s">
        <v>184</v>
      </c>
      <c r="C26" s="84">
        <v>252054726</v>
      </c>
      <c r="D26" s="83" t="s">
        <v>164</v>
      </c>
      <c r="E26" s="84" t="s">
        <v>124</v>
      </c>
      <c r="F26" s="125">
        <v>35</v>
      </c>
      <c r="G26" s="126"/>
      <c r="H26" s="127"/>
      <c r="I26" s="128"/>
      <c r="J26" s="128"/>
      <c r="K26" s="125"/>
      <c r="L26" s="129"/>
      <c r="M26" s="129"/>
      <c r="N26" s="129"/>
      <c r="O26" s="126"/>
      <c r="P26" s="126"/>
      <c r="Q26" s="126">
        <v>1</v>
      </c>
      <c r="R26" s="132"/>
      <c r="S26" s="132">
        <v>2</v>
      </c>
      <c r="T26" s="132">
        <v>1</v>
      </c>
      <c r="U26" s="126">
        <v>1</v>
      </c>
      <c r="V26" s="127"/>
      <c r="W26" s="128"/>
      <c r="X26" s="128">
        <v>2</v>
      </c>
      <c r="Y26" s="125"/>
      <c r="Z26" s="129">
        <v>28</v>
      </c>
      <c r="AA26" s="129">
        <v>46</v>
      </c>
      <c r="AB26" s="126"/>
      <c r="AC26" s="126">
        <v>11</v>
      </c>
    </row>
    <row r="27" spans="1:29" ht="14.4" customHeight="1">
      <c r="A27" s="83">
        <v>22</v>
      </c>
      <c r="B27" s="84" t="s">
        <v>185</v>
      </c>
      <c r="C27" s="84">
        <v>252262205</v>
      </c>
      <c r="D27" s="83" t="s">
        <v>164</v>
      </c>
      <c r="E27" s="84" t="s">
        <v>124</v>
      </c>
      <c r="F27" s="125">
        <v>372</v>
      </c>
      <c r="G27" s="126"/>
      <c r="H27" s="127">
        <v>3</v>
      </c>
      <c r="I27" s="128"/>
      <c r="J27" s="128"/>
      <c r="K27" s="125">
        <v>6</v>
      </c>
      <c r="L27" s="129">
        <v>1</v>
      </c>
      <c r="M27" s="129"/>
      <c r="N27" s="129"/>
      <c r="O27" s="126"/>
      <c r="P27" s="126"/>
      <c r="Q27" s="126"/>
      <c r="R27" s="132"/>
      <c r="S27" s="132">
        <v>2</v>
      </c>
      <c r="T27" s="132">
        <v>1</v>
      </c>
      <c r="U27" s="126">
        <v>1</v>
      </c>
      <c r="V27" s="127"/>
      <c r="W27" s="128">
        <v>3</v>
      </c>
      <c r="X27" s="128">
        <v>14</v>
      </c>
      <c r="Y27" s="125"/>
      <c r="Z27" s="129"/>
      <c r="AA27" s="129"/>
      <c r="AB27" s="126"/>
      <c r="AC27" s="126">
        <v>0</v>
      </c>
    </row>
    <row r="28" spans="1:29" ht="14.4" customHeight="1">
      <c r="A28" s="83">
        <v>23</v>
      </c>
      <c r="B28" s="84" t="s">
        <v>186</v>
      </c>
      <c r="C28" s="84">
        <v>252228805</v>
      </c>
      <c r="D28" s="83" t="s">
        <v>164</v>
      </c>
      <c r="E28" s="84" t="s">
        <v>124</v>
      </c>
      <c r="F28" s="125">
        <v>43</v>
      </c>
      <c r="G28" s="126"/>
      <c r="H28" s="127"/>
      <c r="I28" s="128"/>
      <c r="J28" s="128"/>
      <c r="K28" s="125"/>
      <c r="L28" s="129"/>
      <c r="M28" s="129"/>
      <c r="N28" s="129"/>
      <c r="O28" s="126"/>
      <c r="P28" s="126"/>
      <c r="Q28" s="126">
        <v>1</v>
      </c>
      <c r="R28" s="132"/>
      <c r="S28" s="132">
        <v>2</v>
      </c>
      <c r="T28" s="132">
        <v>1</v>
      </c>
      <c r="U28" s="126">
        <v>1</v>
      </c>
      <c r="V28" s="127"/>
      <c r="W28" s="128"/>
      <c r="X28" s="128">
        <v>2</v>
      </c>
      <c r="Y28" s="125"/>
      <c r="Z28" s="129"/>
      <c r="AA28" s="129"/>
      <c r="AB28" s="126"/>
      <c r="AC28" s="126">
        <v>4</v>
      </c>
    </row>
    <row r="29" spans="1:29" ht="14.4" customHeight="1">
      <c r="A29" s="83">
        <v>24</v>
      </c>
      <c r="B29" s="84" t="s">
        <v>187</v>
      </c>
      <c r="C29" s="84">
        <v>252227519</v>
      </c>
      <c r="D29" s="83" t="s">
        <v>164</v>
      </c>
      <c r="E29" s="84" t="s">
        <v>124</v>
      </c>
      <c r="F29" s="125">
        <v>54</v>
      </c>
      <c r="G29" s="126"/>
      <c r="H29" s="127"/>
      <c r="I29" s="128"/>
      <c r="J29" s="128"/>
      <c r="K29" s="125"/>
      <c r="L29" s="129">
        <v>1</v>
      </c>
      <c r="M29" s="129"/>
      <c r="N29" s="129"/>
      <c r="O29" s="126"/>
      <c r="P29" s="126"/>
      <c r="Q29" s="126"/>
      <c r="R29" s="132"/>
      <c r="S29" s="132">
        <v>2</v>
      </c>
      <c r="T29" s="132">
        <v>1</v>
      </c>
      <c r="U29" s="126">
        <v>1</v>
      </c>
      <c r="V29" s="127"/>
      <c r="W29" s="128"/>
      <c r="X29" s="128">
        <v>4</v>
      </c>
      <c r="Y29" s="125"/>
      <c r="Z29" s="129"/>
      <c r="AA29" s="129"/>
      <c r="AB29" s="126"/>
      <c r="AC29" s="126">
        <v>18</v>
      </c>
    </row>
    <row r="30" spans="1:29" ht="14.4" customHeight="1">
      <c r="A30" s="83">
        <v>25</v>
      </c>
      <c r="B30" s="84" t="s">
        <v>188</v>
      </c>
      <c r="C30" s="84">
        <v>252229874</v>
      </c>
      <c r="D30" s="83" t="s">
        <v>164</v>
      </c>
      <c r="E30" s="84" t="s">
        <v>124</v>
      </c>
      <c r="F30" s="125">
        <v>308</v>
      </c>
      <c r="G30" s="126"/>
      <c r="H30" s="127">
        <v>2</v>
      </c>
      <c r="I30" s="128"/>
      <c r="J30" s="128"/>
      <c r="K30" s="125">
        <v>6</v>
      </c>
      <c r="L30" s="129">
        <v>1</v>
      </c>
      <c r="M30" s="129"/>
      <c r="N30" s="129"/>
      <c r="O30" s="126"/>
      <c r="P30" s="126"/>
      <c r="Q30" s="126"/>
      <c r="R30" s="132"/>
      <c r="S30" s="132">
        <v>2</v>
      </c>
      <c r="T30" s="132">
        <v>1</v>
      </c>
      <c r="U30" s="126"/>
      <c r="V30" s="127"/>
      <c r="W30" s="128">
        <v>3</v>
      </c>
      <c r="X30" s="128">
        <v>14</v>
      </c>
      <c r="Y30" s="125"/>
      <c r="Z30" s="129"/>
      <c r="AA30" s="129"/>
      <c r="AB30" s="126"/>
      <c r="AC30" s="126">
        <v>12</v>
      </c>
    </row>
    <row r="31" spans="1:29" ht="14.4" customHeight="1">
      <c r="A31" s="83">
        <v>26</v>
      </c>
      <c r="B31" s="84" t="s">
        <v>189</v>
      </c>
      <c r="C31" s="84">
        <v>252229873</v>
      </c>
      <c r="D31" s="83" t="s">
        <v>164</v>
      </c>
      <c r="E31" s="84" t="s">
        <v>124</v>
      </c>
      <c r="F31" s="125">
        <v>253</v>
      </c>
      <c r="G31" s="126"/>
      <c r="H31" s="127">
        <v>2</v>
      </c>
      <c r="I31" s="128"/>
      <c r="J31" s="128"/>
      <c r="K31" s="125">
        <v>6</v>
      </c>
      <c r="L31" s="129">
        <v>1</v>
      </c>
      <c r="M31" s="129"/>
      <c r="N31" s="129"/>
      <c r="O31" s="126"/>
      <c r="P31" s="126"/>
      <c r="Q31" s="126"/>
      <c r="R31" s="132"/>
      <c r="S31" s="132">
        <v>2</v>
      </c>
      <c r="T31" s="132">
        <v>1</v>
      </c>
      <c r="U31" s="126">
        <v>1</v>
      </c>
      <c r="V31" s="127"/>
      <c r="W31" s="128">
        <v>3</v>
      </c>
      <c r="X31" s="128">
        <v>12</v>
      </c>
      <c r="Y31" s="125"/>
      <c r="Z31" s="129"/>
      <c r="AA31" s="129"/>
      <c r="AB31" s="126"/>
      <c r="AC31" s="126">
        <v>20</v>
      </c>
    </row>
    <row r="32" spans="1:29" ht="14.4" customHeight="1">
      <c r="A32" s="83">
        <v>27</v>
      </c>
      <c r="B32" s="84" t="s">
        <v>190</v>
      </c>
      <c r="C32" s="84">
        <v>252229872</v>
      </c>
      <c r="D32" s="83" t="s">
        <v>164</v>
      </c>
      <c r="E32" s="84" t="s">
        <v>124</v>
      </c>
      <c r="F32" s="125">
        <v>151</v>
      </c>
      <c r="G32" s="126">
        <v>1</v>
      </c>
      <c r="H32" s="127"/>
      <c r="I32" s="128"/>
      <c r="J32" s="128"/>
      <c r="K32" s="125">
        <v>2</v>
      </c>
      <c r="L32" s="129">
        <v>1</v>
      </c>
      <c r="M32" s="129"/>
      <c r="N32" s="129"/>
      <c r="O32" s="126"/>
      <c r="P32" s="126"/>
      <c r="Q32" s="126"/>
      <c r="R32" s="132"/>
      <c r="S32" s="132">
        <v>2</v>
      </c>
      <c r="T32" s="132">
        <v>1</v>
      </c>
      <c r="U32" s="126">
        <v>1</v>
      </c>
      <c r="V32" s="127"/>
      <c r="W32" s="128">
        <v>1</v>
      </c>
      <c r="X32" s="128">
        <v>8</v>
      </c>
      <c r="Y32" s="125"/>
      <c r="Z32" s="129"/>
      <c r="AA32" s="129"/>
      <c r="AB32" s="126"/>
      <c r="AC32" s="126">
        <v>10</v>
      </c>
    </row>
    <row r="33" spans="1:38" ht="14.4" customHeight="1">
      <c r="A33" s="83">
        <v>28</v>
      </c>
      <c r="B33" s="84" t="s">
        <v>191</v>
      </c>
      <c r="C33" s="84">
        <v>252229359</v>
      </c>
      <c r="D33" s="83" t="s">
        <v>164</v>
      </c>
      <c r="E33" s="84" t="s">
        <v>124</v>
      </c>
      <c r="F33" s="125">
        <v>99</v>
      </c>
      <c r="G33" s="126"/>
      <c r="H33" s="127"/>
      <c r="I33" s="128"/>
      <c r="J33" s="128"/>
      <c r="K33" s="125"/>
      <c r="L33" s="129"/>
      <c r="M33" s="129"/>
      <c r="N33" s="129"/>
      <c r="O33" s="126"/>
      <c r="P33" s="126"/>
      <c r="Q33" s="126">
        <v>1</v>
      </c>
      <c r="R33" s="132"/>
      <c r="S33" s="132">
        <v>2</v>
      </c>
      <c r="T33" s="132">
        <v>1</v>
      </c>
      <c r="U33" s="126">
        <v>1</v>
      </c>
      <c r="V33" s="127"/>
      <c r="W33" s="128"/>
      <c r="X33" s="128">
        <v>4</v>
      </c>
      <c r="Y33" s="125"/>
      <c r="Z33" s="129"/>
      <c r="AA33" s="129"/>
      <c r="AB33" s="126"/>
      <c r="AC33" s="126">
        <v>10</v>
      </c>
    </row>
    <row r="34" spans="1:38" ht="14.4" customHeight="1">
      <c r="A34" s="83">
        <v>29</v>
      </c>
      <c r="B34" s="84" t="s">
        <v>192</v>
      </c>
      <c r="C34" s="84">
        <v>252229982</v>
      </c>
      <c r="D34" s="83" t="s">
        <v>164</v>
      </c>
      <c r="E34" s="84" t="s">
        <v>124</v>
      </c>
      <c r="F34" s="125">
        <v>89</v>
      </c>
      <c r="G34" s="126"/>
      <c r="H34" s="127"/>
      <c r="I34" s="128"/>
      <c r="J34" s="128"/>
      <c r="K34" s="125"/>
      <c r="L34" s="129">
        <v>1</v>
      </c>
      <c r="M34" s="129"/>
      <c r="N34" s="129"/>
      <c r="O34" s="126"/>
      <c r="P34" s="126"/>
      <c r="Q34" s="126"/>
      <c r="R34" s="132"/>
      <c r="S34" s="132">
        <v>2</v>
      </c>
      <c r="T34" s="132">
        <v>1</v>
      </c>
      <c r="U34" s="126">
        <v>0</v>
      </c>
      <c r="V34" s="127"/>
      <c r="W34" s="128"/>
      <c r="X34" s="128">
        <v>6</v>
      </c>
      <c r="Y34" s="125"/>
      <c r="Z34" s="129"/>
      <c r="AA34" s="129"/>
      <c r="AB34" s="126"/>
      <c r="AC34" s="126">
        <v>15</v>
      </c>
    </row>
    <row r="35" spans="1:38" ht="14.4" customHeight="1">
      <c r="A35" s="83">
        <v>30</v>
      </c>
      <c r="B35" s="84" t="s">
        <v>193</v>
      </c>
      <c r="C35" s="84">
        <v>252262610</v>
      </c>
      <c r="D35" s="83" t="s">
        <v>164</v>
      </c>
      <c r="E35" s="84" t="s">
        <v>124</v>
      </c>
      <c r="F35" s="125">
        <v>333</v>
      </c>
      <c r="G35" s="126"/>
      <c r="H35" s="127"/>
      <c r="I35" s="128"/>
      <c r="J35" s="128"/>
      <c r="K35" s="125"/>
      <c r="L35" s="129"/>
      <c r="M35" s="129">
        <v>1</v>
      </c>
      <c r="N35" s="129"/>
      <c r="O35" s="126"/>
      <c r="P35" s="126"/>
      <c r="Q35" s="126"/>
      <c r="R35" s="132"/>
      <c r="S35" s="132">
        <v>2</v>
      </c>
      <c r="T35" s="132">
        <v>1</v>
      </c>
      <c r="U35" s="126">
        <v>1</v>
      </c>
      <c r="V35" s="127">
        <v>53</v>
      </c>
      <c r="W35" s="128"/>
      <c r="X35" s="128">
        <v>16</v>
      </c>
      <c r="Y35" s="125">
        <v>6</v>
      </c>
      <c r="Z35" s="129"/>
      <c r="AA35" s="129"/>
      <c r="AB35" s="126">
        <v>125</v>
      </c>
      <c r="AC35" s="126">
        <v>10</v>
      </c>
    </row>
    <row r="36" spans="1:38" ht="14.4" customHeight="1">
      <c r="A36" s="83">
        <v>31</v>
      </c>
      <c r="B36" s="84" t="s">
        <v>194</v>
      </c>
      <c r="C36" s="84">
        <v>252236784</v>
      </c>
      <c r="D36" s="83" t="s">
        <v>164</v>
      </c>
      <c r="E36" s="84" t="s">
        <v>124</v>
      </c>
      <c r="F36" s="125">
        <v>62</v>
      </c>
      <c r="G36" s="126"/>
      <c r="H36" s="127"/>
      <c r="I36" s="128"/>
      <c r="J36" s="128"/>
      <c r="K36" s="125"/>
      <c r="L36" s="129"/>
      <c r="M36" s="129"/>
      <c r="N36" s="129"/>
      <c r="O36" s="126"/>
      <c r="P36" s="126"/>
      <c r="Q36" s="126">
        <v>1</v>
      </c>
      <c r="R36" s="132"/>
      <c r="S36" s="132">
        <v>2</v>
      </c>
      <c r="T36" s="132">
        <v>1</v>
      </c>
      <c r="U36" s="126">
        <v>0</v>
      </c>
      <c r="V36" s="127">
        <v>18</v>
      </c>
      <c r="W36" s="128"/>
      <c r="X36" s="128">
        <v>4</v>
      </c>
      <c r="Y36" s="125">
        <v>2</v>
      </c>
      <c r="Z36" s="129"/>
      <c r="AA36" s="129"/>
      <c r="AB36" s="126">
        <v>38</v>
      </c>
      <c r="AC36" s="126">
        <v>5</v>
      </c>
    </row>
    <row r="37" spans="1:38" s="70" customFormat="1" ht="14.4" customHeight="1">
      <c r="A37" s="83">
        <v>32</v>
      </c>
      <c r="B37" s="84" t="s">
        <v>195</v>
      </c>
      <c r="C37" s="84">
        <v>252230810</v>
      </c>
      <c r="D37" s="83" t="s">
        <v>164</v>
      </c>
      <c r="E37" s="84" t="s">
        <v>124</v>
      </c>
      <c r="F37" s="125">
        <v>220</v>
      </c>
      <c r="G37" s="126"/>
      <c r="H37" s="127"/>
      <c r="I37" s="128"/>
      <c r="J37" s="128"/>
      <c r="K37" s="125"/>
      <c r="L37" s="129">
        <v>1</v>
      </c>
      <c r="M37" s="129"/>
      <c r="N37" s="129"/>
      <c r="O37" s="126"/>
      <c r="P37" s="126"/>
      <c r="Q37" s="126"/>
      <c r="R37" s="132"/>
      <c r="S37" s="132">
        <v>2</v>
      </c>
      <c r="T37" s="132">
        <v>1</v>
      </c>
      <c r="U37" s="126">
        <v>1</v>
      </c>
      <c r="V37" s="127"/>
      <c r="W37" s="128"/>
      <c r="X37" s="128">
        <v>10</v>
      </c>
      <c r="Y37" s="125"/>
      <c r="Z37" s="129"/>
      <c r="AA37" s="129"/>
      <c r="AB37" s="126"/>
      <c r="AC37" s="126">
        <v>10</v>
      </c>
      <c r="AD37" s="44"/>
      <c r="AE37" s="44"/>
      <c r="AF37" s="44"/>
      <c r="AG37" s="44"/>
      <c r="AH37" s="44"/>
      <c r="AI37" s="44"/>
      <c r="AJ37" s="44"/>
      <c r="AK37" s="44"/>
      <c r="AL37" s="44"/>
    </row>
    <row r="38" spans="1:38" s="70" customFormat="1" ht="14.4" customHeight="1">
      <c r="A38" s="83">
        <v>33</v>
      </c>
      <c r="B38" s="84" t="s">
        <v>196</v>
      </c>
      <c r="C38" s="84">
        <v>252228615</v>
      </c>
      <c r="D38" s="83" t="s">
        <v>164</v>
      </c>
      <c r="E38" s="84" t="s">
        <v>124</v>
      </c>
      <c r="F38" s="125">
        <v>61</v>
      </c>
      <c r="G38" s="126"/>
      <c r="H38" s="127"/>
      <c r="I38" s="128"/>
      <c r="J38" s="128"/>
      <c r="K38" s="125"/>
      <c r="L38" s="129">
        <v>1</v>
      </c>
      <c r="M38" s="129"/>
      <c r="N38" s="129"/>
      <c r="O38" s="126"/>
      <c r="P38" s="126"/>
      <c r="Q38" s="126"/>
      <c r="R38" s="132"/>
      <c r="S38" s="132">
        <v>2</v>
      </c>
      <c r="T38" s="132">
        <v>1</v>
      </c>
      <c r="U38" s="126">
        <v>1</v>
      </c>
      <c r="V38" s="127"/>
      <c r="W38" s="128"/>
      <c r="X38" s="128">
        <v>4</v>
      </c>
      <c r="Y38" s="125"/>
      <c r="Z38" s="129"/>
      <c r="AA38" s="129"/>
      <c r="AB38" s="126"/>
      <c r="AC38" s="126">
        <v>10</v>
      </c>
      <c r="AD38" s="44"/>
      <c r="AE38" s="44"/>
      <c r="AF38" s="44"/>
      <c r="AG38" s="44"/>
      <c r="AH38" s="44"/>
      <c r="AI38" s="44"/>
      <c r="AJ38" s="44"/>
      <c r="AK38" s="44"/>
      <c r="AL38" s="44"/>
    </row>
    <row r="39" spans="1:38" s="70" customFormat="1" ht="14.4" customHeight="1">
      <c r="A39" s="83">
        <v>34</v>
      </c>
      <c r="B39" s="84" t="s">
        <v>197</v>
      </c>
      <c r="C39" s="84">
        <v>252298758</v>
      </c>
      <c r="D39" s="83" t="s">
        <v>164</v>
      </c>
      <c r="E39" s="84" t="s">
        <v>124</v>
      </c>
      <c r="F39" s="125">
        <v>48</v>
      </c>
      <c r="G39" s="126"/>
      <c r="H39" s="127"/>
      <c r="I39" s="128"/>
      <c r="J39" s="128"/>
      <c r="K39" s="125"/>
      <c r="L39" s="129"/>
      <c r="M39" s="129"/>
      <c r="N39" s="129"/>
      <c r="O39" s="126"/>
      <c r="P39" s="126">
        <v>1</v>
      </c>
      <c r="Q39" s="126"/>
      <c r="R39" s="132"/>
      <c r="S39" s="132">
        <v>2</v>
      </c>
      <c r="T39" s="132">
        <v>1</v>
      </c>
      <c r="U39" s="126">
        <v>0</v>
      </c>
      <c r="V39" s="127"/>
      <c r="W39" s="128"/>
      <c r="X39" s="128">
        <v>2</v>
      </c>
      <c r="Y39" s="125"/>
      <c r="Z39" s="129">
        <v>24</v>
      </c>
      <c r="AA39" s="129">
        <v>35</v>
      </c>
      <c r="AB39" s="126"/>
      <c r="AC39" s="126">
        <v>10</v>
      </c>
      <c r="AD39" s="44"/>
      <c r="AE39" s="44"/>
      <c r="AF39" s="44"/>
      <c r="AG39" s="44"/>
      <c r="AH39" s="44"/>
      <c r="AI39" s="44"/>
      <c r="AJ39" s="44"/>
      <c r="AK39" s="44"/>
      <c r="AL39" s="44"/>
    </row>
    <row r="40" spans="1:38" s="70" customFormat="1" ht="14.4" customHeight="1">
      <c r="A40" s="83">
        <v>35</v>
      </c>
      <c r="B40" s="84" t="s">
        <v>198</v>
      </c>
      <c r="C40" s="84">
        <v>252298756</v>
      </c>
      <c r="D40" s="83" t="s">
        <v>164</v>
      </c>
      <c r="E40" s="84" t="s">
        <v>124</v>
      </c>
      <c r="F40" s="125">
        <v>47</v>
      </c>
      <c r="G40" s="126"/>
      <c r="H40" s="127"/>
      <c r="I40" s="128"/>
      <c r="J40" s="128"/>
      <c r="K40" s="125"/>
      <c r="L40" s="129">
        <v>1</v>
      </c>
      <c r="M40" s="129"/>
      <c r="N40" s="129"/>
      <c r="O40" s="126"/>
      <c r="P40" s="126"/>
      <c r="Q40" s="126"/>
      <c r="R40" s="132"/>
      <c r="S40" s="132">
        <v>2</v>
      </c>
      <c r="T40" s="132">
        <v>1</v>
      </c>
      <c r="U40" s="126">
        <v>0</v>
      </c>
      <c r="V40" s="127"/>
      <c r="W40" s="128"/>
      <c r="X40" s="128">
        <v>2</v>
      </c>
      <c r="Y40" s="125"/>
      <c r="Z40" s="129">
        <v>45</v>
      </c>
      <c r="AA40" s="129">
        <v>65</v>
      </c>
      <c r="AB40" s="126"/>
      <c r="AC40" s="126">
        <v>8</v>
      </c>
      <c r="AD40" s="44"/>
      <c r="AE40" s="44"/>
      <c r="AF40" s="44"/>
      <c r="AG40" s="44"/>
      <c r="AH40" s="44"/>
      <c r="AI40" s="44"/>
      <c r="AJ40" s="44"/>
      <c r="AK40" s="44"/>
      <c r="AL40" s="44"/>
    </row>
    <row r="41" spans="1:38" s="70" customFormat="1" ht="14.4" customHeight="1">
      <c r="A41" s="83">
        <v>36</v>
      </c>
      <c r="B41" s="84" t="s">
        <v>199</v>
      </c>
      <c r="C41" s="84">
        <v>252056583</v>
      </c>
      <c r="D41" s="83" t="s">
        <v>164</v>
      </c>
      <c r="E41" s="84" t="s">
        <v>124</v>
      </c>
      <c r="F41" s="125">
        <v>269</v>
      </c>
      <c r="G41" s="126"/>
      <c r="H41" s="127"/>
      <c r="I41" s="128"/>
      <c r="J41" s="128"/>
      <c r="K41" s="125"/>
      <c r="L41" s="129"/>
      <c r="M41" s="129"/>
      <c r="N41" s="129"/>
      <c r="O41" s="126"/>
      <c r="P41" s="126"/>
      <c r="Q41" s="126">
        <v>1</v>
      </c>
      <c r="R41" s="132"/>
      <c r="S41" s="132">
        <v>2</v>
      </c>
      <c r="T41" s="132">
        <v>1</v>
      </c>
      <c r="U41" s="126">
        <v>1</v>
      </c>
      <c r="V41" s="127"/>
      <c r="W41" s="128"/>
      <c r="X41" s="128">
        <v>12</v>
      </c>
      <c r="Y41" s="125"/>
      <c r="Z41" s="129"/>
      <c r="AA41" s="129"/>
      <c r="AB41" s="126"/>
      <c r="AC41" s="126">
        <v>21</v>
      </c>
      <c r="AD41" s="44"/>
      <c r="AE41" s="44"/>
      <c r="AF41" s="44"/>
      <c r="AG41" s="44"/>
      <c r="AH41" s="44"/>
      <c r="AI41" s="44"/>
      <c r="AJ41" s="44"/>
      <c r="AK41" s="44"/>
      <c r="AL41" s="44"/>
    </row>
    <row r="42" spans="1:38" s="70" customFormat="1" ht="14.4" customHeight="1">
      <c r="A42" s="83">
        <v>37</v>
      </c>
      <c r="B42" s="84" t="s">
        <v>200</v>
      </c>
      <c r="C42" s="84">
        <v>252262299</v>
      </c>
      <c r="D42" s="83" t="s">
        <v>164</v>
      </c>
      <c r="E42" s="84" t="s">
        <v>124</v>
      </c>
      <c r="F42" s="125">
        <v>159</v>
      </c>
      <c r="G42" s="126"/>
      <c r="H42" s="127"/>
      <c r="I42" s="128"/>
      <c r="J42" s="128"/>
      <c r="K42" s="125"/>
      <c r="L42" s="129">
        <v>1</v>
      </c>
      <c r="M42" s="129"/>
      <c r="N42" s="129"/>
      <c r="O42" s="126"/>
      <c r="P42" s="126"/>
      <c r="Q42" s="126"/>
      <c r="R42" s="132"/>
      <c r="S42" s="132">
        <v>2</v>
      </c>
      <c r="T42" s="132">
        <v>1</v>
      </c>
      <c r="U42" s="126">
        <v>0</v>
      </c>
      <c r="V42" s="127"/>
      <c r="W42" s="128"/>
      <c r="X42" s="128">
        <v>8</v>
      </c>
      <c r="Y42" s="125"/>
      <c r="Z42" s="129"/>
      <c r="AA42" s="129"/>
      <c r="AB42" s="126"/>
      <c r="AC42" s="126">
        <v>10</v>
      </c>
      <c r="AD42" s="44"/>
      <c r="AE42" s="44"/>
      <c r="AF42" s="44"/>
      <c r="AG42" s="44"/>
      <c r="AH42" s="44"/>
      <c r="AI42" s="44"/>
      <c r="AJ42" s="44"/>
      <c r="AK42" s="44"/>
      <c r="AL42" s="44"/>
    </row>
    <row r="43" spans="1:38" s="70" customFormat="1" ht="14.4" customHeight="1">
      <c r="A43" s="83">
        <v>38</v>
      </c>
      <c r="B43" s="84" t="s">
        <v>201</v>
      </c>
      <c r="C43" s="84">
        <v>252221374</v>
      </c>
      <c r="D43" s="83" t="s">
        <v>164</v>
      </c>
      <c r="E43" s="84" t="s">
        <v>124</v>
      </c>
      <c r="F43" s="125">
        <v>79</v>
      </c>
      <c r="G43" s="126"/>
      <c r="H43" s="127"/>
      <c r="I43" s="128"/>
      <c r="J43" s="128"/>
      <c r="K43" s="125"/>
      <c r="L43" s="129">
        <v>1</v>
      </c>
      <c r="M43" s="129"/>
      <c r="N43" s="129"/>
      <c r="O43" s="126"/>
      <c r="P43" s="126"/>
      <c r="Q43" s="126"/>
      <c r="R43" s="132"/>
      <c r="S43" s="132">
        <v>2</v>
      </c>
      <c r="T43" s="132">
        <v>1</v>
      </c>
      <c r="U43" s="126">
        <v>1</v>
      </c>
      <c r="V43" s="127"/>
      <c r="W43" s="128"/>
      <c r="X43" s="128">
        <v>2</v>
      </c>
      <c r="Y43" s="125"/>
      <c r="Z43" s="129"/>
      <c r="AA43" s="129"/>
      <c r="AB43" s="126"/>
      <c r="AC43" s="126">
        <v>8</v>
      </c>
      <c r="AD43" s="44"/>
      <c r="AE43" s="44"/>
      <c r="AF43" s="44"/>
      <c r="AG43" s="44"/>
      <c r="AH43" s="44"/>
      <c r="AI43" s="44"/>
      <c r="AJ43" s="44"/>
      <c r="AK43" s="44"/>
      <c r="AL43" s="44"/>
    </row>
    <row r="44" spans="1:38" s="70" customFormat="1" ht="14.4" customHeight="1">
      <c r="A44" s="83">
        <v>39</v>
      </c>
      <c r="B44" s="84" t="s">
        <v>202</v>
      </c>
      <c r="C44" s="84">
        <v>252229895</v>
      </c>
      <c r="D44" s="83" t="s">
        <v>164</v>
      </c>
      <c r="E44" s="84" t="s">
        <v>124</v>
      </c>
      <c r="F44" s="125">
        <v>103</v>
      </c>
      <c r="G44" s="126"/>
      <c r="H44" s="127"/>
      <c r="I44" s="128"/>
      <c r="J44" s="128"/>
      <c r="K44" s="125"/>
      <c r="L44" s="129">
        <v>1</v>
      </c>
      <c r="M44" s="129"/>
      <c r="N44" s="129"/>
      <c r="O44" s="126"/>
      <c r="P44" s="126"/>
      <c r="Q44" s="126"/>
      <c r="R44" s="132"/>
      <c r="S44" s="132">
        <v>2</v>
      </c>
      <c r="T44" s="132">
        <v>1</v>
      </c>
      <c r="U44" s="126">
        <v>1</v>
      </c>
      <c r="V44" s="127"/>
      <c r="W44" s="128"/>
      <c r="X44" s="128">
        <v>6</v>
      </c>
      <c r="Y44" s="125"/>
      <c r="Z44" s="129"/>
      <c r="AA44" s="129"/>
      <c r="AB44" s="126"/>
      <c r="AC44" s="126">
        <v>10</v>
      </c>
      <c r="AD44" s="44"/>
      <c r="AE44" s="44"/>
      <c r="AF44" s="44"/>
      <c r="AG44" s="44"/>
      <c r="AH44" s="44"/>
      <c r="AI44" s="44"/>
      <c r="AJ44" s="44"/>
      <c r="AK44" s="44"/>
      <c r="AL44" s="44"/>
    </row>
    <row r="45" spans="1:38" s="70" customFormat="1" ht="14.4" customHeight="1">
      <c r="A45" s="83">
        <v>40</v>
      </c>
      <c r="B45" s="84" t="s">
        <v>203</v>
      </c>
      <c r="C45" s="84">
        <v>252229938</v>
      </c>
      <c r="D45" s="83" t="s">
        <v>164</v>
      </c>
      <c r="E45" s="84" t="s">
        <v>124</v>
      </c>
      <c r="F45" s="125">
        <v>89</v>
      </c>
      <c r="G45" s="126"/>
      <c r="H45" s="127"/>
      <c r="I45" s="128"/>
      <c r="J45" s="128"/>
      <c r="K45" s="125"/>
      <c r="L45" s="129"/>
      <c r="M45" s="129"/>
      <c r="N45" s="129"/>
      <c r="O45" s="126"/>
      <c r="P45" s="126"/>
      <c r="Q45" s="126">
        <v>1</v>
      </c>
      <c r="R45" s="132"/>
      <c r="S45" s="132">
        <v>2</v>
      </c>
      <c r="T45" s="132">
        <v>1</v>
      </c>
      <c r="U45" s="126">
        <v>0</v>
      </c>
      <c r="V45" s="127"/>
      <c r="W45" s="128"/>
      <c r="X45" s="128">
        <v>4</v>
      </c>
      <c r="Y45" s="125"/>
      <c r="Z45" s="129"/>
      <c r="AA45" s="129"/>
      <c r="AB45" s="126"/>
      <c r="AC45" s="126">
        <v>12</v>
      </c>
      <c r="AD45" s="44"/>
      <c r="AE45" s="44"/>
      <c r="AF45" s="44"/>
      <c r="AG45" s="44"/>
      <c r="AH45" s="44"/>
      <c r="AI45" s="44"/>
      <c r="AJ45" s="44"/>
      <c r="AK45" s="44"/>
      <c r="AL45" s="44"/>
    </row>
    <row r="46" spans="1:38" s="70" customFormat="1" ht="14.4" customHeight="1">
      <c r="A46" s="83">
        <v>41</v>
      </c>
      <c r="B46" s="84" t="s">
        <v>204</v>
      </c>
      <c r="C46" s="84">
        <v>252229936</v>
      </c>
      <c r="D46" s="83" t="s">
        <v>164</v>
      </c>
      <c r="E46" s="84" t="s">
        <v>124</v>
      </c>
      <c r="F46" s="125">
        <v>271</v>
      </c>
      <c r="G46" s="126"/>
      <c r="H46" s="127"/>
      <c r="I46" s="128"/>
      <c r="J46" s="128"/>
      <c r="K46" s="125"/>
      <c r="L46" s="129"/>
      <c r="M46" s="129"/>
      <c r="N46" s="129"/>
      <c r="O46" s="126"/>
      <c r="P46" s="126"/>
      <c r="Q46" s="126">
        <v>1</v>
      </c>
      <c r="R46" s="132"/>
      <c r="S46" s="132">
        <v>2</v>
      </c>
      <c r="T46" s="132">
        <v>1</v>
      </c>
      <c r="U46" s="126">
        <v>1</v>
      </c>
      <c r="V46" s="127"/>
      <c r="W46" s="128"/>
      <c r="X46" s="128">
        <v>10</v>
      </c>
      <c r="Y46" s="125"/>
      <c r="Z46" s="129"/>
      <c r="AA46" s="129"/>
      <c r="AB46" s="126"/>
      <c r="AC46" s="126">
        <v>10</v>
      </c>
      <c r="AD46" s="44"/>
      <c r="AE46" s="44"/>
      <c r="AF46" s="44"/>
      <c r="AG46" s="44"/>
      <c r="AH46" s="44"/>
      <c r="AI46" s="44"/>
      <c r="AJ46" s="44"/>
      <c r="AK46" s="44"/>
      <c r="AL46" s="44"/>
    </row>
    <row r="47" spans="1:38" s="70" customFormat="1" ht="14.4" customHeight="1">
      <c r="A47" s="83">
        <v>42</v>
      </c>
      <c r="B47" s="84" t="s">
        <v>205</v>
      </c>
      <c r="C47" s="84">
        <v>252230620</v>
      </c>
      <c r="D47" s="83" t="s">
        <v>164</v>
      </c>
      <c r="E47" s="84" t="s">
        <v>124</v>
      </c>
      <c r="F47" s="125">
        <v>123</v>
      </c>
      <c r="G47" s="126"/>
      <c r="H47" s="127"/>
      <c r="I47" s="128"/>
      <c r="J47" s="128"/>
      <c r="K47" s="125"/>
      <c r="L47" s="129"/>
      <c r="M47" s="129"/>
      <c r="N47" s="129"/>
      <c r="O47" s="126"/>
      <c r="P47" s="126">
        <v>1</v>
      </c>
      <c r="Q47" s="126"/>
      <c r="R47" s="132"/>
      <c r="S47" s="132">
        <v>2</v>
      </c>
      <c r="T47" s="132">
        <v>1</v>
      </c>
      <c r="U47" s="126">
        <v>1</v>
      </c>
      <c r="V47" s="127"/>
      <c r="W47" s="128"/>
      <c r="X47" s="128">
        <v>8</v>
      </c>
      <c r="Y47" s="125"/>
      <c r="Z47" s="129"/>
      <c r="AA47" s="129"/>
      <c r="AB47" s="126"/>
      <c r="AC47" s="126">
        <v>23</v>
      </c>
      <c r="AD47" s="44"/>
      <c r="AE47" s="44"/>
      <c r="AF47" s="44"/>
      <c r="AG47" s="44"/>
      <c r="AH47" s="44"/>
      <c r="AI47" s="44"/>
      <c r="AJ47" s="44"/>
      <c r="AK47" s="44"/>
      <c r="AL47" s="44"/>
    </row>
    <row r="48" spans="1:38" s="70" customFormat="1" ht="14.4" customHeight="1">
      <c r="A48" s="83">
        <v>43</v>
      </c>
      <c r="B48" s="84" t="s">
        <v>206</v>
      </c>
      <c r="C48" s="84">
        <v>252262344</v>
      </c>
      <c r="D48" s="83" t="s">
        <v>164</v>
      </c>
      <c r="E48" s="84" t="s">
        <v>124</v>
      </c>
      <c r="F48" s="125">
        <v>177</v>
      </c>
      <c r="G48" s="126"/>
      <c r="H48" s="127"/>
      <c r="I48" s="128"/>
      <c r="J48" s="128"/>
      <c r="K48" s="125"/>
      <c r="L48" s="129">
        <v>1</v>
      </c>
      <c r="M48" s="129"/>
      <c r="N48" s="129"/>
      <c r="O48" s="126"/>
      <c r="P48" s="126"/>
      <c r="Q48" s="126"/>
      <c r="R48" s="132"/>
      <c r="S48" s="132">
        <v>2</v>
      </c>
      <c r="T48" s="132">
        <v>1</v>
      </c>
      <c r="U48" s="126">
        <v>1</v>
      </c>
      <c r="V48" s="127"/>
      <c r="W48" s="128"/>
      <c r="X48" s="128">
        <v>10</v>
      </c>
      <c r="Y48" s="125"/>
      <c r="Z48" s="129"/>
      <c r="AA48" s="129"/>
      <c r="AB48" s="126"/>
      <c r="AC48" s="126">
        <v>0</v>
      </c>
      <c r="AD48" s="44"/>
      <c r="AE48" s="44"/>
      <c r="AF48" s="44"/>
      <c r="AG48" s="44"/>
      <c r="AH48" s="44"/>
      <c r="AI48" s="44"/>
      <c r="AJ48" s="44"/>
      <c r="AK48" s="44"/>
      <c r="AL48" s="44"/>
    </row>
    <row r="49" spans="1:38" s="70" customFormat="1" ht="14.4" customHeight="1">
      <c r="A49" s="83">
        <v>44</v>
      </c>
      <c r="B49" s="84" t="s">
        <v>207</v>
      </c>
      <c r="C49" s="84">
        <v>252121876</v>
      </c>
      <c r="D49" s="83" t="s">
        <v>164</v>
      </c>
      <c r="E49" s="84" t="s">
        <v>124</v>
      </c>
      <c r="F49" s="125">
        <v>199</v>
      </c>
      <c r="G49" s="126"/>
      <c r="H49" s="127"/>
      <c r="I49" s="128"/>
      <c r="J49" s="128"/>
      <c r="K49" s="125"/>
      <c r="L49" s="129"/>
      <c r="M49" s="129"/>
      <c r="N49" s="129"/>
      <c r="O49" s="126"/>
      <c r="P49" s="126"/>
      <c r="Q49" s="126">
        <v>1</v>
      </c>
      <c r="R49" s="132"/>
      <c r="S49" s="132">
        <v>2</v>
      </c>
      <c r="T49" s="132">
        <v>1</v>
      </c>
      <c r="U49" s="126">
        <v>1</v>
      </c>
      <c r="V49" s="127"/>
      <c r="W49" s="128"/>
      <c r="X49" s="128">
        <v>10</v>
      </c>
      <c r="Y49" s="125"/>
      <c r="Z49" s="129"/>
      <c r="AA49" s="129"/>
      <c r="AB49" s="126"/>
      <c r="AC49" s="126">
        <v>29</v>
      </c>
      <c r="AD49" s="44"/>
      <c r="AE49" s="44"/>
      <c r="AF49" s="44"/>
      <c r="AG49" s="44"/>
      <c r="AH49" s="44"/>
      <c r="AI49" s="44"/>
      <c r="AJ49" s="44"/>
      <c r="AK49" s="44"/>
      <c r="AL49" s="44"/>
    </row>
    <row r="50" spans="1:38" s="70" customFormat="1" ht="14.4" customHeight="1">
      <c r="A50" s="83">
        <v>45</v>
      </c>
      <c r="B50" s="84" t="s">
        <v>208</v>
      </c>
      <c r="C50" s="84">
        <v>252229916</v>
      </c>
      <c r="D50" s="83" t="s">
        <v>164</v>
      </c>
      <c r="E50" s="84" t="s">
        <v>124</v>
      </c>
      <c r="F50" s="125">
        <v>337</v>
      </c>
      <c r="G50" s="126"/>
      <c r="H50" s="127">
        <v>2</v>
      </c>
      <c r="I50" s="128"/>
      <c r="J50" s="128"/>
      <c r="K50" s="125">
        <v>4</v>
      </c>
      <c r="L50" s="129">
        <v>1</v>
      </c>
      <c r="M50" s="129"/>
      <c r="N50" s="129"/>
      <c r="O50" s="126"/>
      <c r="P50" s="126"/>
      <c r="Q50" s="126"/>
      <c r="R50" s="132"/>
      <c r="S50" s="132">
        <v>2</v>
      </c>
      <c r="T50" s="132">
        <v>1</v>
      </c>
      <c r="U50" s="126">
        <v>1</v>
      </c>
      <c r="V50" s="127"/>
      <c r="W50" s="128">
        <v>2</v>
      </c>
      <c r="X50" s="128">
        <v>18</v>
      </c>
      <c r="Y50" s="125"/>
      <c r="Z50" s="129"/>
      <c r="AA50" s="129"/>
      <c r="AB50" s="126"/>
      <c r="AC50" s="126">
        <v>9</v>
      </c>
      <c r="AD50" s="44"/>
      <c r="AE50" s="44"/>
      <c r="AF50" s="44"/>
      <c r="AG50" s="44"/>
      <c r="AH50" s="44"/>
      <c r="AI50" s="44"/>
      <c r="AJ50" s="44"/>
      <c r="AK50" s="44"/>
      <c r="AL50" s="44"/>
    </row>
    <row r="51" spans="1:38" s="70" customFormat="1" ht="14.4" customHeight="1">
      <c r="A51" s="83">
        <v>46</v>
      </c>
      <c r="B51" s="84" t="s">
        <v>209</v>
      </c>
      <c r="C51" s="84">
        <v>252051941</v>
      </c>
      <c r="D51" s="83" t="s">
        <v>164</v>
      </c>
      <c r="E51" s="84" t="s">
        <v>124</v>
      </c>
      <c r="F51" s="125">
        <v>50</v>
      </c>
      <c r="G51" s="126"/>
      <c r="H51" s="127"/>
      <c r="I51" s="128"/>
      <c r="J51" s="128"/>
      <c r="K51" s="125"/>
      <c r="L51" s="129"/>
      <c r="M51" s="129"/>
      <c r="N51" s="129"/>
      <c r="O51" s="126"/>
      <c r="P51" s="126"/>
      <c r="Q51" s="126">
        <v>1</v>
      </c>
      <c r="R51" s="132"/>
      <c r="S51" s="132">
        <v>2</v>
      </c>
      <c r="T51" s="132">
        <v>1</v>
      </c>
      <c r="U51" s="126">
        <v>1</v>
      </c>
      <c r="V51" s="127">
        <v>13</v>
      </c>
      <c r="W51" s="128"/>
      <c r="X51" s="128">
        <v>4</v>
      </c>
      <c r="Y51" s="125">
        <v>2</v>
      </c>
      <c r="Z51" s="129"/>
      <c r="AA51" s="129"/>
      <c r="AB51" s="126">
        <v>15</v>
      </c>
      <c r="AC51" s="126">
        <v>8</v>
      </c>
      <c r="AD51" s="44"/>
      <c r="AE51" s="44"/>
      <c r="AF51" s="44"/>
      <c r="AG51" s="44"/>
      <c r="AH51" s="44"/>
      <c r="AI51" s="44"/>
      <c r="AJ51" s="44"/>
      <c r="AK51" s="44"/>
      <c r="AL51" s="44"/>
    </row>
    <row r="52" spans="1:38" s="70" customFormat="1" ht="14.4" customHeight="1">
      <c r="A52" s="83">
        <v>47</v>
      </c>
      <c r="B52" s="84" t="s">
        <v>210</v>
      </c>
      <c r="C52" s="84">
        <v>252230602</v>
      </c>
      <c r="D52" s="83" t="s">
        <v>164</v>
      </c>
      <c r="E52" s="84" t="s">
        <v>124</v>
      </c>
      <c r="F52" s="125">
        <v>451</v>
      </c>
      <c r="G52" s="126"/>
      <c r="H52" s="127"/>
      <c r="I52" s="128"/>
      <c r="J52" s="128"/>
      <c r="K52" s="125"/>
      <c r="L52" s="129"/>
      <c r="M52" s="129">
        <v>1</v>
      </c>
      <c r="N52" s="129"/>
      <c r="O52" s="126"/>
      <c r="P52" s="126"/>
      <c r="Q52" s="126"/>
      <c r="R52" s="132"/>
      <c r="S52" s="132">
        <v>2</v>
      </c>
      <c r="T52" s="132">
        <v>1</v>
      </c>
      <c r="U52" s="126">
        <v>1</v>
      </c>
      <c r="V52" s="127"/>
      <c r="W52" s="128"/>
      <c r="X52" s="128">
        <v>16</v>
      </c>
      <c r="Y52" s="125"/>
      <c r="Z52" s="129"/>
      <c r="AA52" s="129"/>
      <c r="AB52" s="126"/>
      <c r="AC52" s="126">
        <v>9</v>
      </c>
      <c r="AD52" s="44"/>
      <c r="AE52" s="44"/>
      <c r="AF52" s="44"/>
      <c r="AG52" s="44"/>
      <c r="AH52" s="44"/>
      <c r="AI52" s="44"/>
      <c r="AJ52" s="44"/>
      <c r="AK52" s="44"/>
      <c r="AL52" s="44"/>
    </row>
    <row r="53" spans="1:38" s="70" customFormat="1" ht="14.4" customHeight="1">
      <c r="A53" s="83">
        <v>48</v>
      </c>
      <c r="B53" s="84" t="s">
        <v>211</v>
      </c>
      <c r="C53" s="84">
        <v>252229846</v>
      </c>
      <c r="D53" s="83" t="s">
        <v>164</v>
      </c>
      <c r="E53" s="84" t="s">
        <v>124</v>
      </c>
      <c r="F53" s="125">
        <v>67</v>
      </c>
      <c r="G53" s="126"/>
      <c r="H53" s="127"/>
      <c r="I53" s="128"/>
      <c r="J53" s="128"/>
      <c r="K53" s="125"/>
      <c r="L53" s="129">
        <v>1</v>
      </c>
      <c r="M53" s="129"/>
      <c r="N53" s="129"/>
      <c r="O53" s="126"/>
      <c r="P53" s="126"/>
      <c r="Q53" s="126"/>
      <c r="R53" s="132"/>
      <c r="S53" s="132">
        <v>2</v>
      </c>
      <c r="T53" s="132">
        <v>1</v>
      </c>
      <c r="U53" s="126">
        <v>0</v>
      </c>
      <c r="V53" s="127"/>
      <c r="W53" s="128"/>
      <c r="X53" s="128">
        <v>0</v>
      </c>
      <c r="Y53" s="125"/>
      <c r="Z53" s="129"/>
      <c r="AA53" s="129"/>
      <c r="AB53" s="126"/>
      <c r="AC53" s="126">
        <v>9</v>
      </c>
      <c r="AD53" s="44"/>
      <c r="AE53" s="44"/>
      <c r="AF53" s="44"/>
      <c r="AG53" s="44"/>
      <c r="AH53" s="44"/>
      <c r="AI53" s="44"/>
      <c r="AJ53" s="44"/>
      <c r="AK53" s="44"/>
      <c r="AL53" s="44"/>
    </row>
    <row r="54" spans="1:38" s="70" customFormat="1" ht="14.4" customHeight="1">
      <c r="A54" s="83">
        <v>49</v>
      </c>
      <c r="B54" s="84" t="s">
        <v>212</v>
      </c>
      <c r="C54" s="84">
        <v>252226000</v>
      </c>
      <c r="D54" s="83" t="s">
        <v>164</v>
      </c>
      <c r="E54" s="84" t="s">
        <v>124</v>
      </c>
      <c r="F54" s="125">
        <v>75</v>
      </c>
      <c r="G54" s="126"/>
      <c r="H54" s="127"/>
      <c r="I54" s="128"/>
      <c r="J54" s="128"/>
      <c r="K54" s="125"/>
      <c r="L54" s="129"/>
      <c r="M54" s="129"/>
      <c r="N54" s="129"/>
      <c r="O54" s="126"/>
      <c r="P54" s="126"/>
      <c r="Q54" s="126">
        <v>1</v>
      </c>
      <c r="R54" s="132"/>
      <c r="S54" s="132">
        <v>2</v>
      </c>
      <c r="T54" s="132">
        <v>1</v>
      </c>
      <c r="U54" s="126">
        <v>1</v>
      </c>
      <c r="V54" s="127"/>
      <c r="W54" s="128"/>
      <c r="X54" s="128">
        <v>4</v>
      </c>
      <c r="Y54" s="125"/>
      <c r="Z54" s="129"/>
      <c r="AA54" s="129"/>
      <c r="AB54" s="126"/>
      <c r="AC54" s="126">
        <v>12</v>
      </c>
      <c r="AD54" s="44"/>
      <c r="AE54" s="44"/>
      <c r="AF54" s="44"/>
      <c r="AG54" s="44"/>
      <c r="AH54" s="44"/>
      <c r="AI54" s="44"/>
      <c r="AJ54" s="44"/>
      <c r="AK54" s="44"/>
      <c r="AL54" s="44"/>
    </row>
    <row r="55" spans="1:38" s="70" customFormat="1" ht="14.4" customHeight="1">
      <c r="A55" s="83">
        <v>50</v>
      </c>
      <c r="B55" s="84" t="s">
        <v>213</v>
      </c>
      <c r="C55" s="84">
        <v>252230899</v>
      </c>
      <c r="D55" s="83" t="s">
        <v>164</v>
      </c>
      <c r="E55" s="84" t="s">
        <v>124</v>
      </c>
      <c r="F55" s="125">
        <v>80</v>
      </c>
      <c r="G55" s="126"/>
      <c r="H55" s="127"/>
      <c r="I55" s="128"/>
      <c r="J55" s="128"/>
      <c r="K55" s="125"/>
      <c r="L55" s="129">
        <v>1</v>
      </c>
      <c r="M55" s="129"/>
      <c r="N55" s="129"/>
      <c r="O55" s="126"/>
      <c r="P55" s="126"/>
      <c r="Q55" s="126"/>
      <c r="R55" s="132"/>
      <c r="S55" s="132">
        <v>2</v>
      </c>
      <c r="T55" s="132">
        <v>1</v>
      </c>
      <c r="U55" s="126">
        <v>1</v>
      </c>
      <c r="V55" s="127"/>
      <c r="W55" s="128"/>
      <c r="X55" s="128">
        <v>4</v>
      </c>
      <c r="Y55" s="125"/>
      <c r="Z55" s="129"/>
      <c r="AA55" s="129"/>
      <c r="AB55" s="126"/>
      <c r="AC55" s="126">
        <v>6</v>
      </c>
      <c r="AD55" s="44"/>
      <c r="AE55" s="44"/>
      <c r="AF55" s="44"/>
      <c r="AG55" s="44"/>
      <c r="AH55" s="44"/>
      <c r="AI55" s="44"/>
      <c r="AJ55" s="44"/>
      <c r="AK55" s="44"/>
      <c r="AL55" s="44"/>
    </row>
    <row r="56" spans="1:38" s="70" customFormat="1" ht="14.4" customHeight="1">
      <c r="A56" s="83">
        <v>51</v>
      </c>
      <c r="B56" s="84" t="s">
        <v>214</v>
      </c>
      <c r="C56" s="84">
        <v>252234111</v>
      </c>
      <c r="D56" s="83" t="s">
        <v>164</v>
      </c>
      <c r="E56" s="84" t="s">
        <v>124</v>
      </c>
      <c r="F56" s="125">
        <v>39</v>
      </c>
      <c r="G56" s="126"/>
      <c r="H56" s="127"/>
      <c r="I56" s="128"/>
      <c r="J56" s="128"/>
      <c r="K56" s="125"/>
      <c r="L56" s="129">
        <v>1</v>
      </c>
      <c r="M56" s="129"/>
      <c r="N56" s="129"/>
      <c r="O56" s="126"/>
      <c r="P56" s="126"/>
      <c r="Q56" s="126"/>
      <c r="R56" s="132"/>
      <c r="S56" s="132">
        <v>2</v>
      </c>
      <c r="T56" s="132">
        <v>1</v>
      </c>
      <c r="U56" s="126">
        <v>1</v>
      </c>
      <c r="V56" s="127"/>
      <c r="W56" s="128"/>
      <c r="X56" s="128">
        <v>2</v>
      </c>
      <c r="Y56" s="125"/>
      <c r="Z56" s="129"/>
      <c r="AA56" s="129"/>
      <c r="AB56" s="126"/>
      <c r="AC56" s="126">
        <v>10</v>
      </c>
      <c r="AD56" s="44"/>
      <c r="AE56" s="44"/>
      <c r="AF56" s="44"/>
      <c r="AG56" s="44"/>
      <c r="AH56" s="44"/>
      <c r="AI56" s="44"/>
      <c r="AJ56" s="44"/>
      <c r="AK56" s="44"/>
      <c r="AL56" s="44"/>
    </row>
    <row r="57" spans="1:38" s="70" customFormat="1" ht="14.4" customHeight="1">
      <c r="A57" s="83">
        <v>52</v>
      </c>
      <c r="B57" s="84" t="s">
        <v>215</v>
      </c>
      <c r="C57" s="84">
        <v>252229883</v>
      </c>
      <c r="D57" s="83" t="s">
        <v>164</v>
      </c>
      <c r="E57" s="84" t="s">
        <v>124</v>
      </c>
      <c r="F57" s="125">
        <v>64</v>
      </c>
      <c r="G57" s="126"/>
      <c r="H57" s="127"/>
      <c r="I57" s="128"/>
      <c r="J57" s="128"/>
      <c r="K57" s="125"/>
      <c r="L57" s="129"/>
      <c r="M57" s="129">
        <v>1</v>
      </c>
      <c r="N57" s="129"/>
      <c r="O57" s="126"/>
      <c r="P57" s="126"/>
      <c r="Q57" s="126"/>
      <c r="R57" s="132"/>
      <c r="S57" s="132">
        <v>2</v>
      </c>
      <c r="T57" s="132">
        <v>1</v>
      </c>
      <c r="U57" s="126">
        <v>1</v>
      </c>
      <c r="V57" s="127"/>
      <c r="W57" s="128"/>
      <c r="X57" s="128">
        <v>4</v>
      </c>
      <c r="Y57" s="125"/>
      <c r="Z57" s="129"/>
      <c r="AA57" s="129"/>
      <c r="AB57" s="126"/>
      <c r="AC57" s="126">
        <v>3</v>
      </c>
      <c r="AD57" s="44"/>
      <c r="AE57" s="44"/>
      <c r="AF57" s="44"/>
      <c r="AG57" s="44"/>
      <c r="AH57" s="44"/>
      <c r="AI57" s="44"/>
      <c r="AJ57" s="44"/>
      <c r="AK57" s="44"/>
      <c r="AL57" s="44"/>
    </row>
    <row r="58" spans="1:38" s="70" customFormat="1" ht="14.4" customHeight="1">
      <c r="A58" s="83">
        <v>53</v>
      </c>
      <c r="B58" s="84" t="s">
        <v>216</v>
      </c>
      <c r="C58" s="84">
        <v>252281075</v>
      </c>
      <c r="D58" s="83" t="s">
        <v>164</v>
      </c>
      <c r="E58" s="84" t="s">
        <v>124</v>
      </c>
      <c r="F58" s="125">
        <v>81</v>
      </c>
      <c r="G58" s="126"/>
      <c r="H58" s="127"/>
      <c r="I58" s="128"/>
      <c r="J58" s="128"/>
      <c r="K58" s="125">
        <v>6</v>
      </c>
      <c r="L58" s="129"/>
      <c r="M58" s="129">
        <v>1</v>
      </c>
      <c r="N58" s="129"/>
      <c r="O58" s="126"/>
      <c r="P58" s="126"/>
      <c r="Q58" s="126"/>
      <c r="R58" s="132"/>
      <c r="S58" s="132">
        <v>1</v>
      </c>
      <c r="T58" s="132">
        <v>1</v>
      </c>
      <c r="U58" s="126">
        <v>1</v>
      </c>
      <c r="V58" s="127">
        <v>19</v>
      </c>
      <c r="W58" s="128">
        <v>3</v>
      </c>
      <c r="X58" s="128">
        <v>6</v>
      </c>
      <c r="Y58" s="125">
        <v>2</v>
      </c>
      <c r="Z58" s="129"/>
      <c r="AA58" s="129"/>
      <c r="AB58" s="126">
        <v>25</v>
      </c>
      <c r="AC58" s="126">
        <v>7</v>
      </c>
      <c r="AD58" s="44"/>
      <c r="AE58" s="44"/>
      <c r="AF58" s="44"/>
      <c r="AG58" s="44"/>
      <c r="AH58" s="44"/>
      <c r="AI58" s="44"/>
      <c r="AJ58" s="44"/>
      <c r="AK58" s="44"/>
      <c r="AL58" s="44"/>
    </row>
    <row r="59" spans="1:38" s="70" customFormat="1" ht="14.4" customHeight="1">
      <c r="A59" s="83">
        <v>54</v>
      </c>
      <c r="B59" s="84" t="s">
        <v>217</v>
      </c>
      <c r="C59" s="84">
        <v>252262877</v>
      </c>
      <c r="D59" s="83" t="s">
        <v>164</v>
      </c>
      <c r="E59" s="84" t="s">
        <v>124</v>
      </c>
      <c r="F59" s="125">
        <v>407</v>
      </c>
      <c r="G59" s="126"/>
      <c r="H59" s="127">
        <v>2</v>
      </c>
      <c r="I59" s="128"/>
      <c r="J59" s="128"/>
      <c r="K59" s="125">
        <v>4</v>
      </c>
      <c r="L59" s="129">
        <v>1</v>
      </c>
      <c r="M59" s="129"/>
      <c r="N59" s="129"/>
      <c r="O59" s="126"/>
      <c r="P59" s="126"/>
      <c r="Q59" s="126"/>
      <c r="R59" s="132"/>
      <c r="S59" s="132">
        <v>2</v>
      </c>
      <c r="T59" s="132">
        <v>1</v>
      </c>
      <c r="U59" s="126">
        <v>1</v>
      </c>
      <c r="V59" s="127"/>
      <c r="W59" s="128">
        <v>2</v>
      </c>
      <c r="X59" s="128">
        <v>22</v>
      </c>
      <c r="Y59" s="125"/>
      <c r="Z59" s="129"/>
      <c r="AA59" s="129"/>
      <c r="AB59" s="126"/>
      <c r="AC59" s="126">
        <v>17</v>
      </c>
      <c r="AD59" s="44"/>
      <c r="AE59" s="44"/>
      <c r="AF59" s="44"/>
      <c r="AG59" s="44"/>
      <c r="AH59" s="44"/>
      <c r="AI59" s="44"/>
      <c r="AJ59" s="44"/>
      <c r="AK59" s="44"/>
      <c r="AL59" s="44"/>
    </row>
    <row r="60" spans="1:38" s="70" customFormat="1" ht="14.4" customHeight="1">
      <c r="A60" s="83">
        <v>55</v>
      </c>
      <c r="B60" s="84" t="s">
        <v>218</v>
      </c>
      <c r="C60" s="84">
        <v>252262866</v>
      </c>
      <c r="D60" s="83" t="s">
        <v>164</v>
      </c>
      <c r="E60" s="84" t="s">
        <v>124</v>
      </c>
      <c r="F60" s="125">
        <v>450</v>
      </c>
      <c r="G60" s="126"/>
      <c r="H60" s="127">
        <v>1</v>
      </c>
      <c r="I60" s="128">
        <v>1</v>
      </c>
      <c r="J60" s="128"/>
      <c r="K60" s="125">
        <v>6</v>
      </c>
      <c r="L60" s="129"/>
      <c r="M60" s="129"/>
      <c r="N60" s="129"/>
      <c r="O60" s="126"/>
      <c r="P60" s="126"/>
      <c r="Q60" s="126">
        <v>1</v>
      </c>
      <c r="R60" s="132"/>
      <c r="S60" s="132">
        <v>2</v>
      </c>
      <c r="T60" s="132">
        <v>1</v>
      </c>
      <c r="U60" s="126">
        <v>0</v>
      </c>
      <c r="V60" s="127"/>
      <c r="W60" s="128">
        <v>3</v>
      </c>
      <c r="X60" s="128">
        <v>24</v>
      </c>
      <c r="Y60" s="125"/>
      <c r="Z60" s="129"/>
      <c r="AA60" s="129"/>
      <c r="AB60" s="126"/>
      <c r="AC60" s="126">
        <v>10</v>
      </c>
      <c r="AD60" s="44"/>
      <c r="AE60" s="44"/>
      <c r="AF60" s="44"/>
      <c r="AG60" s="44"/>
      <c r="AH60" s="44"/>
      <c r="AI60" s="44"/>
      <c r="AJ60" s="44"/>
      <c r="AK60" s="44"/>
      <c r="AL60" s="44"/>
    </row>
    <row r="61" spans="1:38" s="70" customFormat="1" ht="14.4" customHeight="1">
      <c r="A61" s="83">
        <v>56</v>
      </c>
      <c r="B61" s="84" t="s">
        <v>219</v>
      </c>
      <c r="C61" s="84">
        <v>252262966</v>
      </c>
      <c r="D61" s="83" t="s">
        <v>164</v>
      </c>
      <c r="E61" s="84" t="s">
        <v>124</v>
      </c>
      <c r="F61" s="125">
        <v>430</v>
      </c>
      <c r="G61" s="126"/>
      <c r="H61" s="127"/>
      <c r="I61" s="128"/>
      <c r="J61" s="128"/>
      <c r="K61" s="125"/>
      <c r="L61" s="129">
        <v>1</v>
      </c>
      <c r="M61" s="129"/>
      <c r="N61" s="129"/>
      <c r="O61" s="126"/>
      <c r="P61" s="126"/>
      <c r="Q61" s="126"/>
      <c r="R61" s="132"/>
      <c r="S61" s="132">
        <v>2</v>
      </c>
      <c r="T61" s="132">
        <v>1</v>
      </c>
      <c r="U61" s="126">
        <v>1</v>
      </c>
      <c r="V61" s="127"/>
      <c r="W61" s="128"/>
      <c r="X61" s="128">
        <v>20</v>
      </c>
      <c r="Y61" s="125"/>
      <c r="Z61" s="129"/>
      <c r="AA61" s="129"/>
      <c r="AB61" s="126"/>
      <c r="AC61" s="126">
        <v>8</v>
      </c>
      <c r="AD61" s="44"/>
      <c r="AE61" s="44"/>
      <c r="AF61" s="44"/>
      <c r="AG61" s="44"/>
      <c r="AH61" s="44"/>
      <c r="AI61" s="44"/>
      <c r="AJ61" s="44"/>
      <c r="AK61" s="44"/>
      <c r="AL61" s="44"/>
    </row>
    <row r="62" spans="1:38" s="70" customFormat="1" ht="14.4" customHeight="1">
      <c r="A62" s="83">
        <v>57</v>
      </c>
      <c r="B62" s="84" t="s">
        <v>220</v>
      </c>
      <c r="C62" s="84">
        <v>252262977</v>
      </c>
      <c r="D62" s="83" t="s">
        <v>164</v>
      </c>
      <c r="E62" s="84" t="s">
        <v>124</v>
      </c>
      <c r="F62" s="125">
        <v>405</v>
      </c>
      <c r="G62" s="126"/>
      <c r="H62" s="127"/>
      <c r="I62" s="128"/>
      <c r="J62" s="128"/>
      <c r="K62" s="125">
        <v>6</v>
      </c>
      <c r="L62" s="129">
        <v>1</v>
      </c>
      <c r="M62" s="129"/>
      <c r="N62" s="129"/>
      <c r="O62" s="126"/>
      <c r="P62" s="126"/>
      <c r="Q62" s="126"/>
      <c r="R62" s="132"/>
      <c r="S62" s="132">
        <v>2</v>
      </c>
      <c r="T62" s="132">
        <v>1</v>
      </c>
      <c r="U62" s="126">
        <v>1</v>
      </c>
      <c r="V62" s="127"/>
      <c r="W62" s="128">
        <v>3</v>
      </c>
      <c r="X62" s="128">
        <v>20</v>
      </c>
      <c r="Y62" s="125"/>
      <c r="Z62" s="129"/>
      <c r="AA62" s="129"/>
      <c r="AB62" s="126"/>
      <c r="AC62" s="126">
        <v>8</v>
      </c>
      <c r="AD62" s="44"/>
      <c r="AE62" s="44"/>
      <c r="AF62" s="44"/>
      <c r="AG62" s="44"/>
      <c r="AH62" s="44"/>
      <c r="AI62" s="44"/>
      <c r="AJ62" s="44"/>
      <c r="AK62" s="44"/>
      <c r="AL62" s="44"/>
    </row>
    <row r="63" spans="1:38" s="70" customFormat="1" ht="14.4" customHeight="1">
      <c r="A63" s="83">
        <v>58</v>
      </c>
      <c r="B63" s="84" t="s">
        <v>221</v>
      </c>
      <c r="C63" s="84">
        <v>252272103</v>
      </c>
      <c r="D63" s="83" t="s">
        <v>164</v>
      </c>
      <c r="E63" s="84" t="s">
        <v>124</v>
      </c>
      <c r="F63" s="125">
        <v>330</v>
      </c>
      <c r="G63" s="126"/>
      <c r="H63" s="127"/>
      <c r="I63" s="128"/>
      <c r="J63" s="128"/>
      <c r="K63" s="125"/>
      <c r="L63" s="129"/>
      <c r="M63" s="129">
        <v>1</v>
      </c>
      <c r="N63" s="129"/>
      <c r="O63" s="126"/>
      <c r="P63" s="126"/>
      <c r="Q63" s="126"/>
      <c r="R63" s="132"/>
      <c r="S63" s="132">
        <v>2</v>
      </c>
      <c r="T63" s="132">
        <v>1</v>
      </c>
      <c r="U63" s="126">
        <v>0</v>
      </c>
      <c r="V63" s="127">
        <v>11</v>
      </c>
      <c r="W63" s="128"/>
      <c r="X63" s="128">
        <v>16</v>
      </c>
      <c r="Y63" s="125">
        <v>2</v>
      </c>
      <c r="Z63" s="129"/>
      <c r="AA63" s="129"/>
      <c r="AB63" s="126">
        <v>50</v>
      </c>
      <c r="AC63" s="126">
        <v>12</v>
      </c>
      <c r="AD63" s="44"/>
      <c r="AE63" s="44"/>
      <c r="AF63" s="44"/>
      <c r="AG63" s="44"/>
      <c r="AH63" s="44"/>
      <c r="AI63" s="44"/>
      <c r="AJ63" s="44"/>
      <c r="AK63" s="44"/>
      <c r="AL63" s="44"/>
    </row>
    <row r="64" spans="1:38" s="70" customFormat="1" ht="14.4" customHeight="1">
      <c r="A64" s="83">
        <v>59</v>
      </c>
      <c r="B64" s="84" t="s">
        <v>222</v>
      </c>
      <c r="C64" s="84">
        <v>252272101</v>
      </c>
      <c r="D64" s="83" t="s">
        <v>164</v>
      </c>
      <c r="E64" s="84" t="s">
        <v>124</v>
      </c>
      <c r="F64" s="125">
        <v>370</v>
      </c>
      <c r="G64" s="126"/>
      <c r="H64" s="127"/>
      <c r="I64" s="128"/>
      <c r="J64" s="128"/>
      <c r="K64" s="125"/>
      <c r="L64" s="129"/>
      <c r="M64" s="129"/>
      <c r="N64" s="129"/>
      <c r="O64" s="126"/>
      <c r="P64" s="126"/>
      <c r="Q64" s="126">
        <v>1</v>
      </c>
      <c r="R64" s="132"/>
      <c r="S64" s="132">
        <v>2</v>
      </c>
      <c r="T64" s="132">
        <v>1</v>
      </c>
      <c r="U64" s="126">
        <v>0</v>
      </c>
      <c r="V64" s="127">
        <v>282</v>
      </c>
      <c r="W64" s="128"/>
      <c r="X64" s="128">
        <v>18</v>
      </c>
      <c r="Y64" s="125">
        <v>6</v>
      </c>
      <c r="Z64" s="129"/>
      <c r="AA64" s="129"/>
      <c r="AB64" s="126">
        <v>50</v>
      </c>
      <c r="AC64" s="126">
        <v>15</v>
      </c>
      <c r="AD64" s="44"/>
      <c r="AE64" s="44"/>
      <c r="AF64" s="44"/>
      <c r="AG64" s="44"/>
      <c r="AH64" s="44"/>
      <c r="AI64" s="44"/>
      <c r="AJ64" s="44"/>
      <c r="AK64" s="44"/>
      <c r="AL64" s="44"/>
    </row>
    <row r="65" spans="1:38" s="70" customFormat="1" ht="14.4" customHeight="1">
      <c r="A65" s="83">
        <v>60</v>
      </c>
      <c r="B65" s="84" t="s">
        <v>223</v>
      </c>
      <c r="C65" s="84">
        <v>252272100</v>
      </c>
      <c r="D65" s="83" t="s">
        <v>164</v>
      </c>
      <c r="E65" s="84" t="s">
        <v>124</v>
      </c>
      <c r="F65" s="125">
        <v>359</v>
      </c>
      <c r="G65" s="126"/>
      <c r="H65" s="127"/>
      <c r="I65" s="128"/>
      <c r="J65" s="128"/>
      <c r="K65" s="125"/>
      <c r="L65" s="129"/>
      <c r="M65" s="129"/>
      <c r="N65" s="129"/>
      <c r="O65" s="126"/>
      <c r="P65" s="126"/>
      <c r="Q65" s="126">
        <v>1</v>
      </c>
      <c r="R65" s="132"/>
      <c r="S65" s="132">
        <v>2</v>
      </c>
      <c r="T65" s="132">
        <v>1</v>
      </c>
      <c r="U65" s="126">
        <v>0</v>
      </c>
      <c r="V65" s="127">
        <v>231</v>
      </c>
      <c r="W65" s="128"/>
      <c r="X65" s="128">
        <v>18</v>
      </c>
      <c r="Y65" s="125">
        <v>6</v>
      </c>
      <c r="Z65" s="129"/>
      <c r="AA65" s="129"/>
      <c r="AB65" s="126">
        <v>30</v>
      </c>
      <c r="AC65" s="126">
        <v>14</v>
      </c>
      <c r="AD65" s="44"/>
      <c r="AE65" s="44"/>
      <c r="AF65" s="44"/>
      <c r="AG65" s="44"/>
      <c r="AH65" s="44"/>
      <c r="AI65" s="44"/>
      <c r="AJ65" s="44"/>
      <c r="AK65" s="44"/>
      <c r="AL65" s="44"/>
    </row>
    <row r="66" spans="1:38" s="70" customFormat="1" ht="14.4" customHeight="1">
      <c r="A66" s="83">
        <v>61</v>
      </c>
      <c r="B66" s="84" t="s">
        <v>224</v>
      </c>
      <c r="C66" s="84">
        <v>252228603</v>
      </c>
      <c r="D66" s="83" t="s">
        <v>164</v>
      </c>
      <c r="E66" s="84" t="s">
        <v>124</v>
      </c>
      <c r="F66" s="125">
        <v>45</v>
      </c>
      <c r="G66" s="126"/>
      <c r="H66" s="127"/>
      <c r="I66" s="128"/>
      <c r="J66" s="128"/>
      <c r="K66" s="125"/>
      <c r="L66" s="129">
        <v>1</v>
      </c>
      <c r="M66" s="129"/>
      <c r="N66" s="129"/>
      <c r="O66" s="126"/>
      <c r="P66" s="126"/>
      <c r="Q66" s="126"/>
      <c r="R66" s="132"/>
      <c r="S66" s="132">
        <v>2</v>
      </c>
      <c r="T66" s="132">
        <v>1</v>
      </c>
      <c r="U66" s="126">
        <v>1</v>
      </c>
      <c r="V66" s="127"/>
      <c r="W66" s="128"/>
      <c r="X66" s="128">
        <v>2</v>
      </c>
      <c r="Y66" s="125"/>
      <c r="Z66" s="129">
        <v>39</v>
      </c>
      <c r="AA66" s="129">
        <v>68</v>
      </c>
      <c r="AB66" s="126"/>
      <c r="AC66" s="126">
        <v>30</v>
      </c>
      <c r="AD66" s="44"/>
      <c r="AE66" s="44"/>
      <c r="AF66" s="44"/>
      <c r="AG66" s="44"/>
      <c r="AH66" s="44"/>
      <c r="AI66" s="44"/>
      <c r="AJ66" s="44"/>
      <c r="AK66" s="44"/>
      <c r="AL66" s="44"/>
    </row>
    <row r="67" spans="1:38" s="70" customFormat="1" ht="14.4" customHeight="1">
      <c r="A67" s="83">
        <v>62</v>
      </c>
      <c r="B67" s="84" t="s">
        <v>225</v>
      </c>
      <c r="C67" s="84">
        <v>252229926</v>
      </c>
      <c r="D67" s="83" t="s">
        <v>164</v>
      </c>
      <c r="E67" s="84" t="s">
        <v>124</v>
      </c>
      <c r="F67" s="125">
        <v>205</v>
      </c>
      <c r="G67" s="126"/>
      <c r="H67" s="127"/>
      <c r="I67" s="128"/>
      <c r="J67" s="128"/>
      <c r="K67" s="125">
        <v>6</v>
      </c>
      <c r="L67" s="129">
        <v>1</v>
      </c>
      <c r="M67" s="129"/>
      <c r="N67" s="129"/>
      <c r="O67" s="126"/>
      <c r="P67" s="126"/>
      <c r="Q67" s="126"/>
      <c r="R67" s="132"/>
      <c r="S67" s="132">
        <v>2</v>
      </c>
      <c r="T67" s="132">
        <v>1</v>
      </c>
      <c r="U67" s="126">
        <v>1</v>
      </c>
      <c r="V67" s="127"/>
      <c r="W67" s="128">
        <v>3</v>
      </c>
      <c r="X67" s="128">
        <v>8</v>
      </c>
      <c r="Y67" s="125"/>
      <c r="Z67" s="129"/>
      <c r="AA67" s="129"/>
      <c r="AB67" s="126"/>
      <c r="AC67" s="126">
        <v>21</v>
      </c>
      <c r="AD67" s="44"/>
      <c r="AE67" s="44"/>
      <c r="AF67" s="44"/>
      <c r="AG67" s="44"/>
      <c r="AH67" s="44"/>
      <c r="AI67" s="44"/>
      <c r="AJ67" s="44"/>
      <c r="AK67" s="44"/>
      <c r="AL67" s="44"/>
    </row>
    <row r="68" spans="1:38" s="70" customFormat="1" ht="14.4" customHeight="1">
      <c r="A68" s="83">
        <v>63</v>
      </c>
      <c r="B68" s="84" t="s">
        <v>226</v>
      </c>
      <c r="C68" s="84">
        <v>252229928</v>
      </c>
      <c r="D68" s="83" t="s">
        <v>164</v>
      </c>
      <c r="E68" s="84" t="s">
        <v>124</v>
      </c>
      <c r="F68" s="125">
        <v>552</v>
      </c>
      <c r="G68" s="126"/>
      <c r="H68" s="127"/>
      <c r="I68" s="128">
        <v>1</v>
      </c>
      <c r="J68" s="128"/>
      <c r="K68" s="125">
        <v>18</v>
      </c>
      <c r="L68" s="129"/>
      <c r="M68" s="129"/>
      <c r="N68" s="129"/>
      <c r="O68" s="126"/>
      <c r="P68" s="126"/>
      <c r="Q68" s="126">
        <v>1</v>
      </c>
      <c r="R68" s="132"/>
      <c r="S68" s="132">
        <v>2</v>
      </c>
      <c r="T68" s="132">
        <v>1</v>
      </c>
      <c r="U68" s="126">
        <v>1</v>
      </c>
      <c r="V68" s="127"/>
      <c r="W68" s="128">
        <v>9</v>
      </c>
      <c r="X68" s="128">
        <v>20</v>
      </c>
      <c r="Y68" s="125"/>
      <c r="Z68" s="129"/>
      <c r="AA68" s="129"/>
      <c r="AB68" s="126"/>
      <c r="AC68" s="126">
        <v>7</v>
      </c>
      <c r="AD68" s="44"/>
      <c r="AE68" s="44"/>
      <c r="AF68" s="44"/>
      <c r="AG68" s="44"/>
      <c r="AH68" s="44"/>
      <c r="AI68" s="44"/>
      <c r="AJ68" s="44"/>
      <c r="AK68" s="44"/>
      <c r="AL68" s="44"/>
    </row>
    <row r="69" spans="1:38" s="70" customFormat="1" ht="14.4" customHeight="1">
      <c r="A69" s="83">
        <v>64</v>
      </c>
      <c r="B69" s="84" t="s">
        <v>227</v>
      </c>
      <c r="C69" s="84">
        <v>252272210</v>
      </c>
      <c r="D69" s="83" t="s">
        <v>164</v>
      </c>
      <c r="E69" s="84" t="s">
        <v>124</v>
      </c>
      <c r="F69" s="125">
        <v>103</v>
      </c>
      <c r="G69" s="126"/>
      <c r="H69" s="127"/>
      <c r="I69" s="128"/>
      <c r="J69" s="128"/>
      <c r="K69" s="125"/>
      <c r="L69" s="129">
        <v>1</v>
      </c>
      <c r="M69" s="129"/>
      <c r="N69" s="129"/>
      <c r="O69" s="126"/>
      <c r="P69" s="126"/>
      <c r="Q69" s="126"/>
      <c r="R69" s="132"/>
      <c r="S69" s="132">
        <v>2</v>
      </c>
      <c r="T69" s="132">
        <v>1</v>
      </c>
      <c r="U69" s="126">
        <v>1</v>
      </c>
      <c r="V69" s="127"/>
      <c r="W69" s="128"/>
      <c r="X69" s="128">
        <v>8</v>
      </c>
      <c r="Y69" s="125"/>
      <c r="Z69" s="129">
        <v>7</v>
      </c>
      <c r="AA69" s="129">
        <v>14</v>
      </c>
      <c r="AB69" s="126"/>
      <c r="AC69" s="126">
        <v>23</v>
      </c>
      <c r="AD69" s="44"/>
      <c r="AE69" s="44"/>
      <c r="AF69" s="44"/>
      <c r="AG69" s="44"/>
      <c r="AH69" s="44"/>
      <c r="AI69" s="44"/>
      <c r="AJ69" s="44"/>
      <c r="AK69" s="44"/>
      <c r="AL69" s="44"/>
    </row>
    <row r="70" spans="1:38" s="70" customFormat="1" ht="14.4" customHeight="1">
      <c r="A70" s="83">
        <v>65</v>
      </c>
      <c r="B70" s="84" t="s">
        <v>228</v>
      </c>
      <c r="C70" s="84">
        <v>252228151</v>
      </c>
      <c r="D70" s="83" t="s">
        <v>164</v>
      </c>
      <c r="E70" s="84" t="s">
        <v>124</v>
      </c>
      <c r="F70" s="125">
        <v>96</v>
      </c>
      <c r="G70" s="126"/>
      <c r="H70" s="127"/>
      <c r="I70" s="128"/>
      <c r="J70" s="128"/>
      <c r="K70" s="125"/>
      <c r="L70" s="129"/>
      <c r="M70" s="129"/>
      <c r="N70" s="129"/>
      <c r="O70" s="126"/>
      <c r="P70" s="126"/>
      <c r="Q70" s="126">
        <v>1</v>
      </c>
      <c r="R70" s="132"/>
      <c r="S70" s="132">
        <v>2</v>
      </c>
      <c r="T70" s="132">
        <v>1</v>
      </c>
      <c r="U70" s="126">
        <v>1</v>
      </c>
      <c r="V70" s="127"/>
      <c r="W70" s="128"/>
      <c r="X70" s="128">
        <v>4</v>
      </c>
      <c r="Y70" s="125"/>
      <c r="Z70" s="129"/>
      <c r="AA70" s="129"/>
      <c r="AB70" s="126"/>
      <c r="AC70" s="126">
        <v>5</v>
      </c>
      <c r="AD70" s="44"/>
      <c r="AE70" s="44"/>
      <c r="AF70" s="44"/>
      <c r="AG70" s="44"/>
      <c r="AH70" s="44"/>
      <c r="AI70" s="44"/>
      <c r="AJ70" s="44"/>
      <c r="AK70" s="44"/>
      <c r="AL70" s="44"/>
    </row>
    <row r="71" spans="1:38" s="70" customFormat="1" ht="14.4" customHeight="1">
      <c r="A71" s="83">
        <v>66</v>
      </c>
      <c r="B71" s="84" t="s">
        <v>229</v>
      </c>
      <c r="C71" s="84">
        <v>252220004</v>
      </c>
      <c r="D71" s="83" t="s">
        <v>164</v>
      </c>
      <c r="E71" s="84" t="s">
        <v>124</v>
      </c>
      <c r="F71" s="125">
        <v>118</v>
      </c>
      <c r="G71" s="126"/>
      <c r="H71" s="127"/>
      <c r="I71" s="128"/>
      <c r="J71" s="128"/>
      <c r="K71" s="125"/>
      <c r="L71" s="129"/>
      <c r="M71" s="129"/>
      <c r="N71" s="129"/>
      <c r="O71" s="126"/>
      <c r="P71" s="126"/>
      <c r="Q71" s="126">
        <v>1</v>
      </c>
      <c r="R71" s="132"/>
      <c r="S71" s="132">
        <v>2</v>
      </c>
      <c r="T71" s="132">
        <v>1</v>
      </c>
      <c r="U71" s="126">
        <v>1</v>
      </c>
      <c r="V71" s="127"/>
      <c r="W71" s="128"/>
      <c r="X71" s="128">
        <v>4</v>
      </c>
      <c r="Y71" s="125"/>
      <c r="Z71" s="129"/>
      <c r="AA71" s="129"/>
      <c r="AB71" s="126"/>
      <c r="AC71" s="126">
        <v>10</v>
      </c>
      <c r="AD71" s="44"/>
      <c r="AE71" s="44"/>
      <c r="AF71" s="44"/>
      <c r="AG71" s="44"/>
      <c r="AH71" s="44"/>
      <c r="AI71" s="44"/>
      <c r="AJ71" s="44"/>
      <c r="AK71" s="44"/>
      <c r="AL71" s="44"/>
    </row>
    <row r="72" spans="1:38" s="70" customFormat="1" ht="14.4" customHeight="1">
      <c r="A72" s="83">
        <v>67</v>
      </c>
      <c r="B72" s="84" t="s">
        <v>230</v>
      </c>
      <c r="C72" s="84">
        <v>252230569</v>
      </c>
      <c r="D72" s="83" t="s">
        <v>164</v>
      </c>
      <c r="E72" s="84" t="s">
        <v>124</v>
      </c>
      <c r="F72" s="125">
        <v>214</v>
      </c>
      <c r="G72" s="126"/>
      <c r="H72" s="127">
        <v>2</v>
      </c>
      <c r="I72" s="128"/>
      <c r="J72" s="128"/>
      <c r="K72" s="125">
        <v>4</v>
      </c>
      <c r="L72" s="129">
        <v>1</v>
      </c>
      <c r="M72" s="129"/>
      <c r="N72" s="129"/>
      <c r="O72" s="126"/>
      <c r="P72" s="126"/>
      <c r="Q72" s="126"/>
      <c r="R72" s="132"/>
      <c r="S72" s="132">
        <v>2</v>
      </c>
      <c r="T72" s="132">
        <v>1</v>
      </c>
      <c r="U72" s="126">
        <v>1</v>
      </c>
      <c r="V72" s="127"/>
      <c r="W72" s="128">
        <v>2</v>
      </c>
      <c r="X72" s="128">
        <v>10</v>
      </c>
      <c r="Y72" s="125"/>
      <c r="Z72" s="129"/>
      <c r="AA72" s="129"/>
      <c r="AB72" s="126"/>
      <c r="AC72" s="126">
        <v>3</v>
      </c>
      <c r="AD72" s="44"/>
      <c r="AE72" s="44"/>
      <c r="AF72" s="44"/>
      <c r="AG72" s="44"/>
      <c r="AH72" s="44"/>
      <c r="AI72" s="44"/>
      <c r="AJ72" s="44"/>
      <c r="AK72" s="44"/>
      <c r="AL72" s="44"/>
    </row>
    <row r="73" spans="1:38" s="70" customFormat="1" ht="14.4" customHeight="1">
      <c r="A73" s="83">
        <v>68</v>
      </c>
      <c r="B73" s="84" t="s">
        <v>231</v>
      </c>
      <c r="C73" s="84">
        <v>252262563</v>
      </c>
      <c r="D73" s="83" t="s">
        <v>164</v>
      </c>
      <c r="E73" s="84" t="s">
        <v>124</v>
      </c>
      <c r="F73" s="125">
        <v>192</v>
      </c>
      <c r="G73" s="126"/>
      <c r="H73" s="127"/>
      <c r="I73" s="128"/>
      <c r="J73" s="128"/>
      <c r="K73" s="125">
        <v>2</v>
      </c>
      <c r="L73" s="129">
        <v>1</v>
      </c>
      <c r="M73" s="129"/>
      <c r="N73" s="129"/>
      <c r="O73" s="126"/>
      <c r="P73" s="126"/>
      <c r="Q73" s="126"/>
      <c r="R73" s="132"/>
      <c r="S73" s="132">
        <v>2</v>
      </c>
      <c r="T73" s="132">
        <v>1</v>
      </c>
      <c r="U73" s="126">
        <v>1</v>
      </c>
      <c r="V73" s="127"/>
      <c r="W73" s="128">
        <v>1</v>
      </c>
      <c r="X73" s="128">
        <v>8</v>
      </c>
      <c r="Y73" s="125"/>
      <c r="Z73" s="129"/>
      <c r="AA73" s="129"/>
      <c r="AB73" s="126"/>
      <c r="AC73" s="126">
        <v>13</v>
      </c>
      <c r="AD73" s="44"/>
      <c r="AE73" s="44"/>
      <c r="AF73" s="44"/>
      <c r="AG73" s="44"/>
      <c r="AH73" s="44"/>
      <c r="AI73" s="44"/>
      <c r="AJ73" s="44"/>
      <c r="AK73" s="44"/>
      <c r="AL73" s="44"/>
    </row>
    <row r="74" spans="1:38" s="70" customFormat="1" ht="14.4" customHeight="1">
      <c r="A74" s="83">
        <v>69</v>
      </c>
      <c r="B74" s="84" t="s">
        <v>232</v>
      </c>
      <c r="C74" s="84">
        <v>252234982</v>
      </c>
      <c r="D74" s="83" t="s">
        <v>164</v>
      </c>
      <c r="E74" s="84" t="s">
        <v>124</v>
      </c>
      <c r="F74" s="125">
        <v>90</v>
      </c>
      <c r="G74" s="126"/>
      <c r="H74" s="127"/>
      <c r="I74" s="128"/>
      <c r="J74" s="128"/>
      <c r="K74" s="125"/>
      <c r="L74" s="129">
        <v>1</v>
      </c>
      <c r="M74" s="129"/>
      <c r="N74" s="129"/>
      <c r="O74" s="126"/>
      <c r="P74" s="126"/>
      <c r="Q74" s="126"/>
      <c r="R74" s="132"/>
      <c r="S74" s="132">
        <v>2</v>
      </c>
      <c r="T74" s="132">
        <v>1</v>
      </c>
      <c r="U74" s="126">
        <v>1</v>
      </c>
      <c r="V74" s="127"/>
      <c r="W74" s="128"/>
      <c r="X74" s="128">
        <v>6</v>
      </c>
      <c r="Y74" s="125"/>
      <c r="Z74" s="129"/>
      <c r="AA74" s="129"/>
      <c r="AB74" s="126"/>
      <c r="AC74" s="126">
        <v>9</v>
      </c>
      <c r="AD74" s="44"/>
      <c r="AE74" s="44"/>
      <c r="AF74" s="44"/>
      <c r="AG74" s="44"/>
      <c r="AH74" s="44"/>
      <c r="AI74" s="44"/>
      <c r="AJ74" s="44"/>
      <c r="AK74" s="44"/>
      <c r="AL74" s="44"/>
    </row>
    <row r="75" spans="1:38" s="70" customFormat="1" ht="14.4" customHeight="1">
      <c r="A75" s="83">
        <v>70</v>
      </c>
      <c r="B75" s="84" t="s">
        <v>233</v>
      </c>
      <c r="C75" s="84">
        <v>252230021</v>
      </c>
      <c r="D75" s="83" t="s">
        <v>164</v>
      </c>
      <c r="E75" s="84" t="s">
        <v>124</v>
      </c>
      <c r="F75" s="125">
        <v>133</v>
      </c>
      <c r="G75" s="126"/>
      <c r="H75" s="127"/>
      <c r="I75" s="128"/>
      <c r="J75" s="128"/>
      <c r="K75" s="125"/>
      <c r="L75" s="129">
        <v>1</v>
      </c>
      <c r="M75" s="129"/>
      <c r="N75" s="129"/>
      <c r="O75" s="126"/>
      <c r="P75" s="126"/>
      <c r="Q75" s="126"/>
      <c r="R75" s="132"/>
      <c r="S75" s="132">
        <v>2</v>
      </c>
      <c r="T75" s="132">
        <v>1</v>
      </c>
      <c r="U75" s="126">
        <v>1</v>
      </c>
      <c r="V75" s="127"/>
      <c r="W75" s="128"/>
      <c r="X75" s="128">
        <v>6</v>
      </c>
      <c r="Y75" s="125"/>
      <c r="Z75" s="129"/>
      <c r="AA75" s="129"/>
      <c r="AB75" s="126"/>
      <c r="AC75" s="126">
        <v>6</v>
      </c>
      <c r="AD75" s="44"/>
      <c r="AE75" s="44"/>
      <c r="AF75" s="44"/>
      <c r="AG75" s="44"/>
      <c r="AH75" s="44"/>
      <c r="AI75" s="44"/>
      <c r="AJ75" s="44"/>
      <c r="AK75" s="44"/>
      <c r="AL75" s="44"/>
    </row>
    <row r="76" spans="1:38" s="70" customFormat="1" ht="14.4" customHeight="1">
      <c r="A76" s="83">
        <v>71</v>
      </c>
      <c r="B76" s="84" t="s">
        <v>234</v>
      </c>
      <c r="C76" s="84">
        <v>252237638</v>
      </c>
      <c r="D76" s="83" t="s">
        <v>164</v>
      </c>
      <c r="E76" s="84" t="s">
        <v>124</v>
      </c>
      <c r="F76" s="125">
        <v>374</v>
      </c>
      <c r="G76" s="126"/>
      <c r="H76" s="127"/>
      <c r="I76" s="128"/>
      <c r="J76" s="128"/>
      <c r="K76" s="125"/>
      <c r="L76" s="129"/>
      <c r="M76" s="129">
        <v>1</v>
      </c>
      <c r="N76" s="129"/>
      <c r="O76" s="126"/>
      <c r="P76" s="126"/>
      <c r="Q76" s="126"/>
      <c r="R76" s="132"/>
      <c r="S76" s="132">
        <v>2</v>
      </c>
      <c r="T76" s="132">
        <v>1</v>
      </c>
      <c r="U76" s="126">
        <v>1</v>
      </c>
      <c r="V76" s="127"/>
      <c r="W76" s="128"/>
      <c r="X76" s="128">
        <v>18</v>
      </c>
      <c r="Y76" s="125"/>
      <c r="Z76" s="129"/>
      <c r="AA76" s="129"/>
      <c r="AB76" s="126"/>
      <c r="AC76" s="126">
        <v>2</v>
      </c>
      <c r="AD76" s="44"/>
      <c r="AE76" s="44"/>
      <c r="AF76" s="44"/>
      <c r="AG76" s="44"/>
      <c r="AH76" s="44"/>
      <c r="AI76" s="44"/>
      <c r="AJ76" s="44"/>
      <c r="AK76" s="44"/>
      <c r="AL76" s="44"/>
    </row>
    <row r="77" spans="1:38" s="70" customFormat="1" ht="14.4" customHeight="1">
      <c r="A77" s="83">
        <v>72</v>
      </c>
      <c r="B77" s="84" t="s">
        <v>235</v>
      </c>
      <c r="C77" s="84">
        <v>252229975</v>
      </c>
      <c r="D77" s="83" t="s">
        <v>164</v>
      </c>
      <c r="E77" s="84" t="s">
        <v>124</v>
      </c>
      <c r="F77" s="125">
        <v>74</v>
      </c>
      <c r="G77" s="126"/>
      <c r="H77" s="127">
        <v>1</v>
      </c>
      <c r="I77" s="128"/>
      <c r="J77" s="128"/>
      <c r="K77" s="125">
        <v>2</v>
      </c>
      <c r="L77" s="129">
        <v>1</v>
      </c>
      <c r="M77" s="129"/>
      <c r="N77" s="129"/>
      <c r="O77" s="126"/>
      <c r="P77" s="126"/>
      <c r="Q77" s="126"/>
      <c r="R77" s="132"/>
      <c r="S77" s="132">
        <v>2</v>
      </c>
      <c r="T77" s="132">
        <v>1</v>
      </c>
      <c r="U77" s="126">
        <v>1</v>
      </c>
      <c r="V77" s="127"/>
      <c r="W77" s="128">
        <v>1</v>
      </c>
      <c r="X77" s="128">
        <v>4</v>
      </c>
      <c r="Y77" s="125"/>
      <c r="Z77" s="129"/>
      <c r="AA77" s="129"/>
      <c r="AB77" s="126"/>
      <c r="AC77" s="126">
        <v>20</v>
      </c>
      <c r="AD77" s="44"/>
      <c r="AE77" s="44"/>
      <c r="AF77" s="44"/>
      <c r="AG77" s="44"/>
      <c r="AH77" s="44"/>
      <c r="AI77" s="44"/>
      <c r="AJ77" s="44"/>
      <c r="AK77" s="44"/>
      <c r="AL77" s="44"/>
    </row>
    <row r="78" spans="1:38" s="70" customFormat="1" ht="14.4" customHeight="1">
      <c r="A78" s="83">
        <v>73</v>
      </c>
      <c r="B78" s="84" t="s">
        <v>236</v>
      </c>
      <c r="C78" s="84">
        <v>252235484</v>
      </c>
      <c r="D78" s="83" t="s">
        <v>164</v>
      </c>
      <c r="E78" s="84" t="s">
        <v>124</v>
      </c>
      <c r="F78" s="125">
        <v>134</v>
      </c>
      <c r="G78" s="126"/>
      <c r="H78" s="127"/>
      <c r="I78" s="128"/>
      <c r="J78" s="128"/>
      <c r="K78" s="125"/>
      <c r="L78" s="129"/>
      <c r="M78" s="129"/>
      <c r="N78" s="129"/>
      <c r="O78" s="126"/>
      <c r="P78" s="126"/>
      <c r="Q78" s="126">
        <v>1</v>
      </c>
      <c r="R78" s="132"/>
      <c r="S78" s="132">
        <v>2</v>
      </c>
      <c r="T78" s="132">
        <v>1</v>
      </c>
      <c r="U78" s="126">
        <v>1</v>
      </c>
      <c r="V78" s="127"/>
      <c r="W78" s="128"/>
      <c r="X78" s="128">
        <v>6</v>
      </c>
      <c r="Y78" s="125"/>
      <c r="Z78" s="129"/>
      <c r="AA78" s="129"/>
      <c r="AB78" s="126"/>
      <c r="AC78" s="126">
        <v>9</v>
      </c>
      <c r="AD78" s="44"/>
      <c r="AE78" s="44"/>
      <c r="AF78" s="44"/>
      <c r="AG78" s="44"/>
      <c r="AH78" s="44"/>
      <c r="AI78" s="44"/>
      <c r="AJ78" s="44"/>
      <c r="AK78" s="44"/>
      <c r="AL78" s="44"/>
    </row>
    <row r="79" spans="1:38" s="70" customFormat="1" ht="14.4" customHeight="1">
      <c r="A79" s="83">
        <v>74</v>
      </c>
      <c r="B79" s="84" t="s">
        <v>237</v>
      </c>
      <c r="C79" s="84">
        <v>252228861</v>
      </c>
      <c r="D79" s="83" t="s">
        <v>164</v>
      </c>
      <c r="E79" s="84" t="s">
        <v>124</v>
      </c>
      <c r="F79" s="125">
        <v>270</v>
      </c>
      <c r="G79" s="126"/>
      <c r="H79" s="127"/>
      <c r="I79" s="128"/>
      <c r="J79" s="128"/>
      <c r="K79" s="125"/>
      <c r="L79" s="129"/>
      <c r="M79" s="129"/>
      <c r="N79" s="129"/>
      <c r="O79" s="126"/>
      <c r="P79" s="126"/>
      <c r="Q79" s="126">
        <v>1</v>
      </c>
      <c r="R79" s="132"/>
      <c r="S79" s="132">
        <v>2</v>
      </c>
      <c r="T79" s="132">
        <v>1</v>
      </c>
      <c r="U79" s="126">
        <v>1</v>
      </c>
      <c r="V79" s="127"/>
      <c r="W79" s="128"/>
      <c r="X79" s="128">
        <v>10</v>
      </c>
      <c r="Y79" s="125"/>
      <c r="Z79" s="129"/>
      <c r="AA79" s="129"/>
      <c r="AB79" s="126"/>
      <c r="AC79" s="126">
        <v>4</v>
      </c>
      <c r="AD79" s="44"/>
      <c r="AE79" s="44"/>
      <c r="AF79" s="44"/>
      <c r="AG79" s="44"/>
      <c r="AH79" s="44"/>
      <c r="AI79" s="44"/>
      <c r="AJ79" s="44"/>
      <c r="AK79" s="44"/>
      <c r="AL79" s="44"/>
    </row>
    <row r="80" spans="1:38" s="70" customFormat="1" ht="14.4" customHeight="1">
      <c r="A80" s="83">
        <v>75</v>
      </c>
      <c r="B80" s="84" t="s">
        <v>238</v>
      </c>
      <c r="C80" s="84">
        <v>252229967</v>
      </c>
      <c r="D80" s="83" t="s">
        <v>164</v>
      </c>
      <c r="E80" s="84" t="s">
        <v>124</v>
      </c>
      <c r="F80" s="125">
        <v>178</v>
      </c>
      <c r="G80" s="126"/>
      <c r="H80" s="127"/>
      <c r="I80" s="128"/>
      <c r="J80" s="128"/>
      <c r="K80" s="125"/>
      <c r="L80" s="129">
        <v>1</v>
      </c>
      <c r="M80" s="129"/>
      <c r="N80" s="129"/>
      <c r="O80" s="126"/>
      <c r="P80" s="126"/>
      <c r="Q80" s="126"/>
      <c r="R80" s="132"/>
      <c r="S80" s="132">
        <v>2</v>
      </c>
      <c r="T80" s="132">
        <v>1</v>
      </c>
      <c r="U80" s="126">
        <v>1</v>
      </c>
      <c r="V80" s="127"/>
      <c r="W80" s="128"/>
      <c r="X80" s="128">
        <v>8</v>
      </c>
      <c r="Y80" s="125"/>
      <c r="Z80" s="129"/>
      <c r="AA80" s="129"/>
      <c r="AB80" s="126"/>
      <c r="AC80" s="126">
        <v>33</v>
      </c>
      <c r="AD80" s="44"/>
      <c r="AE80" s="44"/>
      <c r="AF80" s="44"/>
      <c r="AG80" s="44"/>
      <c r="AH80" s="44"/>
      <c r="AI80" s="44"/>
      <c r="AJ80" s="44"/>
      <c r="AK80" s="44"/>
      <c r="AL80" s="44"/>
    </row>
    <row r="81" spans="1:38" s="70" customFormat="1" ht="14.4" customHeight="1">
      <c r="A81" s="83">
        <v>76</v>
      </c>
      <c r="B81" s="84" t="s">
        <v>239</v>
      </c>
      <c r="C81" s="84">
        <v>252229968</v>
      </c>
      <c r="D81" s="83" t="s">
        <v>164</v>
      </c>
      <c r="E81" s="84" t="s">
        <v>124</v>
      </c>
      <c r="F81" s="125">
        <v>178</v>
      </c>
      <c r="G81" s="126"/>
      <c r="H81" s="127"/>
      <c r="I81" s="128"/>
      <c r="J81" s="128"/>
      <c r="K81" s="125"/>
      <c r="L81" s="129"/>
      <c r="M81" s="129"/>
      <c r="N81" s="129"/>
      <c r="O81" s="126"/>
      <c r="P81" s="126"/>
      <c r="Q81" s="126">
        <v>1</v>
      </c>
      <c r="R81" s="132"/>
      <c r="S81" s="132">
        <v>2</v>
      </c>
      <c r="T81" s="132">
        <v>1</v>
      </c>
      <c r="U81" s="126">
        <v>1</v>
      </c>
      <c r="V81" s="127"/>
      <c r="W81" s="128"/>
      <c r="X81" s="128">
        <v>8</v>
      </c>
      <c r="Y81" s="125"/>
      <c r="Z81" s="129"/>
      <c r="AA81" s="129"/>
      <c r="AB81" s="126"/>
      <c r="AC81" s="126">
        <v>0</v>
      </c>
      <c r="AD81" s="44"/>
      <c r="AE81" s="44"/>
      <c r="AF81" s="44"/>
      <c r="AG81" s="44"/>
      <c r="AH81" s="44"/>
      <c r="AI81" s="44"/>
      <c r="AJ81" s="44"/>
      <c r="AK81" s="44"/>
      <c r="AL81" s="44"/>
    </row>
    <row r="82" spans="1:38" s="70" customFormat="1" ht="14.4" customHeight="1">
      <c r="A82" s="83">
        <v>77</v>
      </c>
      <c r="B82" s="84" t="s">
        <v>240</v>
      </c>
      <c r="C82" s="84">
        <v>252272424</v>
      </c>
      <c r="D82" s="83" t="s">
        <v>164</v>
      </c>
      <c r="E82" s="84" t="s">
        <v>124</v>
      </c>
      <c r="F82" s="125">
        <v>181</v>
      </c>
      <c r="G82" s="126"/>
      <c r="H82" s="127"/>
      <c r="I82" s="128"/>
      <c r="J82" s="128"/>
      <c r="K82" s="125"/>
      <c r="L82" s="129"/>
      <c r="M82" s="129"/>
      <c r="N82" s="129"/>
      <c r="O82" s="126">
        <v>1</v>
      </c>
      <c r="P82" s="126"/>
      <c r="Q82" s="126"/>
      <c r="R82" s="132"/>
      <c r="S82" s="132">
        <v>2</v>
      </c>
      <c r="T82" s="132">
        <v>1</v>
      </c>
      <c r="U82" s="126">
        <v>1</v>
      </c>
      <c r="V82" s="127"/>
      <c r="W82" s="128"/>
      <c r="X82" s="128">
        <v>8</v>
      </c>
      <c r="Y82" s="125">
        <v>4</v>
      </c>
      <c r="Z82" s="129"/>
      <c r="AA82" s="129">
        <v>55</v>
      </c>
      <c r="AB82" s="126"/>
      <c r="AC82" s="126">
        <v>10</v>
      </c>
      <c r="AD82" s="44"/>
      <c r="AE82" s="44"/>
      <c r="AF82" s="44"/>
      <c r="AG82" s="44"/>
      <c r="AH82" s="44"/>
      <c r="AI82" s="44"/>
      <c r="AJ82" s="44"/>
      <c r="AK82" s="44"/>
      <c r="AL82" s="44"/>
    </row>
    <row r="83" spans="1:38" s="70" customFormat="1" ht="14.4" customHeight="1">
      <c r="A83" s="83">
        <v>78</v>
      </c>
      <c r="B83" s="84" t="s">
        <v>241</v>
      </c>
      <c r="C83" s="84">
        <v>252229640</v>
      </c>
      <c r="D83" s="83" t="s">
        <v>164</v>
      </c>
      <c r="E83" s="84" t="s">
        <v>124</v>
      </c>
      <c r="F83" s="125">
        <v>107</v>
      </c>
      <c r="G83" s="126"/>
      <c r="H83" s="127"/>
      <c r="I83" s="128"/>
      <c r="J83" s="128"/>
      <c r="K83" s="125"/>
      <c r="L83" s="129">
        <v>1</v>
      </c>
      <c r="M83" s="129"/>
      <c r="N83" s="129"/>
      <c r="O83" s="126"/>
      <c r="P83" s="126"/>
      <c r="Q83" s="126"/>
      <c r="R83" s="132"/>
      <c r="S83" s="132">
        <v>2</v>
      </c>
      <c r="T83" s="132">
        <v>1</v>
      </c>
      <c r="U83" s="126">
        <v>1</v>
      </c>
      <c r="V83" s="127"/>
      <c r="W83" s="128"/>
      <c r="X83" s="128">
        <v>10</v>
      </c>
      <c r="Y83" s="125"/>
      <c r="Z83" s="129"/>
      <c r="AA83" s="129"/>
      <c r="AB83" s="126"/>
      <c r="AC83" s="126">
        <v>5</v>
      </c>
      <c r="AD83" s="44"/>
      <c r="AE83" s="44"/>
      <c r="AF83" s="44"/>
      <c r="AG83" s="44"/>
      <c r="AH83" s="44"/>
      <c r="AI83" s="44"/>
      <c r="AJ83" s="44"/>
      <c r="AK83" s="44"/>
      <c r="AL83" s="44"/>
    </row>
    <row r="84" spans="1:38" s="70" customFormat="1" ht="14.4" customHeight="1">
      <c r="A84" s="83">
        <v>79</v>
      </c>
      <c r="B84" s="84" t="s">
        <v>242</v>
      </c>
      <c r="C84" s="84">
        <v>252056587</v>
      </c>
      <c r="D84" s="83" t="s">
        <v>164</v>
      </c>
      <c r="E84" s="84" t="s">
        <v>124</v>
      </c>
      <c r="F84" s="125">
        <v>267</v>
      </c>
      <c r="G84" s="126"/>
      <c r="H84" s="127"/>
      <c r="I84" s="128"/>
      <c r="J84" s="128"/>
      <c r="K84" s="125">
        <v>2</v>
      </c>
      <c r="L84" s="129">
        <v>1</v>
      </c>
      <c r="M84" s="129"/>
      <c r="N84" s="129"/>
      <c r="O84" s="126"/>
      <c r="P84" s="126"/>
      <c r="Q84" s="126"/>
      <c r="R84" s="132"/>
      <c r="S84" s="132">
        <v>2</v>
      </c>
      <c r="T84" s="132">
        <v>1</v>
      </c>
      <c r="U84" s="126">
        <v>1</v>
      </c>
      <c r="V84" s="127"/>
      <c r="W84" s="128">
        <v>1</v>
      </c>
      <c r="X84" s="128">
        <v>14</v>
      </c>
      <c r="Y84" s="125"/>
      <c r="Z84" s="129">
        <v>11</v>
      </c>
      <c r="AA84" s="129">
        <v>40</v>
      </c>
      <c r="AB84" s="126"/>
      <c r="AC84" s="126">
        <v>18</v>
      </c>
      <c r="AD84" s="44"/>
      <c r="AE84" s="44"/>
      <c r="AF84" s="44"/>
      <c r="AG84" s="44"/>
      <c r="AH84" s="44"/>
      <c r="AI84" s="44"/>
      <c r="AJ84" s="44"/>
      <c r="AK84" s="44"/>
      <c r="AL84" s="44"/>
    </row>
    <row r="85" spans="1:38" s="70" customFormat="1" ht="14.4" customHeight="1">
      <c r="A85" s="83">
        <v>80</v>
      </c>
      <c r="B85" s="84" t="s">
        <v>243</v>
      </c>
      <c r="C85" s="84">
        <v>252229927</v>
      </c>
      <c r="D85" s="83" t="s">
        <v>164</v>
      </c>
      <c r="E85" s="84" t="s">
        <v>124</v>
      </c>
      <c r="F85" s="125">
        <v>247</v>
      </c>
      <c r="G85" s="126"/>
      <c r="H85" s="127"/>
      <c r="I85" s="128"/>
      <c r="J85" s="128"/>
      <c r="K85" s="125"/>
      <c r="L85" s="129">
        <v>1</v>
      </c>
      <c r="M85" s="129"/>
      <c r="N85" s="129"/>
      <c r="O85" s="126"/>
      <c r="P85" s="126"/>
      <c r="Q85" s="126"/>
      <c r="R85" s="132"/>
      <c r="S85" s="132">
        <v>2</v>
      </c>
      <c r="T85" s="132">
        <v>1</v>
      </c>
      <c r="U85" s="126">
        <v>1</v>
      </c>
      <c r="V85" s="127"/>
      <c r="W85" s="128"/>
      <c r="X85" s="128">
        <v>12</v>
      </c>
      <c r="Y85" s="125"/>
      <c r="Z85" s="129"/>
      <c r="AA85" s="129"/>
      <c r="AB85" s="126"/>
      <c r="AC85" s="126">
        <v>8</v>
      </c>
      <c r="AD85" s="44"/>
      <c r="AE85" s="44"/>
      <c r="AF85" s="44"/>
      <c r="AG85" s="44"/>
      <c r="AH85" s="44"/>
      <c r="AI85" s="44"/>
      <c r="AJ85" s="44"/>
      <c r="AK85" s="44"/>
      <c r="AL85" s="44"/>
    </row>
    <row r="86" spans="1:38" s="70" customFormat="1" ht="14.4" customHeight="1">
      <c r="A86" s="83">
        <v>81</v>
      </c>
      <c r="B86" s="84" t="s">
        <v>244</v>
      </c>
      <c r="C86" s="84">
        <v>252223301</v>
      </c>
      <c r="D86" s="83" t="s">
        <v>164</v>
      </c>
      <c r="E86" s="84" t="s">
        <v>124</v>
      </c>
      <c r="F86" s="125">
        <v>491</v>
      </c>
      <c r="G86" s="126"/>
      <c r="H86" s="127"/>
      <c r="I86" s="128"/>
      <c r="J86" s="128"/>
      <c r="K86" s="125"/>
      <c r="L86" s="129"/>
      <c r="M86" s="129">
        <v>1</v>
      </c>
      <c r="N86" s="129"/>
      <c r="O86" s="126"/>
      <c r="P86" s="126"/>
      <c r="Q86" s="126"/>
      <c r="R86" s="132"/>
      <c r="S86" s="132">
        <v>2</v>
      </c>
      <c r="T86" s="132">
        <v>1</v>
      </c>
      <c r="U86" s="126">
        <v>1</v>
      </c>
      <c r="V86" s="127"/>
      <c r="W86" s="128"/>
      <c r="X86" s="128">
        <v>24</v>
      </c>
      <c r="Y86" s="125"/>
      <c r="Z86" s="129"/>
      <c r="AA86" s="129"/>
      <c r="AB86" s="126"/>
      <c r="AC86" s="126">
        <v>22</v>
      </c>
      <c r="AD86" s="44"/>
      <c r="AE86" s="44"/>
      <c r="AF86" s="44"/>
      <c r="AG86" s="44"/>
      <c r="AH86" s="44"/>
      <c r="AI86" s="44"/>
      <c r="AJ86" s="44"/>
      <c r="AK86" s="44"/>
      <c r="AL86" s="44"/>
    </row>
    <row r="87" spans="1:38" s="70" customFormat="1" ht="14.4" customHeight="1">
      <c r="A87" s="83">
        <v>82</v>
      </c>
      <c r="B87" s="84" t="s">
        <v>245</v>
      </c>
      <c r="C87" s="84">
        <v>252222798</v>
      </c>
      <c r="D87" s="83" t="s">
        <v>164</v>
      </c>
      <c r="E87" s="84" t="s">
        <v>124</v>
      </c>
      <c r="F87" s="125">
        <v>146</v>
      </c>
      <c r="G87" s="126"/>
      <c r="H87" s="127"/>
      <c r="I87" s="128"/>
      <c r="J87" s="128"/>
      <c r="K87" s="125"/>
      <c r="L87" s="129"/>
      <c r="M87" s="129"/>
      <c r="N87" s="129"/>
      <c r="O87" s="126"/>
      <c r="P87" s="126"/>
      <c r="Q87" s="126">
        <v>1</v>
      </c>
      <c r="R87" s="132"/>
      <c r="S87" s="132">
        <v>2</v>
      </c>
      <c r="T87" s="132">
        <v>1</v>
      </c>
      <c r="U87" s="126">
        <v>1</v>
      </c>
      <c r="V87" s="127">
        <v>17</v>
      </c>
      <c r="W87" s="128"/>
      <c r="X87" s="128">
        <v>6</v>
      </c>
      <c r="Y87" s="125">
        <v>2</v>
      </c>
      <c r="Z87" s="129"/>
      <c r="AA87" s="129"/>
      <c r="AB87" s="126">
        <v>25</v>
      </c>
      <c r="AC87" s="126">
        <v>8</v>
      </c>
      <c r="AD87" s="44"/>
      <c r="AE87" s="44"/>
      <c r="AF87" s="44"/>
      <c r="AG87" s="44"/>
      <c r="AH87" s="44"/>
      <c r="AI87" s="44"/>
      <c r="AJ87" s="44"/>
      <c r="AK87" s="44"/>
      <c r="AL87" s="44"/>
    </row>
    <row r="88" spans="1:38" s="70" customFormat="1" ht="14.4" customHeight="1">
      <c r="A88" s="83">
        <v>83</v>
      </c>
      <c r="B88" s="84" t="s">
        <v>246</v>
      </c>
      <c r="C88" s="84">
        <v>252229974</v>
      </c>
      <c r="D88" s="83" t="s">
        <v>164</v>
      </c>
      <c r="E88" s="84" t="s">
        <v>124</v>
      </c>
      <c r="F88" s="125">
        <v>67</v>
      </c>
      <c r="G88" s="126"/>
      <c r="H88" s="127"/>
      <c r="I88" s="128"/>
      <c r="J88" s="128"/>
      <c r="K88" s="125"/>
      <c r="L88" s="129"/>
      <c r="M88" s="129">
        <v>1</v>
      </c>
      <c r="N88" s="129"/>
      <c r="O88" s="126"/>
      <c r="P88" s="126"/>
      <c r="Q88" s="126"/>
      <c r="R88" s="132"/>
      <c r="S88" s="132">
        <v>2</v>
      </c>
      <c r="T88" s="132">
        <v>1</v>
      </c>
      <c r="U88" s="126">
        <v>1</v>
      </c>
      <c r="V88" s="127"/>
      <c r="W88" s="128"/>
      <c r="X88" s="128">
        <v>4</v>
      </c>
      <c r="Y88" s="125"/>
      <c r="Z88" s="129"/>
      <c r="AA88" s="129"/>
      <c r="AB88" s="126"/>
      <c r="AC88" s="126">
        <v>12</v>
      </c>
      <c r="AD88" s="44"/>
      <c r="AE88" s="44"/>
      <c r="AF88" s="44"/>
      <c r="AG88" s="44"/>
      <c r="AH88" s="44"/>
      <c r="AI88" s="44"/>
      <c r="AJ88" s="44"/>
      <c r="AK88" s="44"/>
      <c r="AL88" s="44"/>
    </row>
    <row r="89" spans="1:38" s="70" customFormat="1" ht="14.4" customHeight="1">
      <c r="A89" s="83">
        <v>84</v>
      </c>
      <c r="B89" s="84" t="s">
        <v>247</v>
      </c>
      <c r="C89" s="84">
        <v>252298003</v>
      </c>
      <c r="D89" s="83" t="s">
        <v>164</v>
      </c>
      <c r="E89" s="84" t="s">
        <v>124</v>
      </c>
      <c r="F89" s="125">
        <v>91</v>
      </c>
      <c r="G89" s="126"/>
      <c r="H89" s="127"/>
      <c r="I89" s="128"/>
      <c r="J89" s="128"/>
      <c r="K89" s="125"/>
      <c r="L89" s="129">
        <v>1</v>
      </c>
      <c r="M89" s="129"/>
      <c r="N89" s="129"/>
      <c r="O89" s="126"/>
      <c r="P89" s="126"/>
      <c r="Q89" s="126"/>
      <c r="R89" s="132"/>
      <c r="S89" s="132">
        <v>2</v>
      </c>
      <c r="T89" s="132">
        <v>1</v>
      </c>
      <c r="U89" s="126">
        <v>1</v>
      </c>
      <c r="V89" s="127"/>
      <c r="W89" s="128"/>
      <c r="X89" s="128">
        <v>6</v>
      </c>
      <c r="Y89" s="125"/>
      <c r="Z89" s="129">
        <v>12</v>
      </c>
      <c r="AA89" s="129">
        <v>18</v>
      </c>
      <c r="AB89" s="126"/>
      <c r="AC89" s="126">
        <v>13</v>
      </c>
      <c r="AD89" s="44"/>
      <c r="AE89" s="44"/>
      <c r="AF89" s="44"/>
      <c r="AG89" s="44"/>
      <c r="AH89" s="44"/>
      <c r="AI89" s="44"/>
      <c r="AJ89" s="44"/>
      <c r="AK89" s="44"/>
      <c r="AL89" s="44"/>
    </row>
    <row r="90" spans="1:38" s="70" customFormat="1" ht="14.4" customHeight="1">
      <c r="A90" s="83">
        <v>85</v>
      </c>
      <c r="B90" s="84" t="s">
        <v>248</v>
      </c>
      <c r="C90" s="84">
        <v>252229964</v>
      </c>
      <c r="D90" s="83" t="s">
        <v>164</v>
      </c>
      <c r="E90" s="84" t="s">
        <v>124</v>
      </c>
      <c r="F90" s="125">
        <v>230</v>
      </c>
      <c r="G90" s="126"/>
      <c r="H90" s="127"/>
      <c r="I90" s="128"/>
      <c r="J90" s="128"/>
      <c r="K90" s="125"/>
      <c r="L90" s="129">
        <v>1</v>
      </c>
      <c r="M90" s="129"/>
      <c r="N90" s="129"/>
      <c r="O90" s="126"/>
      <c r="P90" s="126"/>
      <c r="Q90" s="126"/>
      <c r="R90" s="132"/>
      <c r="S90" s="132">
        <v>2</v>
      </c>
      <c r="T90" s="132">
        <v>1</v>
      </c>
      <c r="U90" s="126">
        <v>0</v>
      </c>
      <c r="V90" s="127"/>
      <c r="W90" s="128"/>
      <c r="X90" s="128">
        <v>14</v>
      </c>
      <c r="Y90" s="125"/>
      <c r="Z90" s="129"/>
      <c r="AA90" s="129"/>
      <c r="AB90" s="126"/>
      <c r="AC90" s="126">
        <v>5</v>
      </c>
      <c r="AD90" s="44"/>
      <c r="AE90" s="44"/>
      <c r="AF90" s="44"/>
      <c r="AG90" s="44"/>
      <c r="AH90" s="44"/>
      <c r="AI90" s="44"/>
      <c r="AJ90" s="44"/>
      <c r="AK90" s="44"/>
      <c r="AL90" s="44"/>
    </row>
    <row r="91" spans="1:38" s="70" customFormat="1" ht="14.4" customHeight="1">
      <c r="A91" s="83">
        <v>86</v>
      </c>
      <c r="B91" s="84" t="s">
        <v>249</v>
      </c>
      <c r="C91" s="84">
        <v>252230583</v>
      </c>
      <c r="D91" s="83" t="s">
        <v>164</v>
      </c>
      <c r="E91" s="84" t="s">
        <v>124</v>
      </c>
      <c r="F91" s="125">
        <v>72</v>
      </c>
      <c r="G91" s="126"/>
      <c r="H91" s="127"/>
      <c r="I91" s="128"/>
      <c r="J91" s="128"/>
      <c r="K91" s="125"/>
      <c r="L91" s="129"/>
      <c r="M91" s="129">
        <v>1</v>
      </c>
      <c r="N91" s="129"/>
      <c r="O91" s="126"/>
      <c r="P91" s="126"/>
      <c r="Q91" s="126"/>
      <c r="R91" s="132"/>
      <c r="S91" s="132">
        <v>2</v>
      </c>
      <c r="T91" s="132">
        <v>1</v>
      </c>
      <c r="U91" s="126">
        <v>1</v>
      </c>
      <c r="V91" s="127"/>
      <c r="W91" s="128"/>
      <c r="X91" s="128">
        <v>4</v>
      </c>
      <c r="Y91" s="125"/>
      <c r="Z91" s="129"/>
      <c r="AA91" s="129"/>
      <c r="AB91" s="126"/>
      <c r="AC91" s="126">
        <v>8</v>
      </c>
      <c r="AD91" s="44"/>
      <c r="AE91" s="44"/>
      <c r="AF91" s="44"/>
      <c r="AG91" s="44"/>
      <c r="AH91" s="44"/>
      <c r="AI91" s="44"/>
      <c r="AJ91" s="44"/>
      <c r="AK91" s="44"/>
      <c r="AL91" s="44"/>
    </row>
    <row r="92" spans="1:38" s="70" customFormat="1" ht="14.4" customHeight="1">
      <c r="A92" s="83">
        <v>87</v>
      </c>
      <c r="B92" s="84" t="s">
        <v>250</v>
      </c>
      <c r="C92" s="84">
        <v>252221957</v>
      </c>
      <c r="D92" s="83" t="s">
        <v>164</v>
      </c>
      <c r="E92" s="84" t="s">
        <v>124</v>
      </c>
      <c r="F92" s="125">
        <v>497</v>
      </c>
      <c r="G92" s="126">
        <v>1</v>
      </c>
      <c r="H92" s="127"/>
      <c r="I92" s="128"/>
      <c r="J92" s="128"/>
      <c r="K92" s="125">
        <v>2</v>
      </c>
      <c r="L92" s="129">
        <v>1</v>
      </c>
      <c r="M92" s="129"/>
      <c r="N92" s="129"/>
      <c r="O92" s="126"/>
      <c r="P92" s="126"/>
      <c r="Q92" s="126"/>
      <c r="R92" s="132"/>
      <c r="S92" s="132">
        <v>2</v>
      </c>
      <c r="T92" s="132">
        <v>1</v>
      </c>
      <c r="U92" s="126">
        <v>1</v>
      </c>
      <c r="V92" s="127"/>
      <c r="W92" s="128">
        <v>1</v>
      </c>
      <c r="X92" s="128">
        <v>22</v>
      </c>
      <c r="Y92" s="125"/>
      <c r="Z92" s="129"/>
      <c r="AA92" s="129"/>
      <c r="AB92" s="126"/>
      <c r="AC92" s="126">
        <v>11</v>
      </c>
      <c r="AD92" s="44"/>
      <c r="AE92" s="44"/>
      <c r="AF92" s="44"/>
      <c r="AG92" s="44"/>
      <c r="AH92" s="44"/>
      <c r="AI92" s="44"/>
      <c r="AJ92" s="44"/>
      <c r="AK92" s="44"/>
      <c r="AL92" s="44"/>
    </row>
    <row r="93" spans="1:38" s="70" customFormat="1" ht="14.4" customHeight="1">
      <c r="A93" s="83">
        <v>88</v>
      </c>
      <c r="B93" s="84" t="s">
        <v>251</v>
      </c>
      <c r="C93" s="84">
        <v>252272666</v>
      </c>
      <c r="D93" s="83" t="s">
        <v>164</v>
      </c>
      <c r="E93" s="84" t="s">
        <v>124</v>
      </c>
      <c r="F93" s="125">
        <v>199</v>
      </c>
      <c r="G93" s="126"/>
      <c r="H93" s="127">
        <v>1</v>
      </c>
      <c r="I93" s="128"/>
      <c r="J93" s="128"/>
      <c r="K93" s="125">
        <v>2</v>
      </c>
      <c r="L93" s="129"/>
      <c r="M93" s="129"/>
      <c r="N93" s="129"/>
      <c r="O93" s="126"/>
      <c r="P93" s="126"/>
      <c r="Q93" s="126">
        <v>1</v>
      </c>
      <c r="R93" s="132"/>
      <c r="S93" s="132">
        <v>2</v>
      </c>
      <c r="T93" s="132">
        <v>1</v>
      </c>
      <c r="U93" s="126">
        <v>1</v>
      </c>
      <c r="V93" s="127"/>
      <c r="W93" s="128">
        <v>1</v>
      </c>
      <c r="X93" s="128">
        <v>10</v>
      </c>
      <c r="Y93" s="125"/>
      <c r="Z93" s="129"/>
      <c r="AA93" s="129"/>
      <c r="AB93" s="126"/>
      <c r="AC93" s="126">
        <v>11</v>
      </c>
      <c r="AD93" s="44"/>
      <c r="AE93" s="44"/>
      <c r="AF93" s="44"/>
      <c r="AG93" s="44"/>
      <c r="AH93" s="44"/>
      <c r="AI93" s="44"/>
      <c r="AJ93" s="44"/>
      <c r="AK93" s="44"/>
      <c r="AL93" s="44"/>
    </row>
    <row r="94" spans="1:38" s="70" customFormat="1" ht="14.4" customHeight="1">
      <c r="A94" s="83">
        <v>89</v>
      </c>
      <c r="B94" s="84" t="s">
        <v>252</v>
      </c>
      <c r="C94" s="84">
        <v>252229971</v>
      </c>
      <c r="D94" s="83" t="s">
        <v>164</v>
      </c>
      <c r="E94" s="84" t="s">
        <v>124</v>
      </c>
      <c r="F94" s="125">
        <v>83</v>
      </c>
      <c r="G94" s="126"/>
      <c r="H94" s="127"/>
      <c r="I94" s="128"/>
      <c r="J94" s="128"/>
      <c r="K94" s="125"/>
      <c r="L94" s="129">
        <v>1</v>
      </c>
      <c r="M94" s="129"/>
      <c r="N94" s="129"/>
      <c r="O94" s="126"/>
      <c r="P94" s="126"/>
      <c r="Q94" s="126"/>
      <c r="R94" s="132"/>
      <c r="S94" s="132">
        <v>2</v>
      </c>
      <c r="T94" s="132">
        <v>1</v>
      </c>
      <c r="U94" s="126">
        <v>1</v>
      </c>
      <c r="V94" s="127"/>
      <c r="W94" s="128"/>
      <c r="X94" s="128">
        <v>6</v>
      </c>
      <c r="Y94" s="125"/>
      <c r="Z94" s="129"/>
      <c r="AA94" s="129"/>
      <c r="AB94" s="126"/>
      <c r="AC94" s="126">
        <v>10</v>
      </c>
      <c r="AD94" s="44"/>
      <c r="AE94" s="44"/>
      <c r="AF94" s="44"/>
      <c r="AG94" s="44"/>
      <c r="AH94" s="44"/>
      <c r="AI94" s="44"/>
      <c r="AJ94" s="44"/>
      <c r="AK94" s="44"/>
      <c r="AL94" s="44"/>
    </row>
    <row r="95" spans="1:38" s="70" customFormat="1" ht="14.4" customHeight="1">
      <c r="A95" s="83">
        <v>90</v>
      </c>
      <c r="B95" s="84" t="s">
        <v>253</v>
      </c>
      <c r="C95" s="84">
        <v>252227866</v>
      </c>
      <c r="D95" s="83" t="s">
        <v>164</v>
      </c>
      <c r="E95" s="84" t="s">
        <v>124</v>
      </c>
      <c r="F95" s="125">
        <v>127</v>
      </c>
      <c r="G95" s="126"/>
      <c r="H95" s="127"/>
      <c r="I95" s="128"/>
      <c r="J95" s="128"/>
      <c r="K95" s="125"/>
      <c r="L95" s="129">
        <v>1</v>
      </c>
      <c r="M95" s="129"/>
      <c r="N95" s="129"/>
      <c r="O95" s="126"/>
      <c r="P95" s="126"/>
      <c r="Q95" s="126"/>
      <c r="R95" s="132"/>
      <c r="S95" s="132">
        <v>2</v>
      </c>
      <c r="T95" s="132">
        <v>1</v>
      </c>
      <c r="U95" s="126">
        <v>1</v>
      </c>
      <c r="V95" s="127"/>
      <c r="W95" s="128"/>
      <c r="X95" s="128">
        <v>6</v>
      </c>
      <c r="Y95" s="125"/>
      <c r="Z95" s="129"/>
      <c r="AA95" s="129"/>
      <c r="AB95" s="126"/>
      <c r="AC95" s="126">
        <v>9</v>
      </c>
      <c r="AD95" s="44"/>
      <c r="AE95" s="44"/>
      <c r="AF95" s="44"/>
      <c r="AG95" s="44"/>
      <c r="AH95" s="44"/>
      <c r="AI95" s="44"/>
      <c r="AJ95" s="44"/>
      <c r="AK95" s="44"/>
      <c r="AL95" s="44"/>
    </row>
    <row r="96" spans="1:38" s="70" customFormat="1" ht="14.4" customHeight="1">
      <c r="A96" s="83">
        <v>91</v>
      </c>
      <c r="B96" s="84" t="s">
        <v>254</v>
      </c>
      <c r="C96" s="84">
        <v>252230622</v>
      </c>
      <c r="D96" s="83" t="s">
        <v>164</v>
      </c>
      <c r="E96" s="84" t="s">
        <v>124</v>
      </c>
      <c r="F96" s="125">
        <v>142</v>
      </c>
      <c r="G96" s="126"/>
      <c r="H96" s="127">
        <v>1</v>
      </c>
      <c r="I96" s="128"/>
      <c r="J96" s="128"/>
      <c r="K96" s="125">
        <v>2</v>
      </c>
      <c r="L96" s="129">
        <v>1</v>
      </c>
      <c r="M96" s="129"/>
      <c r="N96" s="129"/>
      <c r="O96" s="126"/>
      <c r="P96" s="126"/>
      <c r="Q96" s="126"/>
      <c r="R96" s="132"/>
      <c r="S96" s="132">
        <v>2</v>
      </c>
      <c r="T96" s="132">
        <v>1</v>
      </c>
      <c r="U96" s="126">
        <v>1</v>
      </c>
      <c r="V96" s="127"/>
      <c r="W96" s="128">
        <v>1</v>
      </c>
      <c r="X96" s="128">
        <v>8</v>
      </c>
      <c r="Y96" s="125"/>
      <c r="Z96" s="129"/>
      <c r="AA96" s="129"/>
      <c r="AB96" s="126"/>
      <c r="AC96" s="126">
        <v>14</v>
      </c>
      <c r="AD96" s="44"/>
      <c r="AE96" s="44"/>
      <c r="AF96" s="44"/>
      <c r="AG96" s="44"/>
      <c r="AH96" s="44"/>
      <c r="AI96" s="44"/>
      <c r="AJ96" s="44"/>
      <c r="AK96" s="44"/>
      <c r="AL96" s="44"/>
    </row>
    <row r="97" spans="1:38" s="70" customFormat="1" ht="14.4" customHeight="1">
      <c r="A97" s="83">
        <v>92</v>
      </c>
      <c r="B97" s="84" t="s">
        <v>255</v>
      </c>
      <c r="C97" s="84">
        <v>252229983</v>
      </c>
      <c r="D97" s="83" t="s">
        <v>164</v>
      </c>
      <c r="E97" s="84" t="s">
        <v>124</v>
      </c>
      <c r="F97" s="125">
        <v>131</v>
      </c>
      <c r="G97" s="126"/>
      <c r="H97" s="127">
        <v>1</v>
      </c>
      <c r="I97" s="128"/>
      <c r="J97" s="128"/>
      <c r="K97" s="125">
        <v>8</v>
      </c>
      <c r="L97" s="129">
        <v>1</v>
      </c>
      <c r="M97" s="129"/>
      <c r="N97" s="129"/>
      <c r="O97" s="126"/>
      <c r="P97" s="126"/>
      <c r="Q97" s="126"/>
      <c r="R97" s="132"/>
      <c r="S97" s="132">
        <v>2</v>
      </c>
      <c r="T97" s="132">
        <v>1</v>
      </c>
      <c r="U97" s="126">
        <v>1</v>
      </c>
      <c r="V97" s="127"/>
      <c r="W97" s="128">
        <v>4</v>
      </c>
      <c r="X97" s="128">
        <v>8</v>
      </c>
      <c r="Y97" s="125"/>
      <c r="Z97" s="129"/>
      <c r="AA97" s="129"/>
      <c r="AB97" s="126"/>
      <c r="AC97" s="126">
        <v>5</v>
      </c>
      <c r="AD97" s="44"/>
      <c r="AE97" s="44"/>
      <c r="AF97" s="44"/>
      <c r="AG97" s="44"/>
      <c r="AH97" s="44"/>
      <c r="AI97" s="44"/>
      <c r="AJ97" s="44"/>
      <c r="AK97" s="44"/>
      <c r="AL97" s="44"/>
    </row>
    <row r="98" spans="1:38" s="70" customFormat="1" ht="14.4" customHeight="1">
      <c r="A98" s="83">
        <v>93</v>
      </c>
      <c r="B98" s="84" t="s">
        <v>256</v>
      </c>
      <c r="C98" s="84">
        <v>252229862</v>
      </c>
      <c r="D98" s="83" t="s">
        <v>164</v>
      </c>
      <c r="E98" s="84" t="s">
        <v>124</v>
      </c>
      <c r="F98" s="125">
        <v>150</v>
      </c>
      <c r="G98" s="126"/>
      <c r="H98" s="127"/>
      <c r="I98" s="128"/>
      <c r="J98" s="128"/>
      <c r="K98" s="125"/>
      <c r="L98" s="129">
        <v>1</v>
      </c>
      <c r="M98" s="129"/>
      <c r="N98" s="129"/>
      <c r="O98" s="126"/>
      <c r="P98" s="126"/>
      <c r="Q98" s="126"/>
      <c r="R98" s="132"/>
      <c r="S98" s="132">
        <v>2</v>
      </c>
      <c r="T98" s="132">
        <v>1</v>
      </c>
      <c r="U98" s="126">
        <v>1</v>
      </c>
      <c r="V98" s="127"/>
      <c r="W98" s="128"/>
      <c r="X98" s="128">
        <v>8</v>
      </c>
      <c r="Y98" s="125"/>
      <c r="Z98" s="129"/>
      <c r="AA98" s="129"/>
      <c r="AB98" s="126"/>
      <c r="AC98" s="126">
        <v>11</v>
      </c>
      <c r="AD98" s="44"/>
      <c r="AE98" s="44"/>
      <c r="AF98" s="44"/>
      <c r="AG98" s="44"/>
      <c r="AH98" s="44"/>
      <c r="AI98" s="44"/>
      <c r="AJ98" s="44"/>
      <c r="AK98" s="44"/>
      <c r="AL98" s="44"/>
    </row>
    <row r="99" spans="1:38" s="70" customFormat="1" ht="14.4" customHeight="1">
      <c r="A99" s="83">
        <v>94</v>
      </c>
      <c r="B99" s="84" t="s">
        <v>257</v>
      </c>
      <c r="C99" s="84">
        <v>252229884</v>
      </c>
      <c r="D99" s="83" t="s">
        <v>164</v>
      </c>
      <c r="E99" s="84" t="s">
        <v>124</v>
      </c>
      <c r="F99" s="125">
        <v>506</v>
      </c>
      <c r="G99" s="126"/>
      <c r="H99" s="127">
        <v>1</v>
      </c>
      <c r="I99" s="128"/>
      <c r="J99" s="128"/>
      <c r="K99" s="125">
        <v>2</v>
      </c>
      <c r="L99" s="129">
        <v>1</v>
      </c>
      <c r="M99" s="129"/>
      <c r="N99" s="129"/>
      <c r="O99" s="126"/>
      <c r="P99" s="126"/>
      <c r="Q99" s="126"/>
      <c r="R99" s="132"/>
      <c r="S99" s="132">
        <v>2</v>
      </c>
      <c r="T99" s="132">
        <v>1</v>
      </c>
      <c r="U99" s="126">
        <v>1</v>
      </c>
      <c r="V99" s="127"/>
      <c r="W99" s="128">
        <v>1</v>
      </c>
      <c r="X99" s="128">
        <v>28</v>
      </c>
      <c r="Y99" s="125"/>
      <c r="Z99" s="129"/>
      <c r="AA99" s="129"/>
      <c r="AB99" s="126"/>
      <c r="AC99" s="126">
        <v>7</v>
      </c>
      <c r="AD99" s="44"/>
      <c r="AE99" s="44"/>
      <c r="AF99" s="44"/>
      <c r="AG99" s="44"/>
      <c r="AH99" s="44"/>
      <c r="AI99" s="44"/>
      <c r="AJ99" s="44"/>
      <c r="AK99" s="44"/>
      <c r="AL99" s="44"/>
    </row>
    <row r="100" spans="1:38" s="70" customFormat="1" ht="14.4" customHeight="1">
      <c r="A100" s="83">
        <v>95</v>
      </c>
      <c r="B100" s="84" t="s">
        <v>258</v>
      </c>
      <c r="C100" s="84">
        <v>252229885</v>
      </c>
      <c r="D100" s="83" t="s">
        <v>164</v>
      </c>
      <c r="E100" s="84" t="s">
        <v>124</v>
      </c>
      <c r="F100" s="125">
        <v>271</v>
      </c>
      <c r="G100" s="126"/>
      <c r="H100" s="127"/>
      <c r="I100" s="128"/>
      <c r="J100" s="128"/>
      <c r="K100" s="125"/>
      <c r="L100" s="129"/>
      <c r="M100" s="129"/>
      <c r="N100" s="129"/>
      <c r="O100" s="126"/>
      <c r="P100" s="126"/>
      <c r="Q100" s="126">
        <v>1</v>
      </c>
      <c r="R100" s="132"/>
      <c r="S100" s="132">
        <v>2</v>
      </c>
      <c r="T100" s="132">
        <v>1</v>
      </c>
      <c r="U100" s="126">
        <v>1</v>
      </c>
      <c r="V100" s="127">
        <v>16</v>
      </c>
      <c r="W100" s="128"/>
      <c r="X100" s="128">
        <v>16</v>
      </c>
      <c r="Y100" s="125">
        <v>2</v>
      </c>
      <c r="Z100" s="129"/>
      <c r="AA100" s="129">
        <v>18</v>
      </c>
      <c r="AB100" s="126"/>
      <c r="AC100" s="126">
        <v>14</v>
      </c>
      <c r="AD100" s="44"/>
      <c r="AE100" s="44"/>
      <c r="AF100" s="44"/>
      <c r="AG100" s="44"/>
      <c r="AH100" s="44"/>
      <c r="AI100" s="44"/>
      <c r="AJ100" s="44"/>
      <c r="AK100" s="44"/>
      <c r="AL100" s="44"/>
    </row>
    <row r="101" spans="1:38" s="70" customFormat="1" ht="14.4" customHeight="1">
      <c r="A101" s="83">
        <v>96</v>
      </c>
      <c r="B101" s="84" t="s">
        <v>259</v>
      </c>
      <c r="C101" s="84">
        <v>252249194</v>
      </c>
      <c r="D101" s="83" t="s">
        <v>164</v>
      </c>
      <c r="E101" s="84" t="s">
        <v>124</v>
      </c>
      <c r="F101" s="125">
        <v>355</v>
      </c>
      <c r="G101" s="126"/>
      <c r="H101" s="127"/>
      <c r="I101" s="128"/>
      <c r="J101" s="128"/>
      <c r="K101" s="125"/>
      <c r="L101" s="129">
        <v>1</v>
      </c>
      <c r="M101" s="129"/>
      <c r="N101" s="129"/>
      <c r="O101" s="126"/>
      <c r="P101" s="126"/>
      <c r="Q101" s="126"/>
      <c r="R101" s="132"/>
      <c r="S101" s="132">
        <v>2</v>
      </c>
      <c r="T101" s="132">
        <v>1</v>
      </c>
      <c r="U101" s="126">
        <v>1</v>
      </c>
      <c r="V101" s="127"/>
      <c r="W101" s="128"/>
      <c r="X101" s="128">
        <v>22</v>
      </c>
      <c r="Y101" s="125"/>
      <c r="Z101" s="129"/>
      <c r="AA101" s="129"/>
      <c r="AB101" s="126"/>
      <c r="AC101" s="126">
        <v>12</v>
      </c>
      <c r="AD101" s="44"/>
      <c r="AE101" s="44"/>
      <c r="AF101" s="44"/>
      <c r="AG101" s="44"/>
      <c r="AH101" s="44"/>
      <c r="AI101" s="44"/>
      <c r="AJ101" s="44"/>
      <c r="AK101" s="44"/>
      <c r="AL101" s="44"/>
    </row>
    <row r="102" spans="1:38" s="70" customFormat="1" ht="14.4" customHeight="1">
      <c r="A102" s="83">
        <v>97</v>
      </c>
      <c r="B102" s="84" t="s">
        <v>260</v>
      </c>
      <c r="C102" s="84">
        <v>252249083</v>
      </c>
      <c r="D102" s="83" t="s">
        <v>164</v>
      </c>
      <c r="E102" s="84" t="s">
        <v>124</v>
      </c>
      <c r="F102" s="125">
        <v>374</v>
      </c>
      <c r="G102" s="126"/>
      <c r="H102" s="127"/>
      <c r="I102" s="128"/>
      <c r="J102" s="128"/>
      <c r="K102" s="125"/>
      <c r="L102" s="129"/>
      <c r="M102" s="129">
        <v>1</v>
      </c>
      <c r="N102" s="129"/>
      <c r="O102" s="126"/>
      <c r="P102" s="126"/>
      <c r="Q102" s="126"/>
      <c r="R102" s="132"/>
      <c r="S102" s="132">
        <v>2</v>
      </c>
      <c r="T102" s="132">
        <v>1</v>
      </c>
      <c r="U102" s="126">
        <v>1</v>
      </c>
      <c r="V102" s="127"/>
      <c r="W102" s="128"/>
      <c r="X102" s="128">
        <v>22</v>
      </c>
      <c r="Y102" s="125"/>
      <c r="Z102" s="129"/>
      <c r="AA102" s="129"/>
      <c r="AB102" s="126"/>
      <c r="AC102" s="126">
        <v>5</v>
      </c>
      <c r="AD102" s="44"/>
      <c r="AE102" s="44"/>
      <c r="AF102" s="44"/>
      <c r="AG102" s="44"/>
      <c r="AH102" s="44"/>
      <c r="AI102" s="44"/>
      <c r="AJ102" s="44"/>
      <c r="AK102" s="44"/>
      <c r="AL102" s="44"/>
    </row>
    <row r="103" spans="1:38" s="70" customFormat="1" ht="14.4" customHeight="1">
      <c r="A103" s="83">
        <v>98</v>
      </c>
      <c r="B103" s="84" t="s">
        <v>261</v>
      </c>
      <c r="C103" s="84">
        <v>252272225</v>
      </c>
      <c r="D103" s="83" t="s">
        <v>164</v>
      </c>
      <c r="E103" s="84" t="s">
        <v>124</v>
      </c>
      <c r="F103" s="125">
        <v>222</v>
      </c>
      <c r="G103" s="126"/>
      <c r="H103" s="127"/>
      <c r="I103" s="128"/>
      <c r="J103" s="128"/>
      <c r="K103" s="125">
        <v>2</v>
      </c>
      <c r="L103" s="129">
        <v>1</v>
      </c>
      <c r="M103" s="129"/>
      <c r="N103" s="129"/>
      <c r="O103" s="126"/>
      <c r="P103" s="126"/>
      <c r="Q103" s="126"/>
      <c r="R103" s="132"/>
      <c r="S103" s="132">
        <v>2</v>
      </c>
      <c r="T103" s="132">
        <v>1</v>
      </c>
      <c r="U103" s="126">
        <v>1</v>
      </c>
      <c r="V103" s="127"/>
      <c r="W103" s="128">
        <v>1</v>
      </c>
      <c r="X103" s="128">
        <v>14</v>
      </c>
      <c r="Y103" s="125"/>
      <c r="Z103" s="129"/>
      <c r="AA103" s="129"/>
      <c r="AB103" s="126"/>
      <c r="AC103" s="126">
        <v>8</v>
      </c>
      <c r="AD103" s="44"/>
      <c r="AE103" s="44"/>
      <c r="AF103" s="44"/>
      <c r="AG103" s="44"/>
      <c r="AH103" s="44"/>
      <c r="AI103" s="44"/>
      <c r="AJ103" s="44"/>
      <c r="AK103" s="44"/>
      <c r="AL103" s="44"/>
    </row>
    <row r="104" spans="1:38" s="70" customFormat="1" ht="14.4" customHeight="1">
      <c r="A104" s="83">
        <v>99</v>
      </c>
      <c r="B104" s="84" t="s">
        <v>262</v>
      </c>
      <c r="C104" s="84">
        <v>252249825</v>
      </c>
      <c r="D104" s="83" t="s">
        <v>164</v>
      </c>
      <c r="E104" s="84" t="s">
        <v>124</v>
      </c>
      <c r="F104" s="125">
        <v>547</v>
      </c>
      <c r="G104" s="126"/>
      <c r="H104" s="127"/>
      <c r="I104" s="128"/>
      <c r="J104" s="128"/>
      <c r="K104" s="125"/>
      <c r="L104" s="129"/>
      <c r="M104" s="129">
        <v>1</v>
      </c>
      <c r="N104" s="129"/>
      <c r="O104" s="126"/>
      <c r="P104" s="126"/>
      <c r="Q104" s="126"/>
      <c r="R104" s="132"/>
      <c r="S104" s="132">
        <v>2</v>
      </c>
      <c r="T104" s="132">
        <v>1</v>
      </c>
      <c r="U104" s="126">
        <v>1</v>
      </c>
      <c r="V104" s="127"/>
      <c r="W104" s="128"/>
      <c r="X104" s="128">
        <v>28</v>
      </c>
      <c r="Y104" s="125"/>
      <c r="Z104" s="129"/>
      <c r="AA104" s="129"/>
      <c r="AB104" s="126"/>
      <c r="AC104" s="126">
        <v>3</v>
      </c>
      <c r="AD104" s="44"/>
      <c r="AE104" s="44"/>
      <c r="AF104" s="44"/>
      <c r="AG104" s="44"/>
      <c r="AH104" s="44"/>
      <c r="AI104" s="44"/>
      <c r="AJ104" s="44"/>
      <c r="AK104" s="44"/>
      <c r="AL104" s="44"/>
    </row>
    <row r="105" spans="1:38" s="70" customFormat="1" ht="14.4" customHeight="1">
      <c r="A105" s="83">
        <v>100</v>
      </c>
      <c r="B105" s="84" t="s">
        <v>263</v>
      </c>
      <c r="C105" s="84">
        <v>252249928</v>
      </c>
      <c r="D105" s="83" t="s">
        <v>164</v>
      </c>
      <c r="E105" s="84" t="s">
        <v>124</v>
      </c>
      <c r="F105" s="125">
        <v>176</v>
      </c>
      <c r="G105" s="126"/>
      <c r="H105" s="127"/>
      <c r="I105" s="128"/>
      <c r="J105" s="128"/>
      <c r="K105" s="125"/>
      <c r="L105" s="129"/>
      <c r="M105" s="129"/>
      <c r="N105" s="129"/>
      <c r="O105" s="126"/>
      <c r="P105" s="126"/>
      <c r="Q105" s="126">
        <v>1</v>
      </c>
      <c r="R105" s="132"/>
      <c r="S105" s="132">
        <v>2</v>
      </c>
      <c r="T105" s="132">
        <v>1</v>
      </c>
      <c r="U105" s="126">
        <v>1</v>
      </c>
      <c r="V105" s="127"/>
      <c r="W105" s="128"/>
      <c r="X105" s="128">
        <v>10</v>
      </c>
      <c r="Y105" s="125"/>
      <c r="Z105" s="129"/>
      <c r="AA105" s="129"/>
      <c r="AB105" s="126"/>
      <c r="AC105" s="126">
        <v>13</v>
      </c>
      <c r="AD105" s="44"/>
      <c r="AE105" s="44"/>
      <c r="AF105" s="44"/>
      <c r="AG105" s="44"/>
      <c r="AH105" s="44"/>
      <c r="AI105" s="44"/>
      <c r="AJ105" s="44"/>
      <c r="AK105" s="44"/>
      <c r="AL105" s="44"/>
    </row>
    <row r="106" spans="1:38" s="70" customFormat="1" ht="14.4" customHeight="1">
      <c r="A106" s="83">
        <v>101</v>
      </c>
      <c r="B106" s="84" t="s">
        <v>264</v>
      </c>
      <c r="C106" s="84">
        <v>252249525</v>
      </c>
      <c r="D106" s="83" t="s">
        <v>164</v>
      </c>
      <c r="E106" s="84" t="s">
        <v>124</v>
      </c>
      <c r="F106" s="125">
        <v>170</v>
      </c>
      <c r="G106" s="126"/>
      <c r="H106" s="127"/>
      <c r="I106" s="128"/>
      <c r="J106" s="128"/>
      <c r="K106" s="125"/>
      <c r="L106" s="129"/>
      <c r="M106" s="129">
        <v>1</v>
      </c>
      <c r="N106" s="129"/>
      <c r="O106" s="126"/>
      <c r="P106" s="126"/>
      <c r="Q106" s="126"/>
      <c r="R106" s="132"/>
      <c r="S106" s="132">
        <v>2</v>
      </c>
      <c r="T106" s="132">
        <v>1</v>
      </c>
      <c r="U106" s="126">
        <v>1</v>
      </c>
      <c r="V106" s="127"/>
      <c r="W106" s="128"/>
      <c r="X106" s="128">
        <v>8</v>
      </c>
      <c r="Y106" s="125"/>
      <c r="Z106" s="129"/>
      <c r="AA106" s="129"/>
      <c r="AB106" s="126"/>
      <c r="AC106" s="126">
        <v>13</v>
      </c>
      <c r="AD106" s="44"/>
      <c r="AE106" s="44"/>
      <c r="AF106" s="44"/>
      <c r="AG106" s="44"/>
      <c r="AH106" s="44"/>
      <c r="AI106" s="44"/>
      <c r="AJ106" s="44"/>
      <c r="AK106" s="44"/>
      <c r="AL106" s="44"/>
    </row>
    <row r="107" spans="1:38" s="70" customFormat="1" ht="14.4" customHeight="1">
      <c r="A107" s="83">
        <v>102</v>
      </c>
      <c r="B107" s="84" t="s">
        <v>265</v>
      </c>
      <c r="C107" s="84">
        <v>252281234</v>
      </c>
      <c r="D107" s="83" t="s">
        <v>164</v>
      </c>
      <c r="E107" s="84" t="s">
        <v>124</v>
      </c>
      <c r="F107" s="125">
        <v>270</v>
      </c>
      <c r="G107" s="126"/>
      <c r="H107" s="127">
        <v>2</v>
      </c>
      <c r="I107" s="128"/>
      <c r="J107" s="128"/>
      <c r="K107" s="125">
        <v>6</v>
      </c>
      <c r="L107" s="129">
        <v>1</v>
      </c>
      <c r="M107" s="129"/>
      <c r="N107" s="129"/>
      <c r="O107" s="126"/>
      <c r="P107" s="126"/>
      <c r="Q107" s="126"/>
      <c r="R107" s="132"/>
      <c r="S107" s="132">
        <v>2</v>
      </c>
      <c r="T107" s="132">
        <v>1</v>
      </c>
      <c r="U107" s="126">
        <v>1</v>
      </c>
      <c r="V107" s="127"/>
      <c r="W107" s="128">
        <v>3</v>
      </c>
      <c r="X107" s="128">
        <v>18</v>
      </c>
      <c r="Y107" s="125"/>
      <c r="Z107" s="129"/>
      <c r="AA107" s="129"/>
      <c r="AB107" s="126"/>
      <c r="AC107" s="126">
        <v>14</v>
      </c>
      <c r="AD107" s="44"/>
      <c r="AE107" s="44"/>
      <c r="AF107" s="44"/>
      <c r="AG107" s="44"/>
      <c r="AH107" s="44"/>
      <c r="AI107" s="44"/>
      <c r="AJ107" s="44"/>
      <c r="AK107" s="44"/>
      <c r="AL107" s="44"/>
    </row>
    <row r="108" spans="1:38" s="70" customFormat="1" ht="14.4" customHeight="1">
      <c r="A108" s="83">
        <v>103</v>
      </c>
      <c r="B108" s="84" t="s">
        <v>266</v>
      </c>
      <c r="C108" s="84">
        <v>252281154</v>
      </c>
      <c r="D108" s="83" t="s">
        <v>164</v>
      </c>
      <c r="E108" s="84" t="s">
        <v>124</v>
      </c>
      <c r="F108" s="125">
        <v>120</v>
      </c>
      <c r="G108" s="126"/>
      <c r="H108" s="127">
        <v>2</v>
      </c>
      <c r="I108" s="128"/>
      <c r="J108" s="128"/>
      <c r="K108" s="125">
        <v>4</v>
      </c>
      <c r="L108" s="129">
        <v>1</v>
      </c>
      <c r="M108" s="129"/>
      <c r="N108" s="129"/>
      <c r="O108" s="126"/>
      <c r="P108" s="126"/>
      <c r="Q108" s="126"/>
      <c r="R108" s="132"/>
      <c r="S108" s="132">
        <v>2</v>
      </c>
      <c r="T108" s="132">
        <v>1</v>
      </c>
      <c r="U108" s="126">
        <v>1</v>
      </c>
      <c r="V108" s="127"/>
      <c r="W108" s="128">
        <v>2</v>
      </c>
      <c r="X108" s="128">
        <v>10</v>
      </c>
      <c r="Y108" s="125"/>
      <c r="Z108" s="129"/>
      <c r="AA108" s="129"/>
      <c r="AB108" s="126"/>
      <c r="AC108" s="126">
        <v>4</v>
      </c>
      <c r="AD108" s="44"/>
      <c r="AE108" s="44"/>
      <c r="AF108" s="44"/>
      <c r="AG108" s="44"/>
      <c r="AH108" s="44"/>
      <c r="AI108" s="44"/>
      <c r="AJ108" s="44"/>
      <c r="AK108" s="44"/>
      <c r="AL108" s="44"/>
    </row>
    <row r="109" spans="1:38" s="70" customFormat="1" ht="14.4" customHeight="1">
      <c r="A109" s="83">
        <v>104</v>
      </c>
      <c r="B109" s="84" t="s">
        <v>267</v>
      </c>
      <c r="C109" s="84">
        <v>252281282</v>
      </c>
      <c r="D109" s="83" t="s">
        <v>164</v>
      </c>
      <c r="E109" s="84" t="s">
        <v>124</v>
      </c>
      <c r="F109" s="125">
        <v>241</v>
      </c>
      <c r="G109" s="126"/>
      <c r="H109" s="127">
        <v>2</v>
      </c>
      <c r="I109" s="128"/>
      <c r="J109" s="128"/>
      <c r="K109" s="125">
        <v>4</v>
      </c>
      <c r="L109" s="129">
        <v>1</v>
      </c>
      <c r="M109" s="129"/>
      <c r="N109" s="129"/>
      <c r="O109" s="126"/>
      <c r="P109" s="126"/>
      <c r="Q109" s="126"/>
      <c r="R109" s="132"/>
      <c r="S109" s="132">
        <v>2</v>
      </c>
      <c r="T109" s="132">
        <v>1</v>
      </c>
      <c r="U109" s="126">
        <v>1</v>
      </c>
      <c r="V109" s="127"/>
      <c r="W109" s="128">
        <v>2</v>
      </c>
      <c r="X109" s="128">
        <v>16</v>
      </c>
      <c r="Y109" s="125"/>
      <c r="Z109" s="129"/>
      <c r="AA109" s="129"/>
      <c r="AB109" s="126"/>
      <c r="AC109" s="126">
        <v>3</v>
      </c>
      <c r="AD109" s="44"/>
      <c r="AE109" s="44"/>
      <c r="AF109" s="44"/>
      <c r="AG109" s="44"/>
      <c r="AH109" s="44"/>
      <c r="AI109" s="44"/>
      <c r="AJ109" s="44"/>
      <c r="AK109" s="44"/>
      <c r="AL109" s="44"/>
    </row>
    <row r="110" spans="1:38" s="70" customFormat="1" ht="14.4" customHeight="1">
      <c r="A110" s="83">
        <v>105</v>
      </c>
      <c r="B110" s="84" t="s">
        <v>268</v>
      </c>
      <c r="C110" s="84">
        <v>252281170</v>
      </c>
      <c r="D110" s="83" t="s">
        <v>164</v>
      </c>
      <c r="E110" s="84" t="s">
        <v>124</v>
      </c>
      <c r="F110" s="125">
        <v>108</v>
      </c>
      <c r="G110" s="126"/>
      <c r="H110" s="127"/>
      <c r="I110" s="128"/>
      <c r="J110" s="128"/>
      <c r="K110" s="125"/>
      <c r="L110" s="129">
        <v>1</v>
      </c>
      <c r="M110" s="129"/>
      <c r="N110" s="129"/>
      <c r="O110" s="126"/>
      <c r="P110" s="126"/>
      <c r="Q110" s="126"/>
      <c r="R110" s="132"/>
      <c r="S110" s="132">
        <v>2</v>
      </c>
      <c r="T110" s="132">
        <v>1</v>
      </c>
      <c r="U110" s="126">
        <v>1</v>
      </c>
      <c r="V110" s="127"/>
      <c r="W110" s="128"/>
      <c r="X110" s="128">
        <v>8</v>
      </c>
      <c r="Y110" s="125"/>
      <c r="Z110" s="129"/>
      <c r="AA110" s="129"/>
      <c r="AB110" s="126"/>
      <c r="AC110" s="126">
        <v>9</v>
      </c>
      <c r="AD110" s="44"/>
      <c r="AE110" s="44"/>
      <c r="AF110" s="44"/>
      <c r="AG110" s="44"/>
      <c r="AH110" s="44"/>
      <c r="AI110" s="44"/>
      <c r="AJ110" s="44"/>
      <c r="AK110" s="44"/>
      <c r="AL110" s="44"/>
    </row>
    <row r="111" spans="1:38" s="70" customFormat="1" ht="14.4" customHeight="1">
      <c r="A111" s="83">
        <v>106</v>
      </c>
      <c r="B111" s="84" t="s">
        <v>269</v>
      </c>
      <c r="C111" s="84">
        <v>252281283</v>
      </c>
      <c r="D111" s="83" t="s">
        <v>164</v>
      </c>
      <c r="E111" s="84" t="s">
        <v>124</v>
      </c>
      <c r="F111" s="125">
        <v>64</v>
      </c>
      <c r="G111" s="126"/>
      <c r="H111" s="127"/>
      <c r="I111" s="128"/>
      <c r="J111" s="128"/>
      <c r="K111" s="125"/>
      <c r="L111" s="129">
        <v>1</v>
      </c>
      <c r="M111" s="129"/>
      <c r="N111" s="129"/>
      <c r="O111" s="126"/>
      <c r="P111" s="126"/>
      <c r="Q111" s="126"/>
      <c r="R111" s="132"/>
      <c r="S111" s="132">
        <v>2</v>
      </c>
      <c r="T111" s="132">
        <v>1</v>
      </c>
      <c r="U111" s="126">
        <v>1</v>
      </c>
      <c r="V111" s="127"/>
      <c r="W111" s="128"/>
      <c r="X111" s="128">
        <v>6</v>
      </c>
      <c r="Y111" s="125"/>
      <c r="Z111" s="129"/>
      <c r="AA111" s="129"/>
      <c r="AB111" s="126"/>
      <c r="AC111" s="126">
        <v>6</v>
      </c>
      <c r="AD111" s="44"/>
      <c r="AE111" s="44"/>
      <c r="AF111" s="44"/>
      <c r="AG111" s="44"/>
      <c r="AH111" s="44"/>
      <c r="AI111" s="44"/>
      <c r="AJ111" s="44"/>
      <c r="AK111" s="44"/>
      <c r="AL111" s="44"/>
    </row>
    <row r="112" spans="1:38" s="70" customFormat="1" ht="14.4" customHeight="1">
      <c r="A112" s="83">
        <v>107</v>
      </c>
      <c r="B112" s="84" t="s">
        <v>270</v>
      </c>
      <c r="C112" s="84">
        <v>252281158</v>
      </c>
      <c r="D112" s="83" t="s">
        <v>164</v>
      </c>
      <c r="E112" s="84" t="s">
        <v>124</v>
      </c>
      <c r="F112" s="125">
        <v>169</v>
      </c>
      <c r="G112" s="126"/>
      <c r="H112" s="127">
        <v>2</v>
      </c>
      <c r="I112" s="128"/>
      <c r="J112" s="128"/>
      <c r="K112" s="125">
        <v>4</v>
      </c>
      <c r="L112" s="129">
        <v>1</v>
      </c>
      <c r="M112" s="129"/>
      <c r="N112" s="129"/>
      <c r="O112" s="126"/>
      <c r="P112" s="126"/>
      <c r="Q112" s="126"/>
      <c r="R112" s="132"/>
      <c r="S112" s="132">
        <v>2</v>
      </c>
      <c r="T112" s="132">
        <v>1</v>
      </c>
      <c r="U112" s="126">
        <v>1</v>
      </c>
      <c r="V112" s="127"/>
      <c r="W112" s="128">
        <v>2</v>
      </c>
      <c r="X112" s="128">
        <v>12</v>
      </c>
      <c r="Y112" s="125"/>
      <c r="Z112" s="129"/>
      <c r="AA112" s="129"/>
      <c r="AB112" s="126"/>
      <c r="AC112" s="126">
        <v>4</v>
      </c>
      <c r="AD112" s="44"/>
      <c r="AE112" s="44"/>
      <c r="AF112" s="44"/>
      <c r="AG112" s="44"/>
      <c r="AH112" s="44"/>
      <c r="AI112" s="44"/>
      <c r="AJ112" s="44"/>
      <c r="AK112" s="44"/>
      <c r="AL112" s="44"/>
    </row>
    <row r="113" spans="1:38" s="70" customFormat="1" ht="14.4" customHeight="1">
      <c r="A113" s="83">
        <v>108</v>
      </c>
      <c r="B113" s="84" t="s">
        <v>271</v>
      </c>
      <c r="C113" s="84">
        <v>252249562</v>
      </c>
      <c r="D113" s="83" t="s">
        <v>164</v>
      </c>
      <c r="E113" s="84" t="s">
        <v>124</v>
      </c>
      <c r="F113" s="125">
        <v>283</v>
      </c>
      <c r="G113" s="126"/>
      <c r="H113" s="127"/>
      <c r="I113" s="128"/>
      <c r="J113" s="128"/>
      <c r="K113" s="125"/>
      <c r="L113" s="129"/>
      <c r="M113" s="129">
        <v>1</v>
      </c>
      <c r="N113" s="129"/>
      <c r="O113" s="126"/>
      <c r="P113" s="126"/>
      <c r="Q113" s="126"/>
      <c r="R113" s="132"/>
      <c r="S113" s="132">
        <v>2</v>
      </c>
      <c r="T113" s="132">
        <v>1</v>
      </c>
      <c r="U113" s="126">
        <v>1</v>
      </c>
      <c r="V113" s="127"/>
      <c r="W113" s="128"/>
      <c r="X113" s="128">
        <v>14</v>
      </c>
      <c r="Y113" s="125"/>
      <c r="Z113" s="129"/>
      <c r="AA113" s="129"/>
      <c r="AB113" s="126"/>
      <c r="AC113" s="126">
        <v>10</v>
      </c>
      <c r="AD113" s="44"/>
      <c r="AE113" s="44"/>
      <c r="AF113" s="44"/>
      <c r="AG113" s="44"/>
      <c r="AH113" s="44"/>
      <c r="AI113" s="44"/>
      <c r="AJ113" s="44"/>
      <c r="AK113" s="44"/>
      <c r="AL113" s="44"/>
    </row>
    <row r="114" spans="1:38" s="70" customFormat="1" ht="14.4" customHeight="1">
      <c r="A114" s="83">
        <v>109</v>
      </c>
      <c r="B114" s="84" t="s">
        <v>272</v>
      </c>
      <c r="C114" s="84">
        <v>252272333</v>
      </c>
      <c r="D114" s="83" t="s">
        <v>164</v>
      </c>
      <c r="E114" s="84" t="s">
        <v>124</v>
      </c>
      <c r="F114" s="125">
        <v>465</v>
      </c>
      <c r="G114" s="126">
        <v>1</v>
      </c>
      <c r="H114" s="127"/>
      <c r="I114" s="128">
        <v>1</v>
      </c>
      <c r="J114" s="128"/>
      <c r="K114" s="125">
        <v>6</v>
      </c>
      <c r="L114" s="129">
        <v>1</v>
      </c>
      <c r="M114" s="129"/>
      <c r="N114" s="129"/>
      <c r="O114" s="126"/>
      <c r="P114" s="126"/>
      <c r="Q114" s="126"/>
      <c r="R114" s="132"/>
      <c r="S114" s="132">
        <v>2</v>
      </c>
      <c r="T114" s="132">
        <v>1</v>
      </c>
      <c r="U114" s="126">
        <v>1</v>
      </c>
      <c r="V114" s="127"/>
      <c r="W114" s="128">
        <v>3</v>
      </c>
      <c r="X114" s="128">
        <v>24</v>
      </c>
      <c r="Y114" s="125"/>
      <c r="Z114" s="129"/>
      <c r="AA114" s="129"/>
      <c r="AB114" s="126"/>
      <c r="AC114" s="126">
        <v>6</v>
      </c>
      <c r="AD114" s="44"/>
      <c r="AE114" s="44"/>
      <c r="AF114" s="44"/>
      <c r="AG114" s="44"/>
      <c r="AH114" s="44"/>
      <c r="AI114" s="44"/>
      <c r="AJ114" s="44"/>
      <c r="AK114" s="44"/>
      <c r="AL114" s="44"/>
    </row>
    <row r="115" spans="1:38" s="70" customFormat="1" ht="14.4" customHeight="1">
      <c r="A115" s="83">
        <v>110</v>
      </c>
      <c r="B115" s="84" t="s">
        <v>273</v>
      </c>
      <c r="C115" s="84">
        <v>252229946</v>
      </c>
      <c r="D115" s="83" t="s">
        <v>164</v>
      </c>
      <c r="E115" s="84" t="s">
        <v>124</v>
      </c>
      <c r="F115" s="125">
        <v>444</v>
      </c>
      <c r="G115" s="126"/>
      <c r="H115" s="127">
        <v>1</v>
      </c>
      <c r="I115" s="128"/>
      <c r="J115" s="128"/>
      <c r="K115" s="125">
        <v>22</v>
      </c>
      <c r="L115" s="129"/>
      <c r="M115" s="129"/>
      <c r="N115" s="129"/>
      <c r="O115" s="126"/>
      <c r="P115" s="126"/>
      <c r="Q115" s="126">
        <v>1</v>
      </c>
      <c r="R115" s="132"/>
      <c r="S115" s="132">
        <v>2</v>
      </c>
      <c r="T115" s="132">
        <v>1</v>
      </c>
      <c r="U115" s="126">
        <v>1</v>
      </c>
      <c r="V115" s="127"/>
      <c r="W115" s="128">
        <v>11</v>
      </c>
      <c r="X115" s="128">
        <v>24</v>
      </c>
      <c r="Y115" s="125"/>
      <c r="Z115" s="129"/>
      <c r="AA115" s="129"/>
      <c r="AB115" s="126"/>
      <c r="AC115" s="126">
        <v>5</v>
      </c>
      <c r="AD115" s="44"/>
      <c r="AE115" s="44"/>
      <c r="AF115" s="44"/>
      <c r="AG115" s="44"/>
      <c r="AH115" s="44"/>
      <c r="AI115" s="44"/>
      <c r="AJ115" s="44"/>
      <c r="AK115" s="44"/>
      <c r="AL115" s="44"/>
    </row>
    <row r="116" spans="1:38" s="70" customFormat="1" ht="14.4" customHeight="1">
      <c r="A116" s="83">
        <v>111</v>
      </c>
      <c r="B116" s="84" t="s">
        <v>274</v>
      </c>
      <c r="C116" s="84">
        <v>252269088</v>
      </c>
      <c r="D116" s="83" t="s">
        <v>164</v>
      </c>
      <c r="E116" s="84" t="s">
        <v>124</v>
      </c>
      <c r="F116" s="125">
        <v>74</v>
      </c>
      <c r="G116" s="126"/>
      <c r="H116" s="127"/>
      <c r="I116" s="128"/>
      <c r="J116" s="128"/>
      <c r="K116" s="125"/>
      <c r="L116" s="129">
        <v>1</v>
      </c>
      <c r="M116" s="129"/>
      <c r="N116" s="129"/>
      <c r="O116" s="126"/>
      <c r="P116" s="126"/>
      <c r="Q116" s="126"/>
      <c r="R116" s="132"/>
      <c r="S116" s="132">
        <v>2</v>
      </c>
      <c r="T116" s="132">
        <v>1</v>
      </c>
      <c r="U116" s="126">
        <v>1</v>
      </c>
      <c r="V116" s="127"/>
      <c r="W116" s="128"/>
      <c r="X116" s="128">
        <v>4</v>
      </c>
      <c r="Y116" s="125"/>
      <c r="Z116" s="129"/>
      <c r="AA116" s="129"/>
      <c r="AB116" s="126"/>
      <c r="AC116" s="126">
        <v>5</v>
      </c>
      <c r="AD116" s="44"/>
      <c r="AE116" s="44"/>
      <c r="AF116" s="44"/>
      <c r="AG116" s="44"/>
      <c r="AH116" s="44"/>
      <c r="AI116" s="44"/>
      <c r="AJ116" s="44"/>
      <c r="AK116" s="44"/>
      <c r="AL116" s="44"/>
    </row>
    <row r="117" spans="1:38" ht="14.4" customHeight="1">
      <c r="A117" s="83">
        <v>112</v>
      </c>
      <c r="B117" s="84" t="s">
        <v>275</v>
      </c>
      <c r="C117" s="84">
        <v>252269543</v>
      </c>
      <c r="D117" s="83" t="s">
        <v>164</v>
      </c>
      <c r="E117" s="84" t="s">
        <v>124</v>
      </c>
      <c r="F117" s="125">
        <v>94</v>
      </c>
      <c r="G117" s="126"/>
      <c r="H117" s="127"/>
      <c r="I117" s="128"/>
      <c r="J117" s="128"/>
      <c r="K117" s="125"/>
      <c r="L117" s="129"/>
      <c r="M117" s="129">
        <v>1</v>
      </c>
      <c r="N117" s="129"/>
      <c r="O117" s="126"/>
      <c r="P117" s="126"/>
      <c r="Q117" s="126"/>
      <c r="R117" s="132"/>
      <c r="S117" s="132">
        <v>2</v>
      </c>
      <c r="T117" s="132">
        <v>1</v>
      </c>
      <c r="U117" s="126">
        <v>1</v>
      </c>
      <c r="V117" s="127"/>
      <c r="W117" s="128"/>
      <c r="X117" s="128">
        <v>6</v>
      </c>
      <c r="Y117" s="125"/>
      <c r="Z117" s="129"/>
      <c r="AA117" s="129"/>
      <c r="AB117" s="126"/>
      <c r="AC117" s="126">
        <v>4</v>
      </c>
    </row>
    <row r="118" spans="1:38" ht="14.4" customHeight="1">
      <c r="A118" s="83">
        <v>113</v>
      </c>
      <c r="B118" s="84" t="s">
        <v>276</v>
      </c>
      <c r="C118" s="84">
        <v>252229893</v>
      </c>
      <c r="D118" s="83" t="s">
        <v>164</v>
      </c>
      <c r="E118" s="84" t="s">
        <v>124</v>
      </c>
      <c r="F118" s="125">
        <v>622</v>
      </c>
      <c r="G118" s="126"/>
      <c r="H118" s="127">
        <v>2</v>
      </c>
      <c r="I118" s="128"/>
      <c r="J118" s="128"/>
      <c r="K118" s="125">
        <v>4</v>
      </c>
      <c r="L118" s="129"/>
      <c r="M118" s="129"/>
      <c r="N118" s="129"/>
      <c r="O118" s="126"/>
      <c r="P118" s="126"/>
      <c r="Q118" s="126">
        <v>1</v>
      </c>
      <c r="R118" s="132"/>
      <c r="S118" s="132">
        <v>2</v>
      </c>
      <c r="T118" s="132">
        <v>1</v>
      </c>
      <c r="U118" s="126">
        <v>1</v>
      </c>
      <c r="V118" s="127"/>
      <c r="W118" s="128">
        <v>2</v>
      </c>
      <c r="X118" s="128">
        <v>32</v>
      </c>
      <c r="Y118" s="125"/>
      <c r="Z118" s="129"/>
      <c r="AA118" s="129"/>
      <c r="AB118" s="126"/>
      <c r="AC118" s="126">
        <v>5</v>
      </c>
    </row>
    <row r="119" spans="1:38" ht="14.4" customHeight="1">
      <c r="A119" s="83">
        <v>114</v>
      </c>
      <c r="B119" s="84" t="s">
        <v>277</v>
      </c>
      <c r="C119" s="84">
        <v>252265858</v>
      </c>
      <c r="D119" s="83" t="s">
        <v>164</v>
      </c>
      <c r="E119" s="84" t="s">
        <v>124</v>
      </c>
      <c r="F119" s="125">
        <v>122</v>
      </c>
      <c r="G119" s="126"/>
      <c r="H119" s="127"/>
      <c r="I119" s="128"/>
      <c r="J119" s="128"/>
      <c r="K119" s="125"/>
      <c r="L119" s="129">
        <v>1</v>
      </c>
      <c r="M119" s="129"/>
      <c r="N119" s="129"/>
      <c r="O119" s="126"/>
      <c r="P119" s="126"/>
      <c r="Q119" s="126"/>
      <c r="R119" s="132"/>
      <c r="S119" s="132">
        <v>2</v>
      </c>
      <c r="T119" s="132">
        <v>1</v>
      </c>
      <c r="U119" s="126">
        <v>1</v>
      </c>
      <c r="V119" s="127"/>
      <c r="W119" s="128"/>
      <c r="X119" s="128">
        <v>8</v>
      </c>
      <c r="Y119" s="125"/>
      <c r="Z119" s="129">
        <v>4</v>
      </c>
      <c r="AA119" s="129">
        <v>8</v>
      </c>
      <c r="AB119" s="126"/>
      <c r="AC119" s="126">
        <v>5</v>
      </c>
    </row>
    <row r="120" spans="1:38" ht="14.4" customHeight="1">
      <c r="A120" s="83">
        <v>115</v>
      </c>
      <c r="B120" s="84" t="s">
        <v>278</v>
      </c>
      <c r="C120" s="84">
        <v>252229906</v>
      </c>
      <c r="D120" s="83" t="s">
        <v>164</v>
      </c>
      <c r="E120" s="84" t="s">
        <v>124</v>
      </c>
      <c r="F120" s="125">
        <v>29</v>
      </c>
      <c r="G120" s="126"/>
      <c r="H120" s="127"/>
      <c r="I120" s="128"/>
      <c r="J120" s="128"/>
      <c r="K120" s="125"/>
      <c r="L120" s="129">
        <v>1</v>
      </c>
      <c r="M120" s="129"/>
      <c r="N120" s="129"/>
      <c r="O120" s="126"/>
      <c r="P120" s="126"/>
      <c r="Q120" s="126"/>
      <c r="R120" s="132"/>
      <c r="S120" s="132">
        <v>2</v>
      </c>
      <c r="T120" s="132">
        <v>1</v>
      </c>
      <c r="U120" s="126">
        <v>1</v>
      </c>
      <c r="V120" s="127"/>
      <c r="W120" s="128"/>
      <c r="X120" s="128">
        <v>4</v>
      </c>
      <c r="Y120" s="125"/>
      <c r="Z120" s="129"/>
      <c r="AA120" s="129"/>
      <c r="AB120" s="126"/>
      <c r="AC120" s="126">
        <v>2</v>
      </c>
    </row>
    <row r="121" spans="1:38" ht="14.4" customHeight="1">
      <c r="A121" s="83">
        <v>116</v>
      </c>
      <c r="B121" s="84" t="s">
        <v>279</v>
      </c>
      <c r="C121" s="84">
        <v>252052662</v>
      </c>
      <c r="D121" s="83" t="s">
        <v>164</v>
      </c>
      <c r="E121" s="84" t="s">
        <v>124</v>
      </c>
      <c r="F121" s="125">
        <v>250</v>
      </c>
      <c r="G121" s="126"/>
      <c r="H121" s="127"/>
      <c r="I121" s="128"/>
      <c r="J121" s="128"/>
      <c r="K121" s="125"/>
      <c r="L121" s="129">
        <v>1</v>
      </c>
      <c r="M121" s="129"/>
      <c r="N121" s="129"/>
      <c r="O121" s="126"/>
      <c r="P121" s="126"/>
      <c r="Q121" s="126"/>
      <c r="R121" s="132"/>
      <c r="S121" s="132">
        <v>2</v>
      </c>
      <c r="T121" s="132">
        <v>1</v>
      </c>
      <c r="U121" s="126">
        <v>1</v>
      </c>
      <c r="V121" s="127"/>
      <c r="W121" s="128"/>
      <c r="X121" s="128">
        <v>8</v>
      </c>
      <c r="Y121" s="125"/>
      <c r="Z121" s="129"/>
      <c r="AA121" s="129"/>
      <c r="AB121" s="126"/>
      <c r="AC121" s="126">
        <v>12</v>
      </c>
    </row>
    <row r="122" spans="1:38" ht="14.4" customHeight="1">
      <c r="A122" s="83">
        <v>117</v>
      </c>
      <c r="B122" s="84" t="s">
        <v>280</v>
      </c>
      <c r="C122" s="84">
        <v>252262350</v>
      </c>
      <c r="D122" s="83" t="s">
        <v>164</v>
      </c>
      <c r="E122" s="84" t="s">
        <v>124</v>
      </c>
      <c r="F122" s="125">
        <v>340</v>
      </c>
      <c r="G122" s="126"/>
      <c r="H122" s="127"/>
      <c r="I122" s="128"/>
      <c r="J122" s="128"/>
      <c r="K122" s="125"/>
      <c r="L122" s="129">
        <v>1</v>
      </c>
      <c r="M122" s="129"/>
      <c r="N122" s="129"/>
      <c r="O122" s="126"/>
      <c r="P122" s="126"/>
      <c r="Q122" s="126"/>
      <c r="R122" s="132"/>
      <c r="S122" s="132">
        <v>2</v>
      </c>
      <c r="T122" s="132">
        <v>1</v>
      </c>
      <c r="U122" s="126">
        <v>1</v>
      </c>
      <c r="V122" s="127"/>
      <c r="W122" s="128"/>
      <c r="X122" s="128">
        <v>14</v>
      </c>
      <c r="Y122" s="125"/>
      <c r="Z122" s="129"/>
      <c r="AA122" s="129"/>
      <c r="AB122" s="126"/>
      <c r="AC122" s="126">
        <v>13</v>
      </c>
    </row>
    <row r="123" spans="1:38" ht="14.4" customHeight="1">
      <c r="A123" s="83">
        <v>118</v>
      </c>
      <c r="B123" s="84" t="s">
        <v>281</v>
      </c>
      <c r="C123" s="84">
        <v>252230557</v>
      </c>
      <c r="D123" s="83" t="s">
        <v>164</v>
      </c>
      <c r="E123" s="84" t="s">
        <v>124</v>
      </c>
      <c r="F123" s="125">
        <v>410</v>
      </c>
      <c r="G123" s="126"/>
      <c r="H123" s="127"/>
      <c r="I123" s="128"/>
      <c r="J123" s="128"/>
      <c r="K123" s="125"/>
      <c r="L123" s="129"/>
      <c r="M123" s="129"/>
      <c r="N123" s="129"/>
      <c r="O123" s="126"/>
      <c r="P123" s="126"/>
      <c r="Q123" s="126">
        <v>1</v>
      </c>
      <c r="R123" s="132"/>
      <c r="S123" s="132">
        <v>2</v>
      </c>
      <c r="T123" s="132">
        <v>1</v>
      </c>
      <c r="U123" s="126">
        <v>1</v>
      </c>
      <c r="V123" s="127"/>
      <c r="W123" s="128"/>
      <c r="X123" s="128">
        <v>22</v>
      </c>
      <c r="Y123" s="125"/>
      <c r="Z123" s="129"/>
      <c r="AA123" s="129"/>
      <c r="AB123" s="126"/>
      <c r="AC123" s="126">
        <v>10</v>
      </c>
    </row>
    <row r="124" spans="1:38" ht="14.4" customHeight="1">
      <c r="A124" s="83">
        <v>119</v>
      </c>
      <c r="B124" s="84" t="s">
        <v>282</v>
      </c>
      <c r="C124" s="84">
        <v>252230581</v>
      </c>
      <c r="D124" s="83" t="s">
        <v>164</v>
      </c>
      <c r="E124" s="84" t="s">
        <v>124</v>
      </c>
      <c r="F124" s="125">
        <v>500</v>
      </c>
      <c r="G124" s="126"/>
      <c r="H124" s="127"/>
      <c r="I124" s="128"/>
      <c r="J124" s="128"/>
      <c r="K124" s="125">
        <v>4</v>
      </c>
      <c r="L124" s="129">
        <v>1</v>
      </c>
      <c r="M124" s="129"/>
      <c r="N124" s="129"/>
      <c r="O124" s="126"/>
      <c r="P124" s="126"/>
      <c r="Q124" s="126"/>
      <c r="R124" s="132"/>
      <c r="S124" s="132">
        <v>2</v>
      </c>
      <c r="T124" s="132">
        <v>1</v>
      </c>
      <c r="U124" s="126">
        <v>1</v>
      </c>
      <c r="V124" s="127"/>
      <c r="W124" s="128">
        <v>2</v>
      </c>
      <c r="X124" s="128">
        <v>28</v>
      </c>
      <c r="Y124" s="125"/>
      <c r="Z124" s="129"/>
      <c r="AA124" s="129"/>
      <c r="AB124" s="126"/>
      <c r="AC124" s="126">
        <v>4</v>
      </c>
    </row>
    <row r="125" spans="1:38" ht="14.4" customHeight="1">
      <c r="A125" s="83">
        <v>120</v>
      </c>
      <c r="B125" s="84" t="s">
        <v>283</v>
      </c>
      <c r="C125" s="84">
        <v>252229949</v>
      </c>
      <c r="D125" s="83" t="s">
        <v>164</v>
      </c>
      <c r="E125" s="84" t="s">
        <v>124</v>
      </c>
      <c r="F125" s="125">
        <v>81</v>
      </c>
      <c r="G125" s="126"/>
      <c r="H125" s="127"/>
      <c r="I125" s="128"/>
      <c r="J125" s="128"/>
      <c r="K125" s="125"/>
      <c r="L125" s="129"/>
      <c r="M125" s="129"/>
      <c r="N125" s="129"/>
      <c r="O125" s="126"/>
      <c r="P125" s="126"/>
      <c r="Q125" s="126">
        <v>1</v>
      </c>
      <c r="R125" s="132"/>
      <c r="S125" s="132">
        <v>2</v>
      </c>
      <c r="T125" s="132">
        <v>1</v>
      </c>
      <c r="U125" s="126">
        <v>1</v>
      </c>
      <c r="V125" s="127">
        <v>13</v>
      </c>
      <c r="W125" s="128"/>
      <c r="X125" s="128">
        <v>4</v>
      </c>
      <c r="Y125" s="125">
        <v>2</v>
      </c>
      <c r="Z125" s="129">
        <v>14</v>
      </c>
      <c r="AA125" s="129">
        <v>28</v>
      </c>
      <c r="AB125" s="126"/>
      <c r="AC125" s="126">
        <v>3</v>
      </c>
    </row>
    <row r="126" spans="1:38" s="70" customFormat="1" ht="14.4" customHeight="1">
      <c r="A126" s="83">
        <v>121</v>
      </c>
      <c r="B126" s="84" t="s">
        <v>284</v>
      </c>
      <c r="C126" s="84">
        <v>252230733</v>
      </c>
      <c r="D126" s="83" t="s">
        <v>164</v>
      </c>
      <c r="E126" s="84" t="s">
        <v>124</v>
      </c>
      <c r="F126" s="125">
        <v>209</v>
      </c>
      <c r="G126" s="126"/>
      <c r="H126" s="127"/>
      <c r="I126" s="128"/>
      <c r="J126" s="128"/>
      <c r="K126" s="125"/>
      <c r="L126" s="129">
        <v>1</v>
      </c>
      <c r="M126" s="129"/>
      <c r="N126" s="129"/>
      <c r="O126" s="126"/>
      <c r="P126" s="126"/>
      <c r="Q126" s="126"/>
      <c r="R126" s="132"/>
      <c r="S126" s="132">
        <v>2</v>
      </c>
      <c r="T126" s="132">
        <v>1</v>
      </c>
      <c r="U126" s="126">
        <v>1</v>
      </c>
      <c r="V126" s="127"/>
      <c r="W126" s="128"/>
      <c r="X126" s="128">
        <v>10</v>
      </c>
      <c r="Y126" s="125"/>
      <c r="Z126" s="129"/>
      <c r="AA126" s="129"/>
      <c r="AB126" s="126"/>
      <c r="AC126" s="126">
        <v>4</v>
      </c>
      <c r="AD126" s="44"/>
      <c r="AE126" s="44"/>
      <c r="AF126" s="44"/>
      <c r="AG126" s="44"/>
      <c r="AH126" s="44"/>
      <c r="AI126" s="44"/>
      <c r="AJ126" s="44"/>
      <c r="AK126" s="44"/>
      <c r="AL126" s="44"/>
    </row>
    <row r="127" spans="1:38" s="70" customFormat="1" ht="14.4" customHeight="1">
      <c r="A127" s="83">
        <v>122</v>
      </c>
      <c r="B127" s="84" t="s">
        <v>285</v>
      </c>
      <c r="C127" s="84">
        <v>252230587</v>
      </c>
      <c r="D127" s="83" t="s">
        <v>164</v>
      </c>
      <c r="E127" s="84" t="s">
        <v>124</v>
      </c>
      <c r="F127" s="125">
        <v>33</v>
      </c>
      <c r="G127" s="126"/>
      <c r="H127" s="127"/>
      <c r="I127" s="128"/>
      <c r="J127" s="128"/>
      <c r="K127" s="125"/>
      <c r="L127" s="129">
        <v>1</v>
      </c>
      <c r="M127" s="129"/>
      <c r="N127" s="129"/>
      <c r="O127" s="126"/>
      <c r="P127" s="126"/>
      <c r="Q127" s="126"/>
      <c r="R127" s="132"/>
      <c r="S127" s="132">
        <v>2</v>
      </c>
      <c r="T127" s="132">
        <v>1</v>
      </c>
      <c r="U127" s="126">
        <v>0</v>
      </c>
      <c r="V127" s="127"/>
      <c r="W127" s="128"/>
      <c r="X127" s="128">
        <v>0</v>
      </c>
      <c r="Y127" s="125"/>
      <c r="Z127" s="129"/>
      <c r="AA127" s="129"/>
      <c r="AB127" s="126"/>
      <c r="AC127" s="126">
        <v>10</v>
      </c>
      <c r="AD127" s="44"/>
      <c r="AE127" s="44"/>
      <c r="AF127" s="44"/>
      <c r="AG127" s="44"/>
      <c r="AH127" s="44"/>
      <c r="AI127" s="44"/>
      <c r="AJ127" s="44"/>
      <c r="AK127" s="44"/>
      <c r="AL127" s="44"/>
    </row>
    <row r="128" spans="1:38" s="70" customFormat="1" ht="14.4" customHeight="1">
      <c r="A128" s="83">
        <v>123</v>
      </c>
      <c r="B128" s="84" t="s">
        <v>286</v>
      </c>
      <c r="C128" s="84">
        <v>252229362</v>
      </c>
      <c r="D128" s="83" t="s">
        <v>164</v>
      </c>
      <c r="E128" s="84" t="s">
        <v>124</v>
      </c>
      <c r="F128" s="125">
        <v>543</v>
      </c>
      <c r="G128" s="126"/>
      <c r="H128" s="127"/>
      <c r="I128" s="128"/>
      <c r="J128" s="128"/>
      <c r="K128" s="125"/>
      <c r="L128" s="129">
        <v>1</v>
      </c>
      <c r="M128" s="129"/>
      <c r="N128" s="129"/>
      <c r="O128" s="126"/>
      <c r="P128" s="126"/>
      <c r="Q128" s="126"/>
      <c r="R128" s="132"/>
      <c r="S128" s="132">
        <v>2</v>
      </c>
      <c r="T128" s="132">
        <v>1</v>
      </c>
      <c r="U128" s="126">
        <v>1</v>
      </c>
      <c r="V128" s="127"/>
      <c r="W128" s="128"/>
      <c r="X128" s="128">
        <v>32</v>
      </c>
      <c r="Y128" s="125"/>
      <c r="Z128" s="129"/>
      <c r="AA128" s="129"/>
      <c r="AB128" s="126"/>
      <c r="AC128" s="126">
        <v>12</v>
      </c>
      <c r="AD128" s="44"/>
      <c r="AE128" s="44"/>
      <c r="AF128" s="44"/>
      <c r="AG128" s="44"/>
      <c r="AH128" s="44"/>
      <c r="AI128" s="44"/>
      <c r="AJ128" s="44"/>
      <c r="AK128" s="44"/>
      <c r="AL128" s="44"/>
    </row>
    <row r="129" spans="1:38" s="70" customFormat="1" ht="14.4" customHeight="1">
      <c r="A129" s="83">
        <v>124</v>
      </c>
      <c r="B129" s="84" t="s">
        <v>287</v>
      </c>
      <c r="C129" s="84">
        <v>252055151</v>
      </c>
      <c r="D129" s="83" t="s">
        <v>164</v>
      </c>
      <c r="E129" s="84" t="s">
        <v>124</v>
      </c>
      <c r="F129" s="125">
        <v>115</v>
      </c>
      <c r="G129" s="126"/>
      <c r="H129" s="127"/>
      <c r="I129" s="128"/>
      <c r="J129" s="128"/>
      <c r="K129" s="125"/>
      <c r="L129" s="129"/>
      <c r="M129" s="129"/>
      <c r="N129" s="129"/>
      <c r="O129" s="126"/>
      <c r="P129" s="126"/>
      <c r="Q129" s="126">
        <v>1</v>
      </c>
      <c r="R129" s="132"/>
      <c r="S129" s="132">
        <v>2</v>
      </c>
      <c r="T129" s="132">
        <v>1</v>
      </c>
      <c r="U129" s="126">
        <v>1</v>
      </c>
      <c r="V129" s="127"/>
      <c r="W129" s="128"/>
      <c r="X129" s="128">
        <v>8</v>
      </c>
      <c r="Y129" s="125"/>
      <c r="Z129" s="129"/>
      <c r="AA129" s="129"/>
      <c r="AB129" s="126"/>
      <c r="AC129" s="126">
        <v>7</v>
      </c>
      <c r="AD129" s="44"/>
      <c r="AE129" s="44"/>
      <c r="AF129" s="44"/>
      <c r="AG129" s="44"/>
      <c r="AH129" s="44"/>
      <c r="AI129" s="44"/>
      <c r="AJ129" s="44"/>
      <c r="AK129" s="44"/>
      <c r="AL129" s="44"/>
    </row>
    <row r="130" spans="1:38" s="70" customFormat="1" ht="14.4" customHeight="1">
      <c r="A130" s="83">
        <v>125</v>
      </c>
      <c r="B130" s="84" t="s">
        <v>288</v>
      </c>
      <c r="C130" s="84">
        <v>252229843</v>
      </c>
      <c r="D130" s="83" t="s">
        <v>164</v>
      </c>
      <c r="E130" s="84" t="s">
        <v>124</v>
      </c>
      <c r="F130" s="125">
        <v>480</v>
      </c>
      <c r="G130" s="126"/>
      <c r="H130" s="127">
        <v>1</v>
      </c>
      <c r="I130" s="128"/>
      <c r="J130" s="128"/>
      <c r="K130" s="125">
        <v>2</v>
      </c>
      <c r="L130" s="129">
        <v>1</v>
      </c>
      <c r="M130" s="129"/>
      <c r="N130" s="129"/>
      <c r="O130" s="126"/>
      <c r="P130" s="126"/>
      <c r="Q130" s="126"/>
      <c r="R130" s="132"/>
      <c r="S130" s="132">
        <v>2</v>
      </c>
      <c r="T130" s="132">
        <v>1</v>
      </c>
      <c r="U130" s="126">
        <v>1</v>
      </c>
      <c r="V130" s="127"/>
      <c r="W130" s="128">
        <v>1</v>
      </c>
      <c r="X130" s="128">
        <v>24</v>
      </c>
      <c r="Y130" s="125"/>
      <c r="Z130" s="129"/>
      <c r="AA130" s="129"/>
      <c r="AB130" s="126"/>
      <c r="AC130" s="126">
        <v>8</v>
      </c>
      <c r="AD130" s="44"/>
      <c r="AE130" s="44"/>
      <c r="AF130" s="44"/>
      <c r="AG130" s="44"/>
      <c r="AH130" s="44"/>
      <c r="AI130" s="44"/>
      <c r="AJ130" s="44"/>
      <c r="AK130" s="44"/>
      <c r="AL130" s="44"/>
    </row>
    <row r="131" spans="1:38" s="70" customFormat="1" ht="14.4" customHeight="1">
      <c r="A131" s="83">
        <v>126</v>
      </c>
      <c r="B131" s="84" t="s">
        <v>289</v>
      </c>
      <c r="C131" s="84">
        <v>252266370</v>
      </c>
      <c r="D131" s="83" t="s">
        <v>164</v>
      </c>
      <c r="E131" s="84" t="s">
        <v>124</v>
      </c>
      <c r="F131" s="125">
        <v>73</v>
      </c>
      <c r="G131" s="126">
        <v>1</v>
      </c>
      <c r="H131" s="127"/>
      <c r="I131" s="128"/>
      <c r="J131" s="128"/>
      <c r="K131" s="125">
        <v>2</v>
      </c>
      <c r="L131" s="129"/>
      <c r="M131" s="129"/>
      <c r="N131" s="129"/>
      <c r="O131" s="126"/>
      <c r="P131" s="126"/>
      <c r="Q131" s="126">
        <v>1</v>
      </c>
      <c r="R131" s="132"/>
      <c r="S131" s="132">
        <v>2</v>
      </c>
      <c r="T131" s="132">
        <v>1</v>
      </c>
      <c r="U131" s="126">
        <v>1</v>
      </c>
      <c r="V131" s="127"/>
      <c r="W131" s="128">
        <v>1</v>
      </c>
      <c r="X131" s="128">
        <v>4</v>
      </c>
      <c r="Y131" s="125"/>
      <c r="Z131" s="129">
        <v>11</v>
      </c>
      <c r="AA131" s="129">
        <v>24</v>
      </c>
      <c r="AB131" s="126"/>
      <c r="AC131" s="126">
        <v>11</v>
      </c>
      <c r="AD131" s="44"/>
      <c r="AE131" s="44"/>
      <c r="AF131" s="44"/>
      <c r="AG131" s="44"/>
      <c r="AH131" s="44"/>
      <c r="AI131" s="44"/>
      <c r="AJ131" s="44"/>
      <c r="AK131" s="44"/>
      <c r="AL131" s="44"/>
    </row>
    <row r="132" spans="1:38" s="70" customFormat="1" ht="14.4" customHeight="1">
      <c r="A132" s="83">
        <v>127</v>
      </c>
      <c r="B132" s="84" t="s">
        <v>290</v>
      </c>
      <c r="C132" s="84">
        <v>252229887</v>
      </c>
      <c r="D132" s="83" t="s">
        <v>164</v>
      </c>
      <c r="E132" s="84" t="s">
        <v>124</v>
      </c>
      <c r="F132" s="125">
        <v>349</v>
      </c>
      <c r="G132" s="126"/>
      <c r="H132" s="127"/>
      <c r="I132" s="128"/>
      <c r="J132" s="128"/>
      <c r="K132" s="125"/>
      <c r="L132" s="129">
        <v>1</v>
      </c>
      <c r="M132" s="129"/>
      <c r="N132" s="129"/>
      <c r="O132" s="126"/>
      <c r="P132" s="126"/>
      <c r="Q132" s="126"/>
      <c r="R132" s="132"/>
      <c r="S132" s="132">
        <v>2</v>
      </c>
      <c r="T132" s="132">
        <v>1</v>
      </c>
      <c r="U132" s="126">
        <v>1</v>
      </c>
      <c r="V132" s="127"/>
      <c r="W132" s="128"/>
      <c r="X132" s="128">
        <v>22</v>
      </c>
      <c r="Y132" s="125"/>
      <c r="Z132" s="129"/>
      <c r="AA132" s="129"/>
      <c r="AB132" s="126"/>
      <c r="AC132" s="126">
        <v>4</v>
      </c>
      <c r="AD132" s="44"/>
      <c r="AE132" s="44"/>
      <c r="AF132" s="44"/>
      <c r="AG132" s="44"/>
      <c r="AH132" s="44"/>
      <c r="AI132" s="44"/>
      <c r="AJ132" s="44"/>
      <c r="AK132" s="44"/>
      <c r="AL132" s="44"/>
    </row>
    <row r="133" spans="1:38" ht="14.4" customHeight="1">
      <c r="A133" s="83">
        <v>128</v>
      </c>
      <c r="B133" s="84" t="s">
        <v>291</v>
      </c>
      <c r="C133" s="84">
        <v>252229986</v>
      </c>
      <c r="D133" s="83" t="s">
        <v>164</v>
      </c>
      <c r="E133" s="84" t="s">
        <v>124</v>
      </c>
      <c r="F133" s="125">
        <v>161</v>
      </c>
      <c r="G133" s="126"/>
      <c r="H133" s="127"/>
      <c r="I133" s="128"/>
      <c r="J133" s="128"/>
      <c r="K133" s="125"/>
      <c r="L133" s="129"/>
      <c r="M133" s="129"/>
      <c r="N133" s="129"/>
      <c r="O133" s="126"/>
      <c r="P133" s="126"/>
      <c r="Q133" s="126">
        <v>1</v>
      </c>
      <c r="R133" s="132"/>
      <c r="S133" s="132">
        <v>2</v>
      </c>
      <c r="T133" s="132">
        <v>1</v>
      </c>
      <c r="U133" s="126">
        <v>1</v>
      </c>
      <c r="V133" s="127"/>
      <c r="W133" s="128"/>
      <c r="X133" s="128">
        <v>8</v>
      </c>
      <c r="Y133" s="125"/>
      <c r="Z133" s="129"/>
      <c r="AA133" s="129"/>
      <c r="AB133" s="126"/>
      <c r="AC133" s="126">
        <v>10</v>
      </c>
    </row>
    <row r="134" spans="1:38" ht="14.4" customHeight="1">
      <c r="A134" s="83">
        <v>129</v>
      </c>
      <c r="B134" s="84" t="s">
        <v>292</v>
      </c>
      <c r="C134" s="84">
        <v>252056948</v>
      </c>
      <c r="D134" s="83" t="s">
        <v>164</v>
      </c>
      <c r="E134" s="84" t="s">
        <v>124</v>
      </c>
      <c r="F134" s="125">
        <v>145</v>
      </c>
      <c r="G134" s="126"/>
      <c r="H134" s="127"/>
      <c r="I134" s="128"/>
      <c r="J134" s="128"/>
      <c r="K134" s="125"/>
      <c r="L134" s="129"/>
      <c r="M134" s="129">
        <v>1</v>
      </c>
      <c r="N134" s="129"/>
      <c r="O134" s="126"/>
      <c r="P134" s="126"/>
      <c r="Q134" s="126"/>
      <c r="R134" s="132"/>
      <c r="S134" s="132">
        <v>2</v>
      </c>
      <c r="T134" s="132">
        <v>1</v>
      </c>
      <c r="U134" s="126">
        <v>1</v>
      </c>
      <c r="V134" s="127"/>
      <c r="W134" s="128"/>
      <c r="X134" s="128">
        <v>6</v>
      </c>
      <c r="Y134" s="125"/>
      <c r="Z134" s="129"/>
      <c r="AA134" s="129"/>
      <c r="AB134" s="126"/>
      <c r="AC134" s="126">
        <v>28</v>
      </c>
    </row>
    <row r="135" spans="1:38" ht="14.4" customHeight="1">
      <c r="A135" s="83">
        <v>130</v>
      </c>
      <c r="B135" s="84" t="s">
        <v>293</v>
      </c>
      <c r="C135" s="84">
        <v>252262173</v>
      </c>
      <c r="D135" s="83" t="s">
        <v>164</v>
      </c>
      <c r="E135" s="84" t="s">
        <v>124</v>
      </c>
      <c r="F135" s="125">
        <v>469</v>
      </c>
      <c r="G135" s="126"/>
      <c r="H135" s="127">
        <v>4</v>
      </c>
      <c r="I135" s="128"/>
      <c r="J135" s="128"/>
      <c r="K135" s="125">
        <v>8</v>
      </c>
      <c r="L135" s="129">
        <v>1</v>
      </c>
      <c r="M135" s="129"/>
      <c r="N135" s="129"/>
      <c r="O135" s="126"/>
      <c r="P135" s="126"/>
      <c r="Q135" s="126"/>
      <c r="R135" s="132"/>
      <c r="S135" s="132">
        <v>2</v>
      </c>
      <c r="T135" s="132">
        <v>1</v>
      </c>
      <c r="U135" s="126">
        <v>1</v>
      </c>
      <c r="V135" s="127"/>
      <c r="W135" s="128">
        <v>4</v>
      </c>
      <c r="X135" s="128">
        <v>24</v>
      </c>
      <c r="Y135" s="125"/>
      <c r="Z135" s="129"/>
      <c r="AA135" s="129"/>
      <c r="AB135" s="126"/>
      <c r="AC135" s="126">
        <v>5</v>
      </c>
    </row>
    <row r="136" spans="1:38" ht="14.4" customHeight="1">
      <c r="A136" s="83">
        <v>131</v>
      </c>
      <c r="B136" s="84" t="s">
        <v>294</v>
      </c>
      <c r="C136" s="84">
        <v>252262234</v>
      </c>
      <c r="D136" s="83" t="s">
        <v>164</v>
      </c>
      <c r="E136" s="84" t="s">
        <v>124</v>
      </c>
      <c r="F136" s="125">
        <v>216</v>
      </c>
      <c r="G136" s="126"/>
      <c r="H136" s="127">
        <v>3</v>
      </c>
      <c r="I136" s="128"/>
      <c r="J136" s="128"/>
      <c r="K136" s="125">
        <v>8</v>
      </c>
      <c r="L136" s="129">
        <v>1</v>
      </c>
      <c r="M136" s="129"/>
      <c r="N136" s="129"/>
      <c r="O136" s="126"/>
      <c r="P136" s="126"/>
      <c r="Q136" s="126"/>
      <c r="R136" s="132"/>
      <c r="S136" s="132">
        <v>2</v>
      </c>
      <c r="T136" s="132">
        <v>1</v>
      </c>
      <c r="U136" s="126">
        <v>1</v>
      </c>
      <c r="V136" s="127"/>
      <c r="W136" s="128">
        <v>4</v>
      </c>
      <c r="X136" s="128">
        <v>10</v>
      </c>
      <c r="Y136" s="125"/>
      <c r="Z136" s="129"/>
      <c r="AA136" s="129"/>
      <c r="AB136" s="126"/>
      <c r="AC136" s="126">
        <v>11</v>
      </c>
    </row>
    <row r="137" spans="1:38" ht="14.4" customHeight="1">
      <c r="A137" s="83">
        <v>132</v>
      </c>
      <c r="B137" s="84" t="s">
        <v>295</v>
      </c>
      <c r="C137" s="84">
        <v>252262505</v>
      </c>
      <c r="D137" s="83" t="s">
        <v>164</v>
      </c>
      <c r="E137" s="84" t="s">
        <v>124</v>
      </c>
      <c r="F137" s="125">
        <v>664</v>
      </c>
      <c r="G137" s="126"/>
      <c r="H137" s="127">
        <v>2</v>
      </c>
      <c r="I137" s="128"/>
      <c r="J137" s="128"/>
      <c r="K137" s="125">
        <v>4</v>
      </c>
      <c r="L137" s="129">
        <v>1</v>
      </c>
      <c r="M137" s="129"/>
      <c r="N137" s="129"/>
      <c r="O137" s="126"/>
      <c r="P137" s="126"/>
      <c r="Q137" s="126"/>
      <c r="R137" s="132"/>
      <c r="S137" s="132">
        <v>2</v>
      </c>
      <c r="T137" s="132">
        <v>1</v>
      </c>
      <c r="U137" s="126">
        <v>1</v>
      </c>
      <c r="V137" s="127"/>
      <c r="W137" s="128">
        <v>2</v>
      </c>
      <c r="X137" s="128">
        <v>30</v>
      </c>
      <c r="Y137" s="125"/>
      <c r="Z137" s="129"/>
      <c r="AA137" s="129"/>
      <c r="AB137" s="126"/>
      <c r="AC137" s="126">
        <v>9</v>
      </c>
    </row>
    <row r="138" spans="1:38" ht="14.4" customHeight="1">
      <c r="A138" s="83">
        <v>133</v>
      </c>
      <c r="B138" s="84" t="s">
        <v>296</v>
      </c>
      <c r="C138" s="84">
        <v>252245745</v>
      </c>
      <c r="D138" s="83" t="s">
        <v>164</v>
      </c>
      <c r="E138" s="84" t="s">
        <v>124</v>
      </c>
      <c r="F138" s="125">
        <v>214</v>
      </c>
      <c r="G138" s="126"/>
      <c r="H138" s="127"/>
      <c r="I138" s="128"/>
      <c r="J138" s="128"/>
      <c r="K138" s="125"/>
      <c r="L138" s="129">
        <v>1</v>
      </c>
      <c r="M138" s="129"/>
      <c r="N138" s="129"/>
      <c r="O138" s="126"/>
      <c r="P138" s="126"/>
      <c r="Q138" s="126"/>
      <c r="R138" s="132"/>
      <c r="S138" s="132">
        <v>2</v>
      </c>
      <c r="T138" s="132">
        <v>1</v>
      </c>
      <c r="U138" s="126">
        <v>1</v>
      </c>
      <c r="V138" s="127"/>
      <c r="W138" s="128"/>
      <c r="X138" s="128">
        <v>10</v>
      </c>
      <c r="Y138" s="125"/>
      <c r="Z138" s="129">
        <v>15</v>
      </c>
      <c r="AA138" s="129"/>
      <c r="AB138" s="126"/>
      <c r="AC138" s="126">
        <v>27</v>
      </c>
    </row>
    <row r="139" spans="1:38" ht="14.4" customHeight="1">
      <c r="A139" s="83">
        <v>134</v>
      </c>
      <c r="B139" s="84" t="s">
        <v>297</v>
      </c>
      <c r="C139" s="84">
        <v>252229957</v>
      </c>
      <c r="D139" s="83" t="s">
        <v>164</v>
      </c>
      <c r="E139" s="84" t="s">
        <v>124</v>
      </c>
      <c r="F139" s="125">
        <v>86</v>
      </c>
      <c r="G139" s="126"/>
      <c r="H139" s="127"/>
      <c r="I139" s="128"/>
      <c r="J139" s="128"/>
      <c r="K139" s="125"/>
      <c r="L139" s="129">
        <v>1</v>
      </c>
      <c r="M139" s="129"/>
      <c r="N139" s="129"/>
      <c r="O139" s="126"/>
      <c r="P139" s="126"/>
      <c r="Q139" s="126"/>
      <c r="R139" s="132"/>
      <c r="S139" s="132">
        <v>2</v>
      </c>
      <c r="T139" s="132">
        <v>1</v>
      </c>
      <c r="U139" s="126">
        <v>1</v>
      </c>
      <c r="V139" s="127"/>
      <c r="W139" s="128"/>
      <c r="X139" s="128">
        <v>6</v>
      </c>
      <c r="Y139" s="125"/>
      <c r="Z139" s="129"/>
      <c r="AA139" s="129"/>
      <c r="AB139" s="126"/>
      <c r="AC139" s="126">
        <v>33</v>
      </c>
    </row>
    <row r="140" spans="1:38" ht="14.4" customHeight="1">
      <c r="A140" s="83">
        <v>135</v>
      </c>
      <c r="B140" s="84" t="s">
        <v>298</v>
      </c>
      <c r="C140" s="84">
        <v>252272669</v>
      </c>
      <c r="D140" s="83" t="s">
        <v>164</v>
      </c>
      <c r="E140" s="84" t="s">
        <v>124</v>
      </c>
      <c r="F140" s="125">
        <v>81</v>
      </c>
      <c r="G140" s="126"/>
      <c r="H140" s="127"/>
      <c r="I140" s="128"/>
      <c r="J140" s="128"/>
      <c r="K140" s="125"/>
      <c r="L140" s="129"/>
      <c r="M140" s="129"/>
      <c r="N140" s="129"/>
      <c r="O140" s="126"/>
      <c r="P140" s="126"/>
      <c r="Q140" s="126">
        <v>1</v>
      </c>
      <c r="R140" s="132"/>
      <c r="S140" s="132">
        <v>2</v>
      </c>
      <c r="T140" s="132">
        <v>1</v>
      </c>
      <c r="U140" s="126">
        <v>1</v>
      </c>
      <c r="V140" s="127"/>
      <c r="W140" s="128"/>
      <c r="X140" s="128">
        <v>6</v>
      </c>
      <c r="Y140" s="125"/>
      <c r="Z140" s="129"/>
      <c r="AA140" s="129"/>
      <c r="AB140" s="126"/>
      <c r="AC140" s="126">
        <v>7</v>
      </c>
    </row>
    <row r="141" spans="1:38" ht="14.4" customHeight="1">
      <c r="A141" s="83">
        <v>136</v>
      </c>
      <c r="B141" s="84" t="s">
        <v>299</v>
      </c>
      <c r="C141" s="84">
        <v>252262565</v>
      </c>
      <c r="D141" s="83" t="s">
        <v>164</v>
      </c>
      <c r="E141" s="84" t="s">
        <v>124</v>
      </c>
      <c r="F141" s="125">
        <v>49</v>
      </c>
      <c r="G141" s="126"/>
      <c r="H141" s="127">
        <v>1</v>
      </c>
      <c r="I141" s="128"/>
      <c r="J141" s="128"/>
      <c r="K141" s="125">
        <v>2</v>
      </c>
      <c r="L141" s="129"/>
      <c r="M141" s="129"/>
      <c r="N141" s="129"/>
      <c r="O141" s="126"/>
      <c r="P141" s="126"/>
      <c r="Q141" s="126">
        <v>1</v>
      </c>
      <c r="R141" s="132"/>
      <c r="S141" s="132">
        <v>2</v>
      </c>
      <c r="T141" s="132">
        <v>1</v>
      </c>
      <c r="U141" s="126">
        <v>1</v>
      </c>
      <c r="V141" s="127"/>
      <c r="W141" s="128">
        <v>1</v>
      </c>
      <c r="X141" s="128">
        <v>4</v>
      </c>
      <c r="Y141" s="125"/>
      <c r="Z141" s="129"/>
      <c r="AA141" s="129"/>
      <c r="AB141" s="126"/>
      <c r="AC141" s="126">
        <v>0</v>
      </c>
    </row>
    <row r="142" spans="1:38" s="70" customFormat="1" ht="14.4" customHeight="1">
      <c r="A142" s="83">
        <v>137</v>
      </c>
      <c r="B142" s="84" t="s">
        <v>300</v>
      </c>
      <c r="C142" s="84">
        <v>252262327</v>
      </c>
      <c r="D142" s="83" t="s">
        <v>164</v>
      </c>
      <c r="E142" s="84" t="s">
        <v>124</v>
      </c>
      <c r="F142" s="125">
        <v>111</v>
      </c>
      <c r="G142" s="126"/>
      <c r="H142" s="127"/>
      <c r="I142" s="128"/>
      <c r="J142" s="128"/>
      <c r="K142" s="125"/>
      <c r="L142" s="129"/>
      <c r="M142" s="129"/>
      <c r="N142" s="129"/>
      <c r="O142" s="126"/>
      <c r="P142" s="126"/>
      <c r="Q142" s="126">
        <v>1</v>
      </c>
      <c r="R142" s="132"/>
      <c r="S142" s="132">
        <v>2</v>
      </c>
      <c r="T142" s="132">
        <v>1</v>
      </c>
      <c r="U142" s="126">
        <v>1</v>
      </c>
      <c r="V142" s="127"/>
      <c r="W142" s="128"/>
      <c r="X142" s="128">
        <v>6</v>
      </c>
      <c r="Y142" s="125"/>
      <c r="Z142" s="129"/>
      <c r="AA142" s="129"/>
      <c r="AB142" s="126"/>
      <c r="AC142" s="126">
        <v>4</v>
      </c>
      <c r="AD142" s="44"/>
      <c r="AE142" s="44"/>
      <c r="AF142" s="44"/>
      <c r="AG142" s="44"/>
      <c r="AH142" s="44"/>
      <c r="AI142" s="44"/>
      <c r="AJ142" s="44"/>
      <c r="AK142" s="44"/>
      <c r="AL142" s="44"/>
    </row>
    <row r="143" spans="1:38" s="70" customFormat="1" ht="14.4" customHeight="1">
      <c r="A143" s="83">
        <v>138</v>
      </c>
      <c r="B143" s="84" t="s">
        <v>301</v>
      </c>
      <c r="C143" s="84">
        <v>252262831</v>
      </c>
      <c r="D143" s="83" t="s">
        <v>164</v>
      </c>
      <c r="E143" s="84" t="s">
        <v>124</v>
      </c>
      <c r="F143" s="125">
        <v>115</v>
      </c>
      <c r="G143" s="126"/>
      <c r="H143" s="127"/>
      <c r="I143" s="128"/>
      <c r="J143" s="128"/>
      <c r="K143" s="125"/>
      <c r="L143" s="129"/>
      <c r="M143" s="129"/>
      <c r="N143" s="129"/>
      <c r="O143" s="126"/>
      <c r="P143" s="126"/>
      <c r="Q143" s="126">
        <v>1</v>
      </c>
      <c r="R143" s="132"/>
      <c r="S143" s="132">
        <v>2</v>
      </c>
      <c r="T143" s="132">
        <v>1</v>
      </c>
      <c r="U143" s="126">
        <v>1</v>
      </c>
      <c r="V143" s="127"/>
      <c r="W143" s="128"/>
      <c r="X143" s="128">
        <v>6</v>
      </c>
      <c r="Y143" s="125"/>
      <c r="Z143" s="129"/>
      <c r="AA143" s="129"/>
      <c r="AB143" s="126"/>
      <c r="AC143" s="126">
        <v>10</v>
      </c>
      <c r="AD143" s="44"/>
      <c r="AE143" s="44"/>
      <c r="AF143" s="44"/>
      <c r="AG143" s="44"/>
      <c r="AH143" s="44"/>
      <c r="AI143" s="44"/>
      <c r="AJ143" s="44"/>
      <c r="AK143" s="44"/>
      <c r="AL143" s="44"/>
    </row>
    <row r="144" spans="1:38" s="70" customFormat="1" ht="14.4" customHeight="1">
      <c r="A144" s="83">
        <v>139</v>
      </c>
      <c r="B144" s="84" t="s">
        <v>302</v>
      </c>
      <c r="C144" s="84">
        <v>252230585</v>
      </c>
      <c r="D144" s="83" t="s">
        <v>164</v>
      </c>
      <c r="E144" s="84" t="s">
        <v>124</v>
      </c>
      <c r="F144" s="125">
        <v>250</v>
      </c>
      <c r="G144" s="126"/>
      <c r="H144" s="127"/>
      <c r="I144" s="128">
        <v>1</v>
      </c>
      <c r="J144" s="128"/>
      <c r="K144" s="125">
        <v>8</v>
      </c>
      <c r="L144" s="129"/>
      <c r="M144" s="129"/>
      <c r="N144" s="129"/>
      <c r="O144" s="126"/>
      <c r="P144" s="126"/>
      <c r="Q144" s="126">
        <v>1</v>
      </c>
      <c r="R144" s="132"/>
      <c r="S144" s="132">
        <v>2</v>
      </c>
      <c r="T144" s="132">
        <v>1</v>
      </c>
      <c r="U144" s="126">
        <v>1</v>
      </c>
      <c r="V144" s="127"/>
      <c r="W144" s="128">
        <v>4</v>
      </c>
      <c r="X144" s="128">
        <v>12</v>
      </c>
      <c r="Y144" s="125"/>
      <c r="Z144" s="129"/>
      <c r="AA144" s="129"/>
      <c r="AB144" s="126"/>
      <c r="AC144" s="126">
        <v>8</v>
      </c>
      <c r="AD144" s="44"/>
      <c r="AE144" s="44"/>
      <c r="AF144" s="44"/>
      <c r="AG144" s="44"/>
      <c r="AH144" s="44"/>
      <c r="AI144" s="44"/>
      <c r="AJ144" s="44"/>
      <c r="AK144" s="44"/>
      <c r="AL144" s="44"/>
    </row>
    <row r="145" spans="1:38" s="70" customFormat="1" ht="14.4" customHeight="1">
      <c r="A145" s="83">
        <v>140</v>
      </c>
      <c r="B145" s="84" t="s">
        <v>303</v>
      </c>
      <c r="C145" s="84">
        <v>252230596</v>
      </c>
      <c r="D145" s="83" t="s">
        <v>164</v>
      </c>
      <c r="E145" s="84" t="s">
        <v>124</v>
      </c>
      <c r="F145" s="125">
        <v>500</v>
      </c>
      <c r="G145" s="126"/>
      <c r="H145" s="127"/>
      <c r="I145" s="128"/>
      <c r="J145" s="128"/>
      <c r="K145" s="125">
        <v>10</v>
      </c>
      <c r="L145" s="129"/>
      <c r="M145" s="129">
        <v>1</v>
      </c>
      <c r="N145" s="129"/>
      <c r="O145" s="126"/>
      <c r="P145" s="126"/>
      <c r="Q145" s="126"/>
      <c r="R145" s="132"/>
      <c r="S145" s="132">
        <v>2</v>
      </c>
      <c r="T145" s="132">
        <v>1</v>
      </c>
      <c r="U145" s="126">
        <v>1</v>
      </c>
      <c r="V145" s="127"/>
      <c r="W145" s="128">
        <v>5</v>
      </c>
      <c r="X145" s="128">
        <v>18</v>
      </c>
      <c r="Y145" s="125"/>
      <c r="Z145" s="129"/>
      <c r="AA145" s="129"/>
      <c r="AB145" s="126"/>
      <c r="AC145" s="126">
        <v>6</v>
      </c>
      <c r="AD145" s="44"/>
      <c r="AE145" s="44"/>
      <c r="AF145" s="44"/>
      <c r="AG145" s="44"/>
      <c r="AH145" s="44"/>
      <c r="AI145" s="44"/>
      <c r="AJ145" s="44"/>
      <c r="AK145" s="44"/>
      <c r="AL145" s="44"/>
    </row>
    <row r="146" spans="1:38" s="70" customFormat="1" ht="14.4" customHeight="1">
      <c r="A146" s="83">
        <v>141</v>
      </c>
      <c r="B146" s="84" t="s">
        <v>304</v>
      </c>
      <c r="C146" s="84">
        <v>252272444</v>
      </c>
      <c r="D146" s="83" t="s">
        <v>164</v>
      </c>
      <c r="E146" s="84" t="s">
        <v>124</v>
      </c>
      <c r="F146" s="125">
        <v>293</v>
      </c>
      <c r="G146" s="126"/>
      <c r="H146" s="127"/>
      <c r="I146" s="128"/>
      <c r="J146" s="128"/>
      <c r="K146" s="125">
        <v>14</v>
      </c>
      <c r="L146" s="129">
        <v>1</v>
      </c>
      <c r="M146" s="129"/>
      <c r="N146" s="129"/>
      <c r="O146" s="126"/>
      <c r="P146" s="126"/>
      <c r="Q146" s="126"/>
      <c r="R146" s="132"/>
      <c r="S146" s="132">
        <v>2</v>
      </c>
      <c r="T146" s="132">
        <v>1</v>
      </c>
      <c r="U146" s="126">
        <v>1</v>
      </c>
      <c r="V146" s="127"/>
      <c r="W146" s="128">
        <v>7</v>
      </c>
      <c r="X146" s="128">
        <v>16</v>
      </c>
      <c r="Y146" s="125"/>
      <c r="Z146" s="129"/>
      <c r="AA146" s="129"/>
      <c r="AB146" s="126"/>
      <c r="AC146" s="126">
        <v>10</v>
      </c>
      <c r="AD146" s="44"/>
      <c r="AE146" s="44"/>
      <c r="AF146" s="44"/>
      <c r="AG146" s="44"/>
      <c r="AH146" s="44"/>
      <c r="AI146" s="44"/>
      <c r="AJ146" s="44"/>
      <c r="AK146" s="44"/>
      <c r="AL146" s="44"/>
    </row>
    <row r="147" spans="1:38" s="70" customFormat="1" ht="14.4" customHeight="1">
      <c r="A147" s="83">
        <v>142</v>
      </c>
      <c r="B147" s="84" t="s">
        <v>305</v>
      </c>
      <c r="C147" s="84">
        <v>252257246</v>
      </c>
      <c r="D147" s="83" t="s">
        <v>164</v>
      </c>
      <c r="E147" s="84" t="s">
        <v>124</v>
      </c>
      <c r="F147" s="125">
        <v>409</v>
      </c>
      <c r="G147" s="126"/>
      <c r="H147" s="127"/>
      <c r="I147" s="128"/>
      <c r="J147" s="128"/>
      <c r="K147" s="125"/>
      <c r="L147" s="129"/>
      <c r="M147" s="129">
        <v>1</v>
      </c>
      <c r="N147" s="129"/>
      <c r="O147" s="126"/>
      <c r="P147" s="126"/>
      <c r="Q147" s="126"/>
      <c r="R147" s="132"/>
      <c r="S147" s="132">
        <v>2</v>
      </c>
      <c r="T147" s="132">
        <v>1</v>
      </c>
      <c r="U147" s="126">
        <v>1</v>
      </c>
      <c r="V147" s="127"/>
      <c r="W147" s="128"/>
      <c r="X147" s="128">
        <v>16</v>
      </c>
      <c r="Y147" s="125"/>
      <c r="Z147" s="129"/>
      <c r="AA147" s="129"/>
      <c r="AB147" s="126"/>
      <c r="AC147" s="126">
        <v>26</v>
      </c>
      <c r="AD147" s="44"/>
      <c r="AE147" s="44"/>
      <c r="AF147" s="44"/>
      <c r="AG147" s="44"/>
      <c r="AH147" s="44"/>
      <c r="AI147" s="44"/>
      <c r="AJ147" s="44"/>
      <c r="AK147" s="44"/>
      <c r="AL147" s="44"/>
    </row>
    <row r="148" spans="1:38" s="70" customFormat="1" ht="14.4" customHeight="1">
      <c r="A148" s="83">
        <v>143</v>
      </c>
      <c r="B148" s="84" t="s">
        <v>306</v>
      </c>
      <c r="C148" s="84">
        <v>252262926</v>
      </c>
      <c r="D148" s="83" t="s">
        <v>164</v>
      </c>
      <c r="E148" s="84" t="s">
        <v>124</v>
      </c>
      <c r="F148" s="125">
        <v>50</v>
      </c>
      <c r="G148" s="126"/>
      <c r="H148" s="127"/>
      <c r="I148" s="128"/>
      <c r="J148" s="128"/>
      <c r="K148" s="125"/>
      <c r="L148" s="129">
        <v>1</v>
      </c>
      <c r="M148" s="129"/>
      <c r="N148" s="129"/>
      <c r="O148" s="126"/>
      <c r="P148" s="126"/>
      <c r="Q148" s="126"/>
      <c r="R148" s="132"/>
      <c r="S148" s="132">
        <v>2</v>
      </c>
      <c r="T148" s="132">
        <v>1</v>
      </c>
      <c r="U148" s="126">
        <v>1</v>
      </c>
      <c r="V148" s="127"/>
      <c r="W148" s="128"/>
      <c r="X148" s="128">
        <v>2</v>
      </c>
      <c r="Y148" s="125"/>
      <c r="Z148" s="129"/>
      <c r="AA148" s="129"/>
      <c r="AB148" s="126"/>
      <c r="AC148" s="126">
        <v>5</v>
      </c>
      <c r="AD148" s="44"/>
      <c r="AE148" s="44"/>
      <c r="AF148" s="44"/>
      <c r="AG148" s="44"/>
      <c r="AH148" s="44"/>
      <c r="AI148" s="44"/>
      <c r="AJ148" s="44"/>
      <c r="AK148" s="44"/>
      <c r="AL148" s="44"/>
    </row>
    <row r="149" spans="1:38" s="70" customFormat="1" ht="14.4" customHeight="1">
      <c r="A149" s="83">
        <v>144</v>
      </c>
      <c r="B149" s="84" t="s">
        <v>307</v>
      </c>
      <c r="C149" s="84">
        <v>252250436</v>
      </c>
      <c r="D149" s="83" t="s">
        <v>164</v>
      </c>
      <c r="E149" s="84" t="s">
        <v>124</v>
      </c>
      <c r="F149" s="125">
        <v>573</v>
      </c>
      <c r="G149" s="126"/>
      <c r="H149" s="127"/>
      <c r="I149" s="128"/>
      <c r="J149" s="128"/>
      <c r="K149" s="125">
        <v>6</v>
      </c>
      <c r="L149" s="129">
        <v>1</v>
      </c>
      <c r="M149" s="129"/>
      <c r="N149" s="129"/>
      <c r="O149" s="126"/>
      <c r="P149" s="126"/>
      <c r="Q149" s="126"/>
      <c r="R149" s="132"/>
      <c r="S149" s="132">
        <v>2</v>
      </c>
      <c r="T149" s="132">
        <v>1</v>
      </c>
      <c r="U149" s="126">
        <v>1</v>
      </c>
      <c r="V149" s="127"/>
      <c r="W149" s="128">
        <v>3</v>
      </c>
      <c r="X149" s="128">
        <v>26</v>
      </c>
      <c r="Y149" s="125"/>
      <c r="Z149" s="129"/>
      <c r="AA149" s="129"/>
      <c r="AB149" s="126"/>
      <c r="AC149" s="126">
        <v>14</v>
      </c>
      <c r="AD149" s="44"/>
      <c r="AE149" s="44"/>
      <c r="AF149" s="44"/>
      <c r="AG149" s="44"/>
      <c r="AH149" s="44"/>
      <c r="AI149" s="44"/>
      <c r="AJ149" s="44"/>
      <c r="AK149" s="44"/>
      <c r="AL149" s="44"/>
    </row>
    <row r="150" spans="1:38" s="70" customFormat="1" ht="14.4" customHeight="1">
      <c r="A150" s="83">
        <v>145</v>
      </c>
      <c r="B150" s="84" t="s">
        <v>308</v>
      </c>
      <c r="C150" s="84">
        <v>252229932</v>
      </c>
      <c r="D150" s="83" t="s">
        <v>164</v>
      </c>
      <c r="E150" s="84" t="s">
        <v>124</v>
      </c>
      <c r="F150" s="125">
        <v>316</v>
      </c>
      <c r="G150" s="126"/>
      <c r="H150" s="127">
        <v>2</v>
      </c>
      <c r="I150" s="128"/>
      <c r="J150" s="128"/>
      <c r="K150" s="125">
        <v>4</v>
      </c>
      <c r="L150" s="129"/>
      <c r="M150" s="129">
        <v>1</v>
      </c>
      <c r="N150" s="129"/>
      <c r="O150" s="126"/>
      <c r="P150" s="126"/>
      <c r="Q150" s="126"/>
      <c r="R150" s="132"/>
      <c r="S150" s="132">
        <v>2</v>
      </c>
      <c r="T150" s="132">
        <v>1</v>
      </c>
      <c r="U150" s="126">
        <v>1</v>
      </c>
      <c r="V150" s="127"/>
      <c r="W150" s="128">
        <v>2</v>
      </c>
      <c r="X150" s="128">
        <v>16</v>
      </c>
      <c r="Y150" s="125"/>
      <c r="Z150" s="129"/>
      <c r="AA150" s="129"/>
      <c r="AB150" s="126"/>
      <c r="AC150" s="126">
        <v>14</v>
      </c>
      <c r="AD150" s="44"/>
      <c r="AE150" s="44"/>
      <c r="AF150" s="44"/>
      <c r="AG150" s="44"/>
      <c r="AH150" s="44"/>
      <c r="AI150" s="44"/>
      <c r="AJ150" s="44"/>
      <c r="AK150" s="44"/>
      <c r="AL150" s="44"/>
    </row>
    <row r="151" spans="1:38" s="70" customFormat="1" ht="14.4" customHeight="1">
      <c r="A151" s="83">
        <v>146</v>
      </c>
      <c r="B151" s="84" t="s">
        <v>309</v>
      </c>
      <c r="C151" s="84">
        <v>252229853</v>
      </c>
      <c r="D151" s="83" t="s">
        <v>164</v>
      </c>
      <c r="E151" s="84" t="s">
        <v>124</v>
      </c>
      <c r="F151" s="125">
        <v>372</v>
      </c>
      <c r="G151" s="126"/>
      <c r="H151" s="127">
        <v>2</v>
      </c>
      <c r="I151" s="128"/>
      <c r="J151" s="128"/>
      <c r="K151" s="125">
        <v>4</v>
      </c>
      <c r="L151" s="129"/>
      <c r="M151" s="129">
        <v>1</v>
      </c>
      <c r="N151" s="129"/>
      <c r="O151" s="126"/>
      <c r="P151" s="126"/>
      <c r="Q151" s="126"/>
      <c r="R151" s="132"/>
      <c r="S151" s="132">
        <v>2</v>
      </c>
      <c r="T151" s="132">
        <v>1</v>
      </c>
      <c r="U151" s="126">
        <v>1</v>
      </c>
      <c r="V151" s="127"/>
      <c r="W151" s="128">
        <v>2</v>
      </c>
      <c r="X151" s="128">
        <v>18</v>
      </c>
      <c r="Y151" s="125"/>
      <c r="Z151" s="129"/>
      <c r="AA151" s="129"/>
      <c r="AB151" s="126"/>
      <c r="AC151" s="126">
        <v>32</v>
      </c>
      <c r="AD151" s="44"/>
      <c r="AE151" s="44"/>
      <c r="AF151" s="44"/>
      <c r="AG151" s="44"/>
      <c r="AH151" s="44"/>
      <c r="AI151" s="44"/>
      <c r="AJ151" s="44"/>
      <c r="AK151" s="44"/>
      <c r="AL151" s="44"/>
    </row>
    <row r="152" spans="1:38" s="70" customFormat="1" ht="14.4" customHeight="1">
      <c r="A152" s="83">
        <v>147</v>
      </c>
      <c r="B152" s="84" t="s">
        <v>310</v>
      </c>
      <c r="C152" s="84">
        <v>252229934</v>
      </c>
      <c r="D152" s="83" t="s">
        <v>164</v>
      </c>
      <c r="E152" s="84" t="s">
        <v>124</v>
      </c>
      <c r="F152" s="125">
        <v>271</v>
      </c>
      <c r="G152" s="126"/>
      <c r="H152" s="127">
        <v>2</v>
      </c>
      <c r="I152" s="128"/>
      <c r="J152" s="128"/>
      <c r="K152" s="125">
        <v>4</v>
      </c>
      <c r="L152" s="129">
        <v>1</v>
      </c>
      <c r="M152" s="129"/>
      <c r="N152" s="129"/>
      <c r="O152" s="126"/>
      <c r="P152" s="126"/>
      <c r="Q152" s="126"/>
      <c r="R152" s="132"/>
      <c r="S152" s="132">
        <v>2</v>
      </c>
      <c r="T152" s="132">
        <v>1</v>
      </c>
      <c r="U152" s="126">
        <v>1</v>
      </c>
      <c r="V152" s="127"/>
      <c r="W152" s="128">
        <v>2</v>
      </c>
      <c r="X152" s="128">
        <v>12</v>
      </c>
      <c r="Y152" s="125"/>
      <c r="Z152" s="129"/>
      <c r="AA152" s="129"/>
      <c r="AB152" s="126"/>
      <c r="AC152" s="126">
        <v>25</v>
      </c>
      <c r="AD152" s="44"/>
      <c r="AE152" s="44"/>
      <c r="AF152" s="44"/>
      <c r="AG152" s="44"/>
      <c r="AH152" s="44"/>
      <c r="AI152" s="44"/>
      <c r="AJ152" s="44"/>
      <c r="AK152" s="44"/>
      <c r="AL152" s="44"/>
    </row>
    <row r="153" spans="1:38" s="70" customFormat="1" ht="14.4" customHeight="1">
      <c r="A153" s="83">
        <v>148</v>
      </c>
      <c r="B153" s="84" t="s">
        <v>311</v>
      </c>
      <c r="C153" s="84">
        <v>252250223</v>
      </c>
      <c r="D153" s="83" t="s">
        <v>164</v>
      </c>
      <c r="E153" s="84" t="s">
        <v>124</v>
      </c>
      <c r="F153" s="125">
        <v>345</v>
      </c>
      <c r="G153" s="126"/>
      <c r="H153" s="127">
        <v>2</v>
      </c>
      <c r="I153" s="128"/>
      <c r="J153" s="128"/>
      <c r="K153" s="125">
        <v>6</v>
      </c>
      <c r="L153" s="129">
        <v>1</v>
      </c>
      <c r="M153" s="129"/>
      <c r="N153" s="129"/>
      <c r="O153" s="126"/>
      <c r="P153" s="126"/>
      <c r="Q153" s="126"/>
      <c r="R153" s="132"/>
      <c r="S153" s="132">
        <v>2</v>
      </c>
      <c r="T153" s="132">
        <v>1</v>
      </c>
      <c r="U153" s="126">
        <v>1</v>
      </c>
      <c r="V153" s="127"/>
      <c r="W153" s="128">
        <v>3</v>
      </c>
      <c r="X153" s="128">
        <v>18</v>
      </c>
      <c r="Y153" s="125"/>
      <c r="Z153" s="129"/>
      <c r="AA153" s="129"/>
      <c r="AB153" s="126"/>
      <c r="AC153" s="126">
        <v>3</v>
      </c>
      <c r="AD153" s="44"/>
      <c r="AE153" s="44"/>
      <c r="AF153" s="44"/>
      <c r="AG153" s="44"/>
      <c r="AH153" s="44"/>
      <c r="AI153" s="44"/>
      <c r="AJ153" s="44"/>
      <c r="AK153" s="44"/>
      <c r="AL153" s="44"/>
    </row>
    <row r="154" spans="1:38" s="70" customFormat="1" ht="14.4" customHeight="1">
      <c r="A154" s="83">
        <v>149</v>
      </c>
      <c r="B154" s="84" t="s">
        <v>312</v>
      </c>
      <c r="C154" s="84">
        <v>252262156</v>
      </c>
      <c r="D154" s="83" t="s">
        <v>164</v>
      </c>
      <c r="E154" s="84" t="s">
        <v>124</v>
      </c>
      <c r="F154" s="125">
        <v>260</v>
      </c>
      <c r="G154" s="126"/>
      <c r="H154" s="127"/>
      <c r="I154" s="128"/>
      <c r="J154" s="128"/>
      <c r="K154" s="125">
        <v>10</v>
      </c>
      <c r="L154" s="129">
        <v>1</v>
      </c>
      <c r="M154" s="129"/>
      <c r="N154" s="129"/>
      <c r="O154" s="126"/>
      <c r="P154" s="126"/>
      <c r="Q154" s="126"/>
      <c r="R154" s="132"/>
      <c r="S154" s="132">
        <v>2</v>
      </c>
      <c r="T154" s="132">
        <v>1</v>
      </c>
      <c r="U154" s="126">
        <v>1</v>
      </c>
      <c r="V154" s="127"/>
      <c r="W154" s="128">
        <v>5</v>
      </c>
      <c r="X154" s="128">
        <v>12</v>
      </c>
      <c r="Y154" s="125"/>
      <c r="Z154" s="129"/>
      <c r="AA154" s="129"/>
      <c r="AB154" s="126"/>
      <c r="AC154" s="126">
        <v>3</v>
      </c>
      <c r="AD154" s="44"/>
      <c r="AE154" s="44"/>
      <c r="AF154" s="44"/>
      <c r="AG154" s="44"/>
      <c r="AH154" s="44"/>
      <c r="AI154" s="44"/>
      <c r="AJ154" s="44"/>
      <c r="AK154" s="44"/>
      <c r="AL154" s="44"/>
    </row>
    <row r="155" spans="1:38" s="70" customFormat="1" ht="14.4" customHeight="1">
      <c r="A155" s="83">
        <v>150</v>
      </c>
      <c r="B155" s="84" t="s">
        <v>313</v>
      </c>
      <c r="C155" s="84">
        <v>252230563</v>
      </c>
      <c r="D155" s="83" t="s">
        <v>164</v>
      </c>
      <c r="E155" s="84" t="s">
        <v>124</v>
      </c>
      <c r="F155" s="125">
        <v>134</v>
      </c>
      <c r="G155" s="126"/>
      <c r="H155" s="127"/>
      <c r="I155" s="128"/>
      <c r="J155" s="128"/>
      <c r="K155" s="125"/>
      <c r="L155" s="129"/>
      <c r="M155" s="129"/>
      <c r="N155" s="129"/>
      <c r="O155" s="126"/>
      <c r="P155" s="126"/>
      <c r="Q155" s="126">
        <v>1</v>
      </c>
      <c r="R155" s="132"/>
      <c r="S155" s="132">
        <v>2</v>
      </c>
      <c r="T155" s="132">
        <v>1</v>
      </c>
      <c r="U155" s="126">
        <v>1</v>
      </c>
      <c r="V155" s="127">
        <v>14</v>
      </c>
      <c r="W155" s="128"/>
      <c r="X155" s="128">
        <v>2</v>
      </c>
      <c r="Y155" s="125">
        <v>2</v>
      </c>
      <c r="Z155" s="129"/>
      <c r="AA155" s="129"/>
      <c r="AB155" s="126">
        <v>28</v>
      </c>
      <c r="AC155" s="126">
        <v>10</v>
      </c>
      <c r="AD155" s="44"/>
      <c r="AE155" s="44"/>
      <c r="AF155" s="44"/>
      <c r="AG155" s="44"/>
      <c r="AH155" s="44"/>
      <c r="AI155" s="44"/>
      <c r="AJ155" s="44"/>
      <c r="AK155" s="44"/>
      <c r="AL155" s="44"/>
    </row>
    <row r="156" spans="1:38" s="70" customFormat="1" ht="14.4" customHeight="1">
      <c r="A156" s="83">
        <v>151</v>
      </c>
      <c r="B156" s="84" t="s">
        <v>314</v>
      </c>
      <c r="C156" s="84">
        <v>252276894</v>
      </c>
      <c r="D156" s="83" t="s">
        <v>164</v>
      </c>
      <c r="E156" s="84" t="s">
        <v>124</v>
      </c>
      <c r="F156" s="125">
        <v>139</v>
      </c>
      <c r="G156" s="126"/>
      <c r="H156" s="127"/>
      <c r="I156" s="128"/>
      <c r="J156" s="128"/>
      <c r="K156" s="125"/>
      <c r="L156" s="129">
        <v>1</v>
      </c>
      <c r="M156" s="129"/>
      <c r="N156" s="129"/>
      <c r="O156" s="126"/>
      <c r="P156" s="126"/>
      <c r="Q156" s="126"/>
      <c r="R156" s="132"/>
      <c r="S156" s="132">
        <v>2</v>
      </c>
      <c r="T156" s="132">
        <v>1</v>
      </c>
      <c r="U156" s="126">
        <v>1</v>
      </c>
      <c r="V156" s="127"/>
      <c r="W156" s="128"/>
      <c r="X156" s="128">
        <v>4</v>
      </c>
      <c r="Y156" s="125"/>
      <c r="Z156" s="129"/>
      <c r="AA156" s="129"/>
      <c r="AB156" s="126"/>
      <c r="AC156" s="126">
        <v>9</v>
      </c>
      <c r="AD156" s="44"/>
      <c r="AE156" s="44"/>
      <c r="AF156" s="44"/>
      <c r="AG156" s="44"/>
      <c r="AH156" s="44"/>
      <c r="AI156" s="44"/>
      <c r="AJ156" s="44"/>
      <c r="AK156" s="44"/>
      <c r="AL156" s="44"/>
    </row>
    <row r="157" spans="1:38" s="70" customFormat="1" ht="14.4" customHeight="1">
      <c r="A157" s="83">
        <v>152</v>
      </c>
      <c r="B157" s="84" t="s">
        <v>315</v>
      </c>
      <c r="C157" s="84">
        <v>252276554</v>
      </c>
      <c r="D157" s="83" t="s">
        <v>164</v>
      </c>
      <c r="E157" s="84" t="s">
        <v>124</v>
      </c>
      <c r="F157" s="125">
        <v>91</v>
      </c>
      <c r="G157" s="126"/>
      <c r="H157" s="127"/>
      <c r="I157" s="128"/>
      <c r="J157" s="128"/>
      <c r="K157" s="125"/>
      <c r="L157" s="129"/>
      <c r="M157" s="129">
        <v>1</v>
      </c>
      <c r="N157" s="129"/>
      <c r="O157" s="126"/>
      <c r="P157" s="126"/>
      <c r="Q157" s="126"/>
      <c r="R157" s="132"/>
      <c r="S157" s="132">
        <v>2</v>
      </c>
      <c r="T157" s="132">
        <v>1</v>
      </c>
      <c r="U157" s="126">
        <v>1</v>
      </c>
      <c r="V157" s="127"/>
      <c r="W157" s="128"/>
      <c r="X157" s="128">
        <v>4</v>
      </c>
      <c r="Y157" s="125"/>
      <c r="Z157" s="129"/>
      <c r="AA157" s="129"/>
      <c r="AB157" s="126"/>
      <c r="AC157" s="126">
        <v>11</v>
      </c>
      <c r="AD157" s="44"/>
      <c r="AE157" s="44"/>
      <c r="AF157" s="44"/>
      <c r="AG157" s="44"/>
      <c r="AH157" s="44"/>
      <c r="AI157" s="44"/>
      <c r="AJ157" s="44"/>
      <c r="AK157" s="44"/>
      <c r="AL157" s="44"/>
    </row>
    <row r="158" spans="1:38" s="70" customFormat="1" ht="14.4" customHeight="1">
      <c r="A158" s="83">
        <v>153</v>
      </c>
      <c r="B158" s="84" t="s">
        <v>316</v>
      </c>
      <c r="C158" s="84">
        <v>252229937</v>
      </c>
      <c r="D158" s="83" t="s">
        <v>164</v>
      </c>
      <c r="E158" s="84" t="s">
        <v>124</v>
      </c>
      <c r="F158" s="125">
        <v>165</v>
      </c>
      <c r="G158" s="126"/>
      <c r="H158" s="127"/>
      <c r="I158" s="128"/>
      <c r="J158" s="128"/>
      <c r="K158" s="125">
        <v>12</v>
      </c>
      <c r="L158" s="129"/>
      <c r="M158" s="129"/>
      <c r="N158" s="129"/>
      <c r="O158" s="126"/>
      <c r="P158" s="126"/>
      <c r="Q158" s="126"/>
      <c r="R158" s="132"/>
      <c r="S158" s="132">
        <v>2</v>
      </c>
      <c r="T158" s="132">
        <v>1</v>
      </c>
      <c r="U158" s="126">
        <v>1</v>
      </c>
      <c r="V158" s="127"/>
      <c r="W158" s="128">
        <v>6</v>
      </c>
      <c r="X158" s="128">
        <v>14</v>
      </c>
      <c r="Y158" s="125"/>
      <c r="Z158" s="129"/>
      <c r="AA158" s="129"/>
      <c r="AB158" s="126"/>
      <c r="AC158" s="126">
        <v>4</v>
      </c>
      <c r="AD158" s="44"/>
      <c r="AE158" s="44"/>
      <c r="AF158" s="44"/>
      <c r="AG158" s="44"/>
      <c r="AH158" s="44"/>
      <c r="AI158" s="44"/>
      <c r="AJ158" s="44"/>
      <c r="AK158" s="44"/>
      <c r="AL158" s="44"/>
    </row>
    <row r="159" spans="1:38" s="70" customFormat="1" ht="14.4" customHeight="1">
      <c r="A159" s="83">
        <v>154</v>
      </c>
      <c r="B159" s="84" t="s">
        <v>317</v>
      </c>
      <c r="C159" s="84">
        <v>252262284</v>
      </c>
      <c r="D159" s="83" t="s">
        <v>164</v>
      </c>
      <c r="E159" s="84" t="s">
        <v>124</v>
      </c>
      <c r="F159" s="125">
        <v>88</v>
      </c>
      <c r="G159" s="126"/>
      <c r="H159" s="127"/>
      <c r="I159" s="128"/>
      <c r="J159" s="128"/>
      <c r="K159" s="125"/>
      <c r="L159" s="129">
        <v>1</v>
      </c>
      <c r="M159" s="129"/>
      <c r="N159" s="129"/>
      <c r="O159" s="126"/>
      <c r="P159" s="126"/>
      <c r="Q159" s="126"/>
      <c r="R159" s="132"/>
      <c r="S159" s="132">
        <v>2</v>
      </c>
      <c r="T159" s="132">
        <v>1</v>
      </c>
      <c r="U159" s="126">
        <v>1</v>
      </c>
      <c r="V159" s="127"/>
      <c r="W159" s="128"/>
      <c r="X159" s="128">
        <v>4</v>
      </c>
      <c r="Y159" s="125"/>
      <c r="Z159" s="129"/>
      <c r="AA159" s="129"/>
      <c r="AB159" s="126"/>
      <c r="AC159" s="126">
        <v>10</v>
      </c>
      <c r="AD159" s="44"/>
      <c r="AE159" s="44"/>
      <c r="AF159" s="44"/>
      <c r="AG159" s="44"/>
      <c r="AH159" s="44"/>
      <c r="AI159" s="44"/>
      <c r="AJ159" s="44"/>
      <c r="AK159" s="44"/>
      <c r="AL159" s="44"/>
    </row>
    <row r="160" spans="1:38" s="70" customFormat="1" ht="14.4" customHeight="1">
      <c r="A160" s="83">
        <v>155</v>
      </c>
      <c r="B160" s="84" t="s">
        <v>318</v>
      </c>
      <c r="C160" s="84">
        <v>252051956</v>
      </c>
      <c r="D160" s="83" t="s">
        <v>164</v>
      </c>
      <c r="E160" s="84" t="s">
        <v>124</v>
      </c>
      <c r="F160" s="125">
        <v>39</v>
      </c>
      <c r="G160" s="126"/>
      <c r="H160" s="127"/>
      <c r="I160" s="128"/>
      <c r="J160" s="128"/>
      <c r="K160" s="125"/>
      <c r="L160" s="129"/>
      <c r="M160" s="129">
        <v>1</v>
      </c>
      <c r="N160" s="129"/>
      <c r="O160" s="126"/>
      <c r="P160" s="126"/>
      <c r="Q160" s="126"/>
      <c r="R160" s="132"/>
      <c r="S160" s="132">
        <v>2</v>
      </c>
      <c r="T160" s="132">
        <v>1</v>
      </c>
      <c r="U160" s="126">
        <v>1</v>
      </c>
      <c r="V160" s="127"/>
      <c r="W160" s="128"/>
      <c r="X160" s="128">
        <v>4</v>
      </c>
      <c r="Y160" s="125"/>
      <c r="Z160" s="129"/>
      <c r="AA160" s="129"/>
      <c r="AB160" s="126"/>
      <c r="AC160" s="126">
        <v>2</v>
      </c>
      <c r="AD160" s="44"/>
      <c r="AE160" s="44"/>
      <c r="AF160" s="44"/>
      <c r="AG160" s="44"/>
      <c r="AH160" s="44"/>
      <c r="AI160" s="44"/>
      <c r="AJ160" s="44"/>
      <c r="AK160" s="44"/>
      <c r="AL160" s="44"/>
    </row>
    <row r="161" spans="1:38" s="70" customFormat="1" ht="14.4" customHeight="1">
      <c r="A161" s="83">
        <v>156</v>
      </c>
      <c r="B161" s="84" t="s">
        <v>319</v>
      </c>
      <c r="C161" s="84">
        <v>252229980</v>
      </c>
      <c r="D161" s="83" t="s">
        <v>164</v>
      </c>
      <c r="E161" s="84" t="s">
        <v>124</v>
      </c>
      <c r="F161" s="125">
        <v>361</v>
      </c>
      <c r="G161" s="126"/>
      <c r="H161" s="127">
        <v>2</v>
      </c>
      <c r="I161" s="128"/>
      <c r="J161" s="128"/>
      <c r="K161" s="125">
        <v>6</v>
      </c>
      <c r="L161" s="129">
        <v>1</v>
      </c>
      <c r="M161" s="129"/>
      <c r="N161" s="129"/>
      <c r="O161" s="126"/>
      <c r="P161" s="126"/>
      <c r="Q161" s="126"/>
      <c r="R161" s="132"/>
      <c r="S161" s="132">
        <v>2</v>
      </c>
      <c r="T161" s="132">
        <v>1</v>
      </c>
      <c r="U161" s="126">
        <v>1</v>
      </c>
      <c r="V161" s="127"/>
      <c r="W161" s="128">
        <v>3</v>
      </c>
      <c r="X161" s="128">
        <v>16</v>
      </c>
      <c r="Y161" s="125"/>
      <c r="Z161" s="129"/>
      <c r="AA161" s="129"/>
      <c r="AB161" s="126"/>
      <c r="AC161" s="126">
        <v>20</v>
      </c>
      <c r="AD161" s="44"/>
      <c r="AE161" s="44"/>
      <c r="AF161" s="44"/>
      <c r="AG161" s="44"/>
      <c r="AH161" s="44"/>
      <c r="AI161" s="44"/>
      <c r="AJ161" s="44"/>
      <c r="AK161" s="44"/>
      <c r="AL161" s="44"/>
    </row>
    <row r="162" spans="1:38" s="70" customFormat="1" ht="14.4" customHeight="1">
      <c r="A162" s="83">
        <v>157</v>
      </c>
      <c r="B162" s="84" t="s">
        <v>320</v>
      </c>
      <c r="C162" s="84">
        <v>252276429</v>
      </c>
      <c r="D162" s="83" t="s">
        <v>164</v>
      </c>
      <c r="E162" s="84" t="s">
        <v>124</v>
      </c>
      <c r="F162" s="125">
        <v>93</v>
      </c>
      <c r="G162" s="126"/>
      <c r="H162" s="127"/>
      <c r="I162" s="128"/>
      <c r="J162" s="128"/>
      <c r="K162" s="125"/>
      <c r="L162" s="129"/>
      <c r="M162" s="129">
        <v>1</v>
      </c>
      <c r="N162" s="129"/>
      <c r="O162" s="126"/>
      <c r="P162" s="126"/>
      <c r="Q162" s="126"/>
      <c r="R162" s="132"/>
      <c r="S162" s="132">
        <v>2</v>
      </c>
      <c r="T162" s="132">
        <v>1</v>
      </c>
      <c r="U162" s="126">
        <v>1</v>
      </c>
      <c r="V162" s="127"/>
      <c r="W162" s="128"/>
      <c r="X162" s="128">
        <v>6</v>
      </c>
      <c r="Y162" s="125"/>
      <c r="Z162" s="129"/>
      <c r="AA162" s="129"/>
      <c r="AB162" s="126"/>
      <c r="AC162" s="126">
        <v>7</v>
      </c>
      <c r="AD162" s="44"/>
      <c r="AE162" s="44"/>
      <c r="AF162" s="44"/>
      <c r="AG162" s="44"/>
      <c r="AH162" s="44"/>
      <c r="AI162" s="44"/>
      <c r="AJ162" s="44"/>
      <c r="AK162" s="44"/>
      <c r="AL162" s="44"/>
    </row>
    <row r="163" spans="1:38" s="70" customFormat="1" ht="14.4" customHeight="1">
      <c r="A163" s="83">
        <v>158</v>
      </c>
      <c r="B163" s="84" t="s">
        <v>321</v>
      </c>
      <c r="C163" s="84">
        <v>252229945</v>
      </c>
      <c r="D163" s="83" t="s">
        <v>164</v>
      </c>
      <c r="E163" s="84" t="s">
        <v>124</v>
      </c>
      <c r="F163" s="125">
        <v>194</v>
      </c>
      <c r="G163" s="126"/>
      <c r="H163" s="127"/>
      <c r="I163" s="128"/>
      <c r="J163" s="128"/>
      <c r="K163" s="125"/>
      <c r="L163" s="129"/>
      <c r="M163" s="129">
        <v>1</v>
      </c>
      <c r="N163" s="129"/>
      <c r="O163" s="126"/>
      <c r="P163" s="126"/>
      <c r="Q163" s="126"/>
      <c r="R163" s="132"/>
      <c r="S163" s="132">
        <v>2</v>
      </c>
      <c r="T163" s="132">
        <v>1</v>
      </c>
      <c r="U163" s="126">
        <v>1</v>
      </c>
      <c r="V163" s="127"/>
      <c r="W163" s="128"/>
      <c r="X163" s="128">
        <v>14</v>
      </c>
      <c r="Y163" s="125"/>
      <c r="Z163" s="129"/>
      <c r="AA163" s="129"/>
      <c r="AB163" s="126"/>
      <c r="AC163" s="126">
        <v>7</v>
      </c>
      <c r="AD163" s="44"/>
      <c r="AE163" s="44"/>
      <c r="AF163" s="44"/>
      <c r="AG163" s="44"/>
      <c r="AH163" s="44"/>
      <c r="AI163" s="44"/>
      <c r="AJ163" s="44"/>
      <c r="AK163" s="44"/>
      <c r="AL163" s="44"/>
    </row>
    <row r="164" spans="1:38" s="70" customFormat="1" ht="14.4" customHeight="1">
      <c r="A164" s="83">
        <v>159</v>
      </c>
      <c r="B164" s="84" t="s">
        <v>322</v>
      </c>
      <c r="C164" s="84">
        <v>252272026</v>
      </c>
      <c r="D164" s="83" t="s">
        <v>164</v>
      </c>
      <c r="E164" s="84" t="s">
        <v>124</v>
      </c>
      <c r="F164" s="125">
        <v>157</v>
      </c>
      <c r="G164" s="126"/>
      <c r="H164" s="127"/>
      <c r="I164" s="128"/>
      <c r="J164" s="128"/>
      <c r="K164" s="125"/>
      <c r="L164" s="129">
        <v>1</v>
      </c>
      <c r="M164" s="129"/>
      <c r="N164" s="129"/>
      <c r="O164" s="126"/>
      <c r="P164" s="126"/>
      <c r="Q164" s="126"/>
      <c r="R164" s="132"/>
      <c r="S164" s="132">
        <v>2</v>
      </c>
      <c r="T164" s="132">
        <v>1</v>
      </c>
      <c r="U164" s="126">
        <v>1</v>
      </c>
      <c r="V164" s="127"/>
      <c r="W164" s="128"/>
      <c r="X164" s="128">
        <v>8</v>
      </c>
      <c r="Y164" s="125"/>
      <c r="Z164" s="129"/>
      <c r="AA164" s="129"/>
      <c r="AB164" s="126"/>
      <c r="AC164" s="126">
        <v>10</v>
      </c>
      <c r="AD164" s="44"/>
      <c r="AE164" s="44"/>
      <c r="AF164" s="44"/>
      <c r="AG164" s="44"/>
      <c r="AH164" s="44"/>
      <c r="AI164" s="44"/>
      <c r="AJ164" s="44"/>
      <c r="AK164" s="44"/>
      <c r="AL164" s="44"/>
    </row>
    <row r="165" spans="1:38" s="70" customFormat="1" ht="14.4" customHeight="1">
      <c r="A165" s="83">
        <v>160</v>
      </c>
      <c r="B165" s="84" t="s">
        <v>323</v>
      </c>
      <c r="C165" s="84">
        <v>252229918</v>
      </c>
      <c r="D165" s="83" t="s">
        <v>164</v>
      </c>
      <c r="E165" s="84" t="s">
        <v>124</v>
      </c>
      <c r="F165" s="125">
        <v>201</v>
      </c>
      <c r="G165" s="126"/>
      <c r="H165" s="127"/>
      <c r="I165" s="128"/>
      <c r="J165" s="128"/>
      <c r="K165" s="125"/>
      <c r="L165" s="129">
        <v>1</v>
      </c>
      <c r="M165" s="129"/>
      <c r="N165" s="129"/>
      <c r="O165" s="126"/>
      <c r="P165" s="126"/>
      <c r="Q165" s="126"/>
      <c r="R165" s="132"/>
      <c r="S165" s="132">
        <v>2</v>
      </c>
      <c r="T165" s="132">
        <v>1</v>
      </c>
      <c r="U165" s="126">
        <v>1</v>
      </c>
      <c r="V165" s="127"/>
      <c r="W165" s="128"/>
      <c r="X165" s="128">
        <v>8</v>
      </c>
      <c r="Y165" s="125"/>
      <c r="Z165" s="129"/>
      <c r="AA165" s="129"/>
      <c r="AB165" s="126"/>
      <c r="AC165" s="126">
        <v>9</v>
      </c>
      <c r="AD165" s="44"/>
      <c r="AE165" s="44"/>
      <c r="AF165" s="44"/>
      <c r="AG165" s="44"/>
      <c r="AH165" s="44"/>
      <c r="AI165" s="44"/>
      <c r="AJ165" s="44"/>
      <c r="AK165" s="44"/>
      <c r="AL165" s="44"/>
    </row>
    <row r="166" spans="1:38" s="70" customFormat="1" ht="14.4" customHeight="1">
      <c r="A166" s="83">
        <v>161</v>
      </c>
      <c r="B166" s="84" t="s">
        <v>324</v>
      </c>
      <c r="C166" s="84">
        <v>252230572</v>
      </c>
      <c r="D166" s="83" t="s">
        <v>164</v>
      </c>
      <c r="E166" s="84" t="s">
        <v>124</v>
      </c>
      <c r="F166" s="125">
        <v>102</v>
      </c>
      <c r="G166" s="126"/>
      <c r="H166" s="127"/>
      <c r="I166" s="128"/>
      <c r="J166" s="128"/>
      <c r="K166" s="125"/>
      <c r="L166" s="129">
        <v>1</v>
      </c>
      <c r="M166" s="129"/>
      <c r="N166" s="129"/>
      <c r="O166" s="126"/>
      <c r="P166" s="126"/>
      <c r="Q166" s="126"/>
      <c r="R166" s="132"/>
      <c r="S166" s="132">
        <v>2</v>
      </c>
      <c r="T166" s="132">
        <v>1</v>
      </c>
      <c r="U166" s="126">
        <v>1</v>
      </c>
      <c r="V166" s="127"/>
      <c r="W166" s="128"/>
      <c r="X166" s="128">
        <v>6</v>
      </c>
      <c r="Y166" s="125"/>
      <c r="Z166" s="129"/>
      <c r="AA166" s="129"/>
      <c r="AB166" s="126"/>
      <c r="AC166" s="126">
        <v>11</v>
      </c>
      <c r="AD166" s="44"/>
      <c r="AE166" s="44"/>
      <c r="AF166" s="44"/>
      <c r="AG166" s="44"/>
      <c r="AH166" s="44"/>
      <c r="AI166" s="44"/>
      <c r="AJ166" s="44"/>
      <c r="AK166" s="44"/>
      <c r="AL166" s="44"/>
    </row>
    <row r="167" spans="1:38" s="70" customFormat="1" ht="14.4" customHeight="1">
      <c r="A167" s="83">
        <v>162</v>
      </c>
      <c r="B167" s="84" t="s">
        <v>325</v>
      </c>
      <c r="C167" s="84">
        <v>252230579</v>
      </c>
      <c r="D167" s="83" t="s">
        <v>164</v>
      </c>
      <c r="E167" s="84" t="s">
        <v>124</v>
      </c>
      <c r="F167" s="125">
        <v>326</v>
      </c>
      <c r="G167" s="126"/>
      <c r="H167" s="127"/>
      <c r="I167" s="128"/>
      <c r="J167" s="128"/>
      <c r="K167" s="125"/>
      <c r="L167" s="129"/>
      <c r="M167" s="129">
        <v>1</v>
      </c>
      <c r="N167" s="129"/>
      <c r="O167" s="126"/>
      <c r="P167" s="126"/>
      <c r="Q167" s="126"/>
      <c r="R167" s="132"/>
      <c r="S167" s="132">
        <v>2</v>
      </c>
      <c r="T167" s="132">
        <v>1</v>
      </c>
      <c r="U167" s="126">
        <v>1</v>
      </c>
      <c r="V167" s="127"/>
      <c r="W167" s="128"/>
      <c r="X167" s="128">
        <v>14</v>
      </c>
      <c r="Y167" s="125"/>
      <c r="Z167" s="129"/>
      <c r="AA167" s="129"/>
      <c r="AB167" s="126"/>
      <c r="AC167" s="126">
        <v>5</v>
      </c>
      <c r="AD167" s="44"/>
      <c r="AE167" s="44"/>
      <c r="AF167" s="44"/>
      <c r="AG167" s="44"/>
      <c r="AH167" s="44"/>
      <c r="AI167" s="44"/>
      <c r="AJ167" s="44"/>
      <c r="AK167" s="44"/>
      <c r="AL167" s="44"/>
    </row>
    <row r="168" spans="1:38" s="70" customFormat="1" ht="14.4" customHeight="1">
      <c r="A168" s="83">
        <v>163</v>
      </c>
      <c r="B168" s="84" t="s">
        <v>326</v>
      </c>
      <c r="C168" s="84">
        <v>252275296</v>
      </c>
      <c r="D168" s="83" t="s">
        <v>164</v>
      </c>
      <c r="E168" s="84" t="s">
        <v>124</v>
      </c>
      <c r="F168" s="125">
        <v>206</v>
      </c>
      <c r="G168" s="126"/>
      <c r="H168" s="127"/>
      <c r="I168" s="128"/>
      <c r="J168" s="128"/>
      <c r="K168" s="125"/>
      <c r="L168" s="129">
        <v>1</v>
      </c>
      <c r="M168" s="129"/>
      <c r="N168" s="129"/>
      <c r="O168" s="126"/>
      <c r="P168" s="126"/>
      <c r="Q168" s="126"/>
      <c r="R168" s="132"/>
      <c r="S168" s="132">
        <v>2</v>
      </c>
      <c r="T168" s="132">
        <v>1</v>
      </c>
      <c r="U168" s="126">
        <v>1</v>
      </c>
      <c r="V168" s="127"/>
      <c r="W168" s="128"/>
      <c r="X168" s="128">
        <v>12</v>
      </c>
      <c r="Y168" s="125"/>
      <c r="Z168" s="129"/>
      <c r="AA168" s="129"/>
      <c r="AB168" s="126"/>
      <c r="AC168" s="126">
        <v>21</v>
      </c>
      <c r="AD168" s="44"/>
      <c r="AE168" s="44"/>
      <c r="AF168" s="44"/>
      <c r="AG168" s="44"/>
      <c r="AH168" s="44"/>
      <c r="AI168" s="44"/>
      <c r="AJ168" s="44"/>
      <c r="AK168" s="44"/>
      <c r="AL168" s="44"/>
    </row>
    <row r="169" spans="1:38" s="70" customFormat="1" ht="14.4" customHeight="1">
      <c r="A169" s="83">
        <v>164</v>
      </c>
      <c r="B169" s="84" t="s">
        <v>327</v>
      </c>
      <c r="C169" s="84">
        <v>252272021</v>
      </c>
      <c r="D169" s="83" t="s">
        <v>164</v>
      </c>
      <c r="E169" s="84" t="s">
        <v>124</v>
      </c>
      <c r="F169" s="125">
        <v>62</v>
      </c>
      <c r="G169" s="126"/>
      <c r="H169" s="127"/>
      <c r="I169" s="128"/>
      <c r="J169" s="128"/>
      <c r="K169" s="125">
        <v>2</v>
      </c>
      <c r="L169" s="129">
        <v>1</v>
      </c>
      <c r="M169" s="129"/>
      <c r="N169" s="129"/>
      <c r="O169" s="126"/>
      <c r="P169" s="126"/>
      <c r="Q169" s="126"/>
      <c r="R169" s="132"/>
      <c r="S169" s="132">
        <v>2</v>
      </c>
      <c r="T169" s="132">
        <v>1</v>
      </c>
      <c r="U169" s="126">
        <v>1</v>
      </c>
      <c r="V169" s="127"/>
      <c r="W169" s="128">
        <v>1</v>
      </c>
      <c r="X169" s="128">
        <v>4</v>
      </c>
      <c r="Y169" s="125"/>
      <c r="Z169" s="129"/>
      <c r="AA169" s="129"/>
      <c r="AB169" s="126"/>
      <c r="AC169" s="126">
        <v>12</v>
      </c>
      <c r="AD169" s="44"/>
      <c r="AE169" s="44"/>
      <c r="AF169" s="44"/>
      <c r="AG169" s="44"/>
      <c r="AH169" s="44"/>
      <c r="AI169" s="44"/>
      <c r="AJ169" s="44"/>
      <c r="AK169" s="44"/>
      <c r="AL169" s="44"/>
    </row>
    <row r="170" spans="1:38" s="70" customFormat="1" ht="14.4" customHeight="1">
      <c r="A170" s="83">
        <v>165</v>
      </c>
      <c r="B170" s="84" t="s">
        <v>328</v>
      </c>
      <c r="C170" s="84">
        <v>252230690</v>
      </c>
      <c r="D170" s="83" t="s">
        <v>164</v>
      </c>
      <c r="E170" s="84" t="s">
        <v>124</v>
      </c>
      <c r="F170" s="125">
        <v>46</v>
      </c>
      <c r="G170" s="126"/>
      <c r="H170" s="127"/>
      <c r="I170" s="128"/>
      <c r="J170" s="128"/>
      <c r="K170" s="125"/>
      <c r="L170" s="129"/>
      <c r="M170" s="129">
        <v>1</v>
      </c>
      <c r="N170" s="129"/>
      <c r="O170" s="126"/>
      <c r="P170" s="126"/>
      <c r="Q170" s="126"/>
      <c r="R170" s="132"/>
      <c r="S170" s="132">
        <v>2</v>
      </c>
      <c r="T170" s="132">
        <v>1</v>
      </c>
      <c r="U170" s="126">
        <v>1</v>
      </c>
      <c r="V170" s="127"/>
      <c r="W170" s="128"/>
      <c r="X170" s="128">
        <v>4</v>
      </c>
      <c r="Y170" s="125"/>
      <c r="Z170" s="129"/>
      <c r="AA170" s="129"/>
      <c r="AB170" s="126"/>
      <c r="AC170" s="126">
        <v>9</v>
      </c>
      <c r="AD170" s="44"/>
      <c r="AE170" s="44"/>
      <c r="AF170" s="44"/>
      <c r="AG170" s="44"/>
      <c r="AH170" s="44"/>
      <c r="AI170" s="44"/>
      <c r="AJ170" s="44"/>
      <c r="AK170" s="44"/>
      <c r="AL170" s="44"/>
    </row>
    <row r="171" spans="1:38" s="70" customFormat="1" ht="14.4" customHeight="1">
      <c r="A171" s="83">
        <v>166</v>
      </c>
      <c r="B171" s="84" t="s">
        <v>329</v>
      </c>
      <c r="C171" s="84">
        <v>252230576</v>
      </c>
      <c r="D171" s="83" t="s">
        <v>164</v>
      </c>
      <c r="E171" s="84" t="s">
        <v>124</v>
      </c>
      <c r="F171" s="125">
        <v>217</v>
      </c>
      <c r="G171" s="126"/>
      <c r="H171" s="127">
        <v>2</v>
      </c>
      <c r="I171" s="128"/>
      <c r="J171" s="128"/>
      <c r="K171" s="125">
        <v>4</v>
      </c>
      <c r="L171" s="129"/>
      <c r="M171" s="129">
        <v>1</v>
      </c>
      <c r="N171" s="129"/>
      <c r="O171" s="126"/>
      <c r="P171" s="126"/>
      <c r="Q171" s="126"/>
      <c r="R171" s="132"/>
      <c r="S171" s="132">
        <v>2</v>
      </c>
      <c r="T171" s="132">
        <v>1</v>
      </c>
      <c r="U171" s="126">
        <v>1</v>
      </c>
      <c r="V171" s="127"/>
      <c r="W171" s="128">
        <v>2</v>
      </c>
      <c r="X171" s="128">
        <v>10</v>
      </c>
      <c r="Y171" s="125"/>
      <c r="Z171" s="129"/>
      <c r="AA171" s="129"/>
      <c r="AB171" s="126"/>
      <c r="AC171" s="126">
        <v>11</v>
      </c>
      <c r="AD171" s="44"/>
      <c r="AE171" s="44"/>
      <c r="AF171" s="44"/>
      <c r="AG171" s="44"/>
      <c r="AH171" s="44"/>
      <c r="AI171" s="44"/>
      <c r="AJ171" s="44"/>
      <c r="AK171" s="44"/>
      <c r="AL171" s="44"/>
    </row>
    <row r="172" spans="1:38" s="70" customFormat="1" ht="14.4" customHeight="1">
      <c r="A172" s="83">
        <v>167</v>
      </c>
      <c r="B172" s="84" t="s">
        <v>330</v>
      </c>
      <c r="C172" s="84">
        <v>252229956</v>
      </c>
      <c r="D172" s="83" t="s">
        <v>164</v>
      </c>
      <c r="E172" s="84" t="s">
        <v>124</v>
      </c>
      <c r="F172" s="125">
        <v>388</v>
      </c>
      <c r="G172" s="126"/>
      <c r="H172" s="127">
        <v>2</v>
      </c>
      <c r="I172" s="128"/>
      <c r="J172" s="128"/>
      <c r="K172" s="125">
        <v>4</v>
      </c>
      <c r="L172" s="129">
        <v>1</v>
      </c>
      <c r="M172" s="129"/>
      <c r="N172" s="129"/>
      <c r="O172" s="126"/>
      <c r="P172" s="126"/>
      <c r="Q172" s="126"/>
      <c r="R172" s="132"/>
      <c r="S172" s="132">
        <v>2</v>
      </c>
      <c r="T172" s="132">
        <v>1</v>
      </c>
      <c r="U172" s="126">
        <v>1</v>
      </c>
      <c r="V172" s="127"/>
      <c r="W172" s="128">
        <v>2</v>
      </c>
      <c r="X172" s="128">
        <v>22</v>
      </c>
      <c r="Y172" s="125"/>
      <c r="Z172" s="129"/>
      <c r="AA172" s="129"/>
      <c r="AB172" s="126"/>
      <c r="AC172" s="126">
        <v>8</v>
      </c>
      <c r="AD172" s="44"/>
      <c r="AE172" s="44"/>
      <c r="AF172" s="44"/>
      <c r="AG172" s="44"/>
      <c r="AH172" s="44"/>
      <c r="AI172" s="44"/>
      <c r="AJ172" s="44"/>
      <c r="AK172" s="44"/>
      <c r="AL172" s="44"/>
    </row>
    <row r="173" spans="1:38" s="70" customFormat="1" ht="14.4" customHeight="1">
      <c r="A173" s="83">
        <v>168</v>
      </c>
      <c r="B173" s="84" t="s">
        <v>331</v>
      </c>
      <c r="C173" s="84">
        <v>252229953</v>
      </c>
      <c r="D173" s="83" t="s">
        <v>164</v>
      </c>
      <c r="E173" s="84" t="s">
        <v>124</v>
      </c>
      <c r="F173" s="125">
        <v>92</v>
      </c>
      <c r="G173" s="126"/>
      <c r="H173" s="127"/>
      <c r="I173" s="128"/>
      <c r="J173" s="128"/>
      <c r="K173" s="125"/>
      <c r="L173" s="129">
        <v>1</v>
      </c>
      <c r="M173" s="129"/>
      <c r="N173" s="129"/>
      <c r="O173" s="126"/>
      <c r="P173" s="126"/>
      <c r="Q173" s="126"/>
      <c r="R173" s="132"/>
      <c r="S173" s="132">
        <v>2</v>
      </c>
      <c r="T173" s="132">
        <v>1</v>
      </c>
      <c r="U173" s="126">
        <v>1</v>
      </c>
      <c r="V173" s="127"/>
      <c r="W173" s="128"/>
      <c r="X173" s="128">
        <v>4</v>
      </c>
      <c r="Y173" s="125"/>
      <c r="Z173" s="129"/>
      <c r="AA173" s="129"/>
      <c r="AB173" s="126"/>
      <c r="AC173" s="126">
        <v>8</v>
      </c>
      <c r="AD173" s="44"/>
      <c r="AE173" s="44"/>
      <c r="AF173" s="44"/>
      <c r="AG173" s="44"/>
      <c r="AH173" s="44"/>
      <c r="AI173" s="44"/>
      <c r="AJ173" s="44"/>
      <c r="AK173" s="44"/>
      <c r="AL173" s="44"/>
    </row>
    <row r="174" spans="1:38" s="70" customFormat="1" ht="14.4" customHeight="1">
      <c r="A174" s="83">
        <v>169</v>
      </c>
      <c r="B174" s="84" t="s">
        <v>332</v>
      </c>
      <c r="C174" s="84">
        <v>252230574</v>
      </c>
      <c r="D174" s="83" t="s">
        <v>164</v>
      </c>
      <c r="E174" s="84" t="s">
        <v>124</v>
      </c>
      <c r="F174" s="125">
        <v>137</v>
      </c>
      <c r="G174" s="126"/>
      <c r="H174" s="127"/>
      <c r="I174" s="128"/>
      <c r="J174" s="128"/>
      <c r="K174" s="125"/>
      <c r="L174" s="129">
        <v>1</v>
      </c>
      <c r="M174" s="129"/>
      <c r="N174" s="129"/>
      <c r="O174" s="126"/>
      <c r="P174" s="126"/>
      <c r="Q174" s="126"/>
      <c r="R174" s="132"/>
      <c r="S174" s="132">
        <v>2</v>
      </c>
      <c r="T174" s="132">
        <v>1</v>
      </c>
      <c r="U174" s="126">
        <v>1</v>
      </c>
      <c r="V174" s="127"/>
      <c r="W174" s="128"/>
      <c r="X174" s="128">
        <v>6</v>
      </c>
      <c r="Y174" s="125"/>
      <c r="Z174" s="129"/>
      <c r="AA174" s="129"/>
      <c r="AB174" s="126"/>
      <c r="AC174" s="126">
        <v>10</v>
      </c>
      <c r="AD174" s="44"/>
      <c r="AE174" s="44"/>
      <c r="AF174" s="44"/>
      <c r="AG174" s="44"/>
      <c r="AH174" s="44"/>
      <c r="AI174" s="44"/>
      <c r="AJ174" s="44"/>
      <c r="AK174" s="44"/>
      <c r="AL174" s="44"/>
    </row>
    <row r="175" spans="1:38" ht="16.2" thickBot="1">
      <c r="B175" s="96"/>
      <c r="C175" s="96"/>
      <c r="D175" s="96"/>
      <c r="E175" s="96"/>
      <c r="F175" s="133">
        <f t="shared" ref="F175:AC175" si="0">SUM(F6:F174)</f>
        <v>35820</v>
      </c>
      <c r="G175" s="133">
        <f t="shared" ref="G175:T175" si="1">SUM(G6:G174)</f>
        <v>4</v>
      </c>
      <c r="H175" s="133">
        <f t="shared" si="1"/>
        <v>64</v>
      </c>
      <c r="I175" s="133">
        <f t="shared" si="1"/>
        <v>4</v>
      </c>
      <c r="J175" s="133">
        <f t="shared" si="1"/>
        <v>0</v>
      </c>
      <c r="K175" s="133">
        <f t="shared" si="1"/>
        <v>292</v>
      </c>
      <c r="L175" s="133">
        <f t="shared" ref="L175" si="2">SUM(L6:L174)</f>
        <v>89</v>
      </c>
      <c r="M175" s="133">
        <f t="shared" si="1"/>
        <v>29</v>
      </c>
      <c r="N175" s="133">
        <f t="shared" si="1"/>
        <v>0</v>
      </c>
      <c r="O175" s="133">
        <f t="shared" si="1"/>
        <v>3</v>
      </c>
      <c r="P175" s="133">
        <f t="shared" si="1"/>
        <v>2</v>
      </c>
      <c r="Q175" s="133">
        <f t="shared" si="1"/>
        <v>43</v>
      </c>
      <c r="R175" s="133">
        <f t="shared" si="1"/>
        <v>1</v>
      </c>
      <c r="S175" s="133">
        <f t="shared" si="1"/>
        <v>337</v>
      </c>
      <c r="T175" s="133">
        <f t="shared" si="1"/>
        <v>169</v>
      </c>
      <c r="U175" s="133">
        <f t="shared" si="0"/>
        <v>152</v>
      </c>
      <c r="V175" s="133">
        <f t="shared" si="0"/>
        <v>803</v>
      </c>
      <c r="W175" s="133">
        <f t="shared" si="0"/>
        <v>146</v>
      </c>
      <c r="X175" s="133">
        <f t="shared" si="0"/>
        <v>1832</v>
      </c>
      <c r="Y175" s="133">
        <f t="shared" si="0"/>
        <v>60</v>
      </c>
      <c r="Z175" s="133">
        <f t="shared" si="0"/>
        <v>220</v>
      </c>
      <c r="AA175" s="133">
        <f t="shared" si="0"/>
        <v>439</v>
      </c>
      <c r="AB175" s="133">
        <f t="shared" si="0"/>
        <v>660</v>
      </c>
      <c r="AC175" s="133">
        <f t="shared" si="0"/>
        <v>1755</v>
      </c>
    </row>
    <row r="176" spans="1:38" ht="21" thickTop="1">
      <c r="A176" s="82" t="s">
        <v>98</v>
      </c>
      <c r="B176" s="82"/>
      <c r="C176" s="82"/>
      <c r="D176" s="103"/>
      <c r="E176" s="82"/>
      <c r="F176" s="134"/>
      <c r="G176" s="134"/>
      <c r="H176" s="134"/>
      <c r="I176" s="134"/>
      <c r="J176" s="134"/>
      <c r="K176" s="134"/>
      <c r="L176" s="134"/>
      <c r="M176" s="134"/>
      <c r="N176" s="134"/>
      <c r="O176" s="134"/>
      <c r="P176" s="134"/>
      <c r="Q176" s="134"/>
      <c r="R176" s="123"/>
      <c r="S176" s="123"/>
      <c r="T176" s="135"/>
      <c r="U176" s="134"/>
      <c r="V176" s="134"/>
      <c r="W176" s="134"/>
      <c r="X176" s="134"/>
      <c r="Y176" s="134"/>
      <c r="Z176" s="134"/>
      <c r="AA176" s="134"/>
      <c r="AB176" s="134"/>
      <c r="AC176" s="134"/>
    </row>
    <row r="177" spans="1:29" ht="20.399999999999999">
      <c r="A177" s="82" t="s">
        <v>64</v>
      </c>
      <c r="B177" s="106"/>
      <c r="C177" s="106"/>
      <c r="D177" s="107"/>
      <c r="E177" s="106"/>
      <c r="F177" s="135"/>
      <c r="G177" s="135"/>
      <c r="H177" s="135"/>
      <c r="I177" s="135"/>
      <c r="J177" s="135"/>
      <c r="K177" s="135"/>
      <c r="L177" s="135"/>
      <c r="M177" s="135"/>
      <c r="N177" s="135"/>
      <c r="O177" s="135"/>
      <c r="P177" s="135"/>
      <c r="Q177" s="135"/>
      <c r="R177" s="123"/>
      <c r="S177" s="123"/>
      <c r="T177" s="135"/>
      <c r="U177" s="135"/>
      <c r="V177" s="135"/>
      <c r="W177" s="135"/>
      <c r="X177" s="135"/>
      <c r="Y177" s="135"/>
      <c r="Z177" s="135"/>
      <c r="AA177" s="135"/>
      <c r="AB177" s="135"/>
      <c r="AC177" s="135"/>
    </row>
    <row r="178" spans="1:29" ht="15.75" customHeight="1"/>
    <row r="179" spans="1:29" s="102" customFormat="1" ht="34.5" customHeight="1">
      <c r="A179" s="195" t="s">
        <v>76</v>
      </c>
      <c r="B179" s="195"/>
      <c r="C179" s="195"/>
      <c r="D179" s="195"/>
      <c r="E179" s="195"/>
      <c r="F179" s="195"/>
      <c r="G179" s="195"/>
      <c r="H179" s="195"/>
      <c r="I179" s="195"/>
      <c r="J179" s="195"/>
      <c r="K179" s="195"/>
      <c r="L179" s="195"/>
      <c r="M179" s="195"/>
      <c r="N179" s="195"/>
      <c r="O179" s="196" t="s">
        <v>34</v>
      </c>
      <c r="P179" s="196"/>
      <c r="Q179" s="196"/>
      <c r="R179" s="196"/>
      <c r="S179" s="196"/>
      <c r="T179" s="196"/>
      <c r="U179" s="196"/>
      <c r="V179" s="196"/>
      <c r="W179" s="196"/>
      <c r="X179" s="196"/>
      <c r="Y179" s="196"/>
      <c r="Z179" s="196"/>
      <c r="AA179" s="196"/>
      <c r="AB179" s="196"/>
      <c r="AC179" s="196"/>
    </row>
    <row r="180" spans="1:29" ht="123" customHeight="1">
      <c r="A180" s="197" t="s">
        <v>141</v>
      </c>
      <c r="B180" s="197"/>
      <c r="C180" s="197"/>
      <c r="D180" s="198"/>
      <c r="E180" s="198"/>
      <c r="F180" s="198"/>
      <c r="G180" s="198"/>
      <c r="H180" s="198"/>
      <c r="I180" s="198"/>
      <c r="J180" s="198"/>
      <c r="K180" s="198"/>
      <c r="L180" s="198"/>
      <c r="M180" s="198"/>
      <c r="N180" s="198"/>
      <c r="O180" s="197" t="s">
        <v>22</v>
      </c>
      <c r="P180" s="197"/>
      <c r="Q180" s="197"/>
      <c r="R180" s="197"/>
      <c r="S180" s="198"/>
      <c r="T180" s="198"/>
      <c r="U180" s="198"/>
      <c r="V180" s="198"/>
      <c r="W180" s="198"/>
      <c r="X180" s="198"/>
      <c r="Y180" s="198"/>
      <c r="Z180" s="198"/>
      <c r="AA180" s="198"/>
      <c r="AB180" s="198"/>
      <c r="AC180" s="198"/>
    </row>
    <row r="181" spans="1:29" ht="147" customHeight="1">
      <c r="A181" s="197" t="s">
        <v>22</v>
      </c>
      <c r="B181" s="197"/>
      <c r="C181" s="197"/>
      <c r="D181" s="198"/>
      <c r="E181" s="198"/>
      <c r="F181" s="198"/>
      <c r="G181" s="198"/>
      <c r="H181" s="198"/>
      <c r="I181" s="198"/>
      <c r="J181" s="198"/>
      <c r="K181" s="198"/>
      <c r="L181" s="198"/>
      <c r="M181" s="198"/>
      <c r="N181" s="198"/>
      <c r="O181" s="197" t="s">
        <v>28</v>
      </c>
      <c r="P181" s="197"/>
      <c r="Q181" s="197"/>
      <c r="R181" s="197"/>
      <c r="S181" s="198"/>
      <c r="T181" s="198"/>
      <c r="U181" s="198"/>
      <c r="V181" s="198"/>
      <c r="W181" s="198"/>
      <c r="X181" s="198"/>
      <c r="Y181" s="198"/>
      <c r="Z181" s="198"/>
      <c r="AA181" s="198"/>
      <c r="AB181" s="198"/>
      <c r="AC181" s="198"/>
    </row>
    <row r="182" spans="1:29" ht="184.2" customHeight="1">
      <c r="A182" s="197" t="s">
        <v>142</v>
      </c>
      <c r="B182" s="197"/>
      <c r="C182" s="197"/>
      <c r="D182" s="199"/>
      <c r="E182" s="199"/>
      <c r="F182" s="199"/>
      <c r="G182" s="199"/>
      <c r="H182" s="199"/>
      <c r="I182" s="199"/>
      <c r="J182" s="199"/>
      <c r="K182" s="199"/>
      <c r="L182" s="199"/>
      <c r="M182" s="199"/>
      <c r="N182" s="199"/>
      <c r="O182" s="197" t="s">
        <v>29</v>
      </c>
      <c r="P182" s="197"/>
      <c r="Q182" s="197"/>
      <c r="R182" s="197"/>
      <c r="S182" s="198"/>
      <c r="T182" s="198"/>
      <c r="U182" s="198"/>
      <c r="V182" s="198"/>
      <c r="W182" s="198"/>
      <c r="X182" s="198"/>
      <c r="Y182" s="198"/>
      <c r="Z182" s="198"/>
      <c r="AA182" s="198"/>
      <c r="AB182" s="198"/>
      <c r="AC182" s="198"/>
    </row>
  </sheetData>
  <mergeCells count="19">
    <mergeCell ref="A4:AC4"/>
    <mergeCell ref="A1:B1"/>
    <mergeCell ref="A2:B2"/>
    <mergeCell ref="C2:AB2"/>
    <mergeCell ref="C1:F1"/>
    <mergeCell ref="A179:N179"/>
    <mergeCell ref="O179:AC179"/>
    <mergeCell ref="A182:C182"/>
    <mergeCell ref="D181:N181"/>
    <mergeCell ref="D182:N182"/>
    <mergeCell ref="O180:R180"/>
    <mergeCell ref="O181:R181"/>
    <mergeCell ref="O182:R182"/>
    <mergeCell ref="A180:C180"/>
    <mergeCell ref="D180:N180"/>
    <mergeCell ref="A181:C181"/>
    <mergeCell ref="S180:AC180"/>
    <mergeCell ref="S181:AC181"/>
    <mergeCell ref="S182:AC182"/>
  </mergeCells>
  <conditionalFormatting sqref="C5">
    <cfRule type="duplicateValues" dxfId="112" priority="1"/>
  </conditionalFormatting>
  <pageMargins left="0.17" right="0.17" top="0.78" bottom="0.48" header="0.17" footer="0.17"/>
  <pageSetup paperSize="9" scale="60" orientation="landscape" r:id="rId1"/>
  <rowBreaks count="4" manualBreakCount="4">
    <brk id="50" max="28" man="1"/>
    <brk id="90" max="28" man="1"/>
    <brk id="130" max="28" man="1"/>
    <brk id="171" max="28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4F47B-9B9D-4E48-A40D-2AD8F202F5C9}">
  <sheetPr codeName="Sheet17">
    <tabColor theme="6" tint="0.39997558519241921"/>
  </sheetPr>
  <dimension ref="A1:W184"/>
  <sheetViews>
    <sheetView view="pageBreakPreview" zoomScale="60" workbookViewId="0">
      <pane xSplit="6" ySplit="10" topLeftCell="G178" activePane="bottomRight" state="frozen"/>
      <selection activeCell="A162" sqref="A162:C162"/>
      <selection pane="topRight" activeCell="A162" sqref="A162:C162"/>
      <selection pane="bottomLeft" activeCell="A162" sqref="A162:C162"/>
      <selection pane="bottomRight" activeCell="A179" sqref="A11:XFD179"/>
    </sheetView>
  </sheetViews>
  <sheetFormatPr defaultColWidth="9.109375" defaultRowHeight="21.75" customHeight="1"/>
  <cols>
    <col min="1" max="1" width="7.6640625" style="44" customWidth="1"/>
    <col min="2" max="2" width="31.109375" style="44" customWidth="1"/>
    <col min="3" max="3" width="60.88671875" style="44" customWidth="1"/>
    <col min="4" max="4" width="9.109375" style="70" customWidth="1"/>
    <col min="5" max="5" width="10" style="70" customWidth="1"/>
    <col min="6" max="6" width="21.33203125" style="70" customWidth="1"/>
    <col min="7" max="7" width="32.44140625" style="44" customWidth="1"/>
    <col min="8" max="8" width="22" style="70" bestFit="1" customWidth="1"/>
    <col min="9" max="9" width="7.44140625" style="44" customWidth="1"/>
    <col min="10" max="10" width="5.44140625" style="70" customWidth="1"/>
    <col min="11" max="11" width="16.44140625" style="44" customWidth="1"/>
    <col min="12" max="13" width="17.44140625" style="44" customWidth="1"/>
    <col min="14" max="14" width="9.109375" style="44" customWidth="1"/>
    <col min="15" max="15" width="13.44140625" style="44" customWidth="1"/>
    <col min="16" max="16384" width="9.109375" style="44"/>
  </cols>
  <sheetData>
    <row r="1" spans="1:15" ht="21.75" customHeight="1">
      <c r="L1" s="332" t="s">
        <v>61</v>
      </c>
      <c r="M1" s="332"/>
      <c r="N1" s="332"/>
      <c r="O1" s="332"/>
    </row>
    <row r="2" spans="1:15" ht="44.25" customHeight="1">
      <c r="A2" s="333" t="s">
        <v>93</v>
      </c>
      <c r="B2" s="333"/>
      <c r="C2" s="333"/>
      <c r="D2" s="333"/>
      <c r="E2" s="333"/>
      <c r="F2" s="333"/>
      <c r="G2" s="333"/>
      <c r="H2" s="333"/>
      <c r="I2" s="333"/>
      <c r="J2" s="333"/>
      <c r="K2" s="333"/>
      <c r="L2" s="333"/>
      <c r="M2" s="333"/>
      <c r="N2" s="333"/>
      <c r="O2" s="333"/>
    </row>
    <row r="3" spans="1:15" ht="21.75" customHeight="1">
      <c r="A3" s="199"/>
      <c r="B3" s="199"/>
      <c r="C3" s="199"/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199"/>
      <c r="O3" s="199"/>
    </row>
    <row r="4" spans="1:15" ht="21.75" customHeight="1">
      <c r="A4" s="329" t="s">
        <v>0</v>
      </c>
      <c r="B4" s="329"/>
      <c r="C4" s="334" t="str">
        <f>KEY!C2</f>
        <v>FTTH &amp; PeoTV Connections 2026</v>
      </c>
      <c r="D4" s="334"/>
      <c r="E4" s="334"/>
      <c r="F4" s="334"/>
      <c r="G4" s="334"/>
      <c r="H4" s="334"/>
      <c r="I4" s="328" t="s">
        <v>9</v>
      </c>
      <c r="J4" s="328"/>
      <c r="K4" s="328"/>
      <c r="L4" s="328"/>
      <c r="M4" s="328"/>
      <c r="N4" s="328"/>
      <c r="O4" s="328"/>
    </row>
    <row r="5" spans="1:15" ht="21.75" customHeight="1">
      <c r="A5" s="329" t="s">
        <v>1</v>
      </c>
      <c r="B5" s="329"/>
      <c r="C5" s="329" t="str">
        <f>KEY!C4</f>
        <v>L/0733/2025</v>
      </c>
      <c r="D5" s="329"/>
      <c r="E5" s="329"/>
      <c r="F5" s="329"/>
      <c r="G5" s="329"/>
      <c r="H5" s="329"/>
      <c r="I5" s="328"/>
      <c r="J5" s="328"/>
      <c r="K5" s="328"/>
      <c r="L5" s="328"/>
      <c r="M5" s="328"/>
      <c r="N5" s="328"/>
      <c r="O5" s="328"/>
    </row>
    <row r="6" spans="1:15" ht="21.75" customHeight="1">
      <c r="A6" s="329" t="s">
        <v>2</v>
      </c>
      <c r="B6" s="329"/>
      <c r="C6" s="329" t="str">
        <f>KEY!C5</f>
        <v>Anuradhapura</v>
      </c>
      <c r="D6" s="329"/>
      <c r="E6" s="329"/>
      <c r="F6" s="329"/>
      <c r="G6" s="329"/>
      <c r="H6" s="329"/>
      <c r="I6" s="328"/>
      <c r="J6" s="328"/>
      <c r="K6" s="328"/>
      <c r="L6" s="328"/>
      <c r="M6" s="328"/>
      <c r="N6" s="328"/>
      <c r="O6" s="328"/>
    </row>
    <row r="7" spans="1:15" ht="21.75" customHeight="1">
      <c r="A7" s="329" t="s">
        <v>59</v>
      </c>
      <c r="B7" s="329"/>
      <c r="C7" s="282" t="str">
        <f>KEY!C6</f>
        <v>SLTS/FN/26/AD/JAN/01</v>
      </c>
      <c r="D7" s="282"/>
      <c r="E7" s="282"/>
      <c r="F7" s="282"/>
      <c r="G7" s="282"/>
      <c r="H7" s="282"/>
      <c r="I7" s="330" t="str">
        <f>KEY!G6</f>
        <v>From: 1-Jan-2026</v>
      </c>
      <c r="J7" s="330"/>
      <c r="K7" s="330"/>
      <c r="L7" s="330"/>
      <c r="M7" s="331" t="str">
        <f>KEY!J6</f>
        <v>To: 31-Jan-2026</v>
      </c>
      <c r="N7" s="331"/>
      <c r="O7" s="331"/>
    </row>
    <row r="8" spans="1:15" ht="21.75" customHeight="1">
      <c r="A8" s="283" t="s">
        <v>54</v>
      </c>
      <c r="B8" s="285"/>
      <c r="C8" s="282">
        <f>KEY!F7</f>
        <v>169</v>
      </c>
      <c r="D8" s="282"/>
      <c r="E8" s="282"/>
      <c r="F8" s="282"/>
      <c r="G8" s="282"/>
      <c r="H8" s="282"/>
      <c r="I8" s="282"/>
      <c r="J8" s="282"/>
      <c r="K8" s="282"/>
      <c r="L8" s="282"/>
      <c r="M8" s="282"/>
      <c r="N8" s="282"/>
      <c r="O8" s="282"/>
    </row>
    <row r="9" spans="1:15" ht="21.75" customHeight="1">
      <c r="A9" s="248"/>
      <c r="B9" s="248"/>
      <c r="C9" s="248"/>
      <c r="D9" s="248"/>
      <c r="E9" s="248"/>
      <c r="F9" s="248"/>
      <c r="G9" s="248"/>
      <c r="H9" s="248"/>
      <c r="I9" s="248"/>
      <c r="J9" s="248"/>
      <c r="K9" s="248"/>
      <c r="L9" s="248"/>
      <c r="M9" s="248"/>
      <c r="N9" s="248"/>
      <c r="O9" s="248"/>
    </row>
    <row r="10" spans="1:15" ht="59.25" customHeight="1">
      <c r="A10" s="26" t="s">
        <v>55</v>
      </c>
      <c r="B10" s="26" t="s">
        <v>84</v>
      </c>
      <c r="C10" s="26" t="s">
        <v>10</v>
      </c>
      <c r="D10" s="26" t="s">
        <v>85</v>
      </c>
      <c r="E10" s="74" t="s">
        <v>86</v>
      </c>
      <c r="F10" s="75" t="s">
        <v>87</v>
      </c>
      <c r="G10" s="74" t="s">
        <v>88</v>
      </c>
      <c r="H10" s="74" t="s">
        <v>89</v>
      </c>
      <c r="I10" s="74" t="s">
        <v>17</v>
      </c>
      <c r="J10" s="74" t="s">
        <v>11</v>
      </c>
      <c r="K10" s="74" t="s">
        <v>18</v>
      </c>
      <c r="L10" s="74" t="s">
        <v>90</v>
      </c>
      <c r="M10" s="74" t="s">
        <v>91</v>
      </c>
      <c r="N10" s="74" t="s">
        <v>19</v>
      </c>
      <c r="O10" s="74" t="s">
        <v>92</v>
      </c>
    </row>
    <row r="11" spans="1:15" s="79" customFormat="1" ht="51" customHeight="1">
      <c r="A11" s="76">
        <v>1</v>
      </c>
      <c r="B11" s="183" t="s">
        <v>333</v>
      </c>
      <c r="C11" s="183" t="s">
        <v>334</v>
      </c>
      <c r="D11" s="184" t="s">
        <v>159</v>
      </c>
      <c r="E11" s="185" t="s">
        <v>159</v>
      </c>
      <c r="F11" s="186">
        <v>252262959</v>
      </c>
      <c r="G11" s="186" t="s">
        <v>335</v>
      </c>
      <c r="H11" s="76">
        <v>703901615</v>
      </c>
      <c r="I11" s="184">
        <v>5</v>
      </c>
      <c r="J11" s="186">
        <v>43</v>
      </c>
      <c r="K11" s="186" t="s">
        <v>336</v>
      </c>
      <c r="L11" s="187">
        <v>46020</v>
      </c>
      <c r="M11" s="187">
        <v>46023</v>
      </c>
      <c r="N11" s="78"/>
      <c r="O11" s="78"/>
    </row>
    <row r="12" spans="1:15" s="79" customFormat="1" ht="51" customHeight="1">
      <c r="A12" s="76">
        <v>2</v>
      </c>
      <c r="B12" s="183" t="s">
        <v>337</v>
      </c>
      <c r="C12" s="183" t="s">
        <v>338</v>
      </c>
      <c r="D12" s="184" t="s">
        <v>159</v>
      </c>
      <c r="E12" s="185" t="s">
        <v>159</v>
      </c>
      <c r="F12" s="186">
        <v>252230558</v>
      </c>
      <c r="G12" s="186" t="s">
        <v>335</v>
      </c>
      <c r="H12" s="76">
        <v>713811808</v>
      </c>
      <c r="I12" s="184">
        <v>3</v>
      </c>
      <c r="J12" s="186">
        <v>15</v>
      </c>
      <c r="K12" s="186" t="s">
        <v>339</v>
      </c>
      <c r="L12" s="187">
        <v>46022</v>
      </c>
      <c r="M12" s="187">
        <v>46024</v>
      </c>
      <c r="N12" s="78"/>
      <c r="O12" s="78"/>
    </row>
    <row r="13" spans="1:15" s="81" customFormat="1" ht="51" customHeight="1">
      <c r="A13" s="80">
        <v>3</v>
      </c>
      <c r="B13" s="183" t="s">
        <v>340</v>
      </c>
      <c r="C13" s="183" t="s">
        <v>341</v>
      </c>
      <c r="D13" s="184" t="s">
        <v>159</v>
      </c>
      <c r="E13" s="185" t="s">
        <v>159</v>
      </c>
      <c r="F13" s="186">
        <v>252260763</v>
      </c>
      <c r="G13" s="186" t="s">
        <v>342</v>
      </c>
      <c r="H13" s="76">
        <v>778011644</v>
      </c>
      <c r="I13" s="184">
        <v>5</v>
      </c>
      <c r="J13" s="186">
        <v>21</v>
      </c>
      <c r="K13" s="186" t="s">
        <v>343</v>
      </c>
      <c r="L13" s="187">
        <v>46021</v>
      </c>
      <c r="M13" s="187">
        <v>46024</v>
      </c>
      <c r="N13" s="63"/>
      <c r="O13" s="63"/>
    </row>
    <row r="14" spans="1:15" s="81" customFormat="1" ht="51" customHeight="1">
      <c r="A14" s="80">
        <v>4</v>
      </c>
      <c r="B14" s="183" t="s">
        <v>344</v>
      </c>
      <c r="C14" s="183" t="s">
        <v>345</v>
      </c>
      <c r="D14" s="184" t="s">
        <v>159</v>
      </c>
      <c r="E14" s="185" t="s">
        <v>159</v>
      </c>
      <c r="F14" s="186">
        <v>252229851</v>
      </c>
      <c r="G14" s="186" t="s">
        <v>335</v>
      </c>
      <c r="H14" s="76">
        <v>765294121</v>
      </c>
      <c r="I14" s="184">
        <v>2</v>
      </c>
      <c r="J14" s="186">
        <v>42</v>
      </c>
      <c r="K14" s="186" t="s">
        <v>346</v>
      </c>
      <c r="L14" s="187">
        <v>46022</v>
      </c>
      <c r="M14" s="187">
        <v>46025</v>
      </c>
      <c r="N14" s="63"/>
      <c r="O14" s="63"/>
    </row>
    <row r="15" spans="1:15" s="81" customFormat="1" ht="51" customHeight="1">
      <c r="A15" s="80">
        <v>5</v>
      </c>
      <c r="B15" s="183" t="s">
        <v>347</v>
      </c>
      <c r="C15" s="188" t="s">
        <v>348</v>
      </c>
      <c r="D15" s="184" t="s">
        <v>159</v>
      </c>
      <c r="E15" s="185" t="s">
        <v>159</v>
      </c>
      <c r="F15" s="186">
        <v>252230990</v>
      </c>
      <c r="G15" s="186" t="s">
        <v>335</v>
      </c>
      <c r="H15" s="76">
        <v>777396550</v>
      </c>
      <c r="I15" s="184">
        <v>4</v>
      </c>
      <c r="J15" s="186">
        <v>23</v>
      </c>
      <c r="K15" s="186" t="s">
        <v>349</v>
      </c>
      <c r="L15" s="187">
        <v>46021</v>
      </c>
      <c r="M15" s="187">
        <v>46025</v>
      </c>
      <c r="N15" s="63"/>
      <c r="O15" s="63"/>
    </row>
    <row r="16" spans="1:15" s="81" customFormat="1" ht="51" customHeight="1">
      <c r="A16" s="80">
        <v>6</v>
      </c>
      <c r="B16" s="183" t="s">
        <v>350</v>
      </c>
      <c r="C16" s="183" t="s">
        <v>351</v>
      </c>
      <c r="D16" s="184" t="s">
        <v>159</v>
      </c>
      <c r="E16" s="185" t="s">
        <v>159</v>
      </c>
      <c r="F16" s="186">
        <v>252262567</v>
      </c>
      <c r="G16" s="186" t="s">
        <v>335</v>
      </c>
      <c r="H16" s="76">
        <v>718422567</v>
      </c>
      <c r="I16" s="184">
        <v>6</v>
      </c>
      <c r="J16" s="186">
        <v>31</v>
      </c>
      <c r="K16" s="186" t="s">
        <v>352</v>
      </c>
      <c r="L16" s="187">
        <v>46024</v>
      </c>
      <c r="M16" s="187">
        <v>46025</v>
      </c>
      <c r="N16" s="63"/>
      <c r="O16" s="63"/>
    </row>
    <row r="17" spans="1:15" s="81" customFormat="1" ht="51" customHeight="1">
      <c r="A17" s="80">
        <v>7</v>
      </c>
      <c r="B17" s="183" t="s">
        <v>353</v>
      </c>
      <c r="C17" s="183" t="s">
        <v>354</v>
      </c>
      <c r="D17" s="184" t="s">
        <v>159</v>
      </c>
      <c r="E17" s="185" t="s">
        <v>159</v>
      </c>
      <c r="F17" s="186">
        <v>252229861</v>
      </c>
      <c r="G17" s="186" t="s">
        <v>335</v>
      </c>
      <c r="H17" s="76">
        <v>712343601</v>
      </c>
      <c r="I17" s="184">
        <v>1</v>
      </c>
      <c r="J17" s="186">
        <v>5</v>
      </c>
      <c r="K17" s="186" t="s">
        <v>355</v>
      </c>
      <c r="L17" s="187">
        <v>46021</v>
      </c>
      <c r="M17" s="187">
        <v>46025</v>
      </c>
      <c r="N17" s="63"/>
      <c r="O17" s="63"/>
    </row>
    <row r="18" spans="1:15" s="81" customFormat="1" ht="51" customHeight="1">
      <c r="A18" s="80">
        <v>8</v>
      </c>
      <c r="B18" s="183" t="s">
        <v>356</v>
      </c>
      <c r="C18" s="183" t="s">
        <v>357</v>
      </c>
      <c r="D18" s="184" t="s">
        <v>159</v>
      </c>
      <c r="E18" s="185" t="s">
        <v>159</v>
      </c>
      <c r="F18" s="186">
        <v>252262168</v>
      </c>
      <c r="G18" s="186" t="s">
        <v>335</v>
      </c>
      <c r="H18" s="76">
        <v>711441836</v>
      </c>
      <c r="I18" s="184">
        <v>2</v>
      </c>
      <c r="J18" s="186">
        <v>39</v>
      </c>
      <c r="K18" s="186" t="s">
        <v>358</v>
      </c>
      <c r="L18" s="187">
        <v>46021</v>
      </c>
      <c r="M18" s="187">
        <v>46026</v>
      </c>
      <c r="N18" s="63"/>
      <c r="O18" s="63"/>
    </row>
    <row r="19" spans="1:15" s="81" customFormat="1" ht="51" customHeight="1">
      <c r="A19" s="80">
        <v>9</v>
      </c>
      <c r="B19" s="183" t="s">
        <v>359</v>
      </c>
      <c r="C19" s="183" t="s">
        <v>360</v>
      </c>
      <c r="D19" s="184" t="s">
        <v>159</v>
      </c>
      <c r="E19" s="185" t="s">
        <v>159</v>
      </c>
      <c r="F19" s="186">
        <v>252053856</v>
      </c>
      <c r="G19" s="186" t="s">
        <v>361</v>
      </c>
      <c r="H19" s="76">
        <v>715919828</v>
      </c>
      <c r="I19" s="184">
        <v>6</v>
      </c>
      <c r="J19" s="186">
        <v>19</v>
      </c>
      <c r="K19" s="186" t="s">
        <v>362</v>
      </c>
      <c r="L19" s="187">
        <v>46020</v>
      </c>
      <c r="M19" s="187">
        <v>46026</v>
      </c>
      <c r="N19" s="63"/>
      <c r="O19" s="63"/>
    </row>
    <row r="20" spans="1:15" s="81" customFormat="1" ht="51" customHeight="1">
      <c r="A20" s="80">
        <v>10</v>
      </c>
      <c r="B20" s="183" t="s">
        <v>363</v>
      </c>
      <c r="C20" s="183" t="s">
        <v>364</v>
      </c>
      <c r="D20" s="184" t="s">
        <v>159</v>
      </c>
      <c r="E20" s="185" t="s">
        <v>159</v>
      </c>
      <c r="F20" s="186">
        <v>252276554</v>
      </c>
      <c r="G20" s="186" t="s">
        <v>342</v>
      </c>
      <c r="H20" s="76">
        <v>773041093</v>
      </c>
      <c r="I20" s="184">
        <v>2</v>
      </c>
      <c r="J20" s="186">
        <v>31</v>
      </c>
      <c r="K20" s="186" t="s">
        <v>365</v>
      </c>
      <c r="L20" s="187">
        <v>46021</v>
      </c>
      <c r="M20" s="187">
        <v>46026</v>
      </c>
      <c r="N20" s="63"/>
      <c r="O20" s="63"/>
    </row>
    <row r="21" spans="1:15" s="81" customFormat="1" ht="51" customHeight="1">
      <c r="A21" s="80">
        <v>11</v>
      </c>
      <c r="B21" s="183" t="s">
        <v>366</v>
      </c>
      <c r="C21" s="183" t="s">
        <v>367</v>
      </c>
      <c r="D21" s="184" t="s">
        <v>159</v>
      </c>
      <c r="E21" s="185" t="s">
        <v>159</v>
      </c>
      <c r="F21" s="186">
        <v>252230588</v>
      </c>
      <c r="G21" s="186" t="s">
        <v>335</v>
      </c>
      <c r="H21" s="76">
        <v>711346747</v>
      </c>
      <c r="I21" s="184">
        <v>8</v>
      </c>
      <c r="J21" s="186">
        <v>43</v>
      </c>
      <c r="K21" s="186" t="s">
        <v>336</v>
      </c>
      <c r="L21" s="187">
        <v>46023</v>
      </c>
      <c r="M21" s="187">
        <v>46027</v>
      </c>
      <c r="N21" s="63"/>
      <c r="O21" s="63"/>
    </row>
    <row r="22" spans="1:15" s="81" customFormat="1" ht="51" customHeight="1">
      <c r="A22" s="80">
        <v>12</v>
      </c>
      <c r="B22" s="183" t="s">
        <v>368</v>
      </c>
      <c r="C22" s="183" t="s">
        <v>369</v>
      </c>
      <c r="D22" s="184" t="s">
        <v>159</v>
      </c>
      <c r="E22" s="185" t="s">
        <v>159</v>
      </c>
      <c r="F22" s="186">
        <v>252055151</v>
      </c>
      <c r="G22" s="186" t="s">
        <v>342</v>
      </c>
      <c r="H22" s="76">
        <v>718148361</v>
      </c>
      <c r="I22" s="184">
        <v>4</v>
      </c>
      <c r="J22" s="186">
        <v>11</v>
      </c>
      <c r="K22" s="186" t="s">
        <v>370</v>
      </c>
      <c r="L22" s="187">
        <v>46020</v>
      </c>
      <c r="M22" s="187">
        <v>46027</v>
      </c>
      <c r="N22" s="63"/>
      <c r="O22" s="63"/>
    </row>
    <row r="23" spans="1:15" s="81" customFormat="1" ht="51" customHeight="1">
      <c r="A23" s="80">
        <v>13</v>
      </c>
      <c r="B23" s="183" t="s">
        <v>333</v>
      </c>
      <c r="C23" s="183" t="s">
        <v>334</v>
      </c>
      <c r="D23" s="184" t="s">
        <v>159</v>
      </c>
      <c r="E23" s="185" t="s">
        <v>159</v>
      </c>
      <c r="F23" s="186">
        <v>252262949</v>
      </c>
      <c r="G23" s="186" t="s">
        <v>335</v>
      </c>
      <c r="H23" s="76">
        <v>703901615</v>
      </c>
      <c r="I23" s="184">
        <v>4</v>
      </c>
      <c r="J23" s="186">
        <v>43</v>
      </c>
      <c r="K23" s="186" t="s">
        <v>336</v>
      </c>
      <c r="L23" s="187">
        <v>46020</v>
      </c>
      <c r="M23" s="187">
        <v>46028</v>
      </c>
      <c r="N23" s="63"/>
      <c r="O23" s="63"/>
    </row>
    <row r="24" spans="1:15" s="81" customFormat="1" ht="51" customHeight="1">
      <c r="A24" s="80">
        <v>14</v>
      </c>
      <c r="B24" s="183" t="s">
        <v>371</v>
      </c>
      <c r="C24" s="183" t="s">
        <v>372</v>
      </c>
      <c r="D24" s="184" t="s">
        <v>159</v>
      </c>
      <c r="E24" s="185" t="s">
        <v>159</v>
      </c>
      <c r="F24" s="186">
        <v>252227519</v>
      </c>
      <c r="G24" s="186" t="s">
        <v>342</v>
      </c>
      <c r="H24" s="76">
        <v>714405963</v>
      </c>
      <c r="I24" s="184">
        <v>1</v>
      </c>
      <c r="J24" s="186">
        <v>3</v>
      </c>
      <c r="K24" s="186" t="s">
        <v>373</v>
      </c>
      <c r="L24" s="187">
        <v>46027</v>
      </c>
      <c r="M24" s="187">
        <v>46028</v>
      </c>
      <c r="N24" s="63"/>
      <c r="O24" s="63"/>
    </row>
    <row r="25" spans="1:15" s="81" customFormat="1" ht="51" customHeight="1">
      <c r="A25" s="80">
        <v>15</v>
      </c>
      <c r="B25" s="189" t="s">
        <v>333</v>
      </c>
      <c r="C25" s="189" t="s">
        <v>334</v>
      </c>
      <c r="D25" s="184" t="s">
        <v>159</v>
      </c>
      <c r="E25" s="186" t="s">
        <v>159</v>
      </c>
      <c r="F25" s="76">
        <v>252262939</v>
      </c>
      <c r="G25" s="186" t="s">
        <v>335</v>
      </c>
      <c r="H25" s="76">
        <v>703901615</v>
      </c>
      <c r="I25" s="190">
        <v>2</v>
      </c>
      <c r="J25" s="186">
        <v>43</v>
      </c>
      <c r="K25" s="76" t="s">
        <v>336</v>
      </c>
      <c r="L25" s="187">
        <v>46020</v>
      </c>
      <c r="M25" s="191">
        <v>46028</v>
      </c>
      <c r="N25" s="63"/>
      <c r="O25" s="63"/>
    </row>
    <row r="26" spans="1:15" s="81" customFormat="1" ht="51" customHeight="1">
      <c r="A26" s="80">
        <v>16</v>
      </c>
      <c r="B26" s="189" t="s">
        <v>374</v>
      </c>
      <c r="C26" s="189" t="s">
        <v>375</v>
      </c>
      <c r="D26" s="184" t="s">
        <v>159</v>
      </c>
      <c r="E26" s="186" t="s">
        <v>159</v>
      </c>
      <c r="F26" s="76">
        <v>252230810</v>
      </c>
      <c r="G26" s="186" t="s">
        <v>335</v>
      </c>
      <c r="H26" s="76">
        <v>714400743</v>
      </c>
      <c r="I26" s="190">
        <v>7</v>
      </c>
      <c r="J26" s="186">
        <v>18</v>
      </c>
      <c r="K26" s="76" t="s">
        <v>376</v>
      </c>
      <c r="L26" s="187">
        <v>46029</v>
      </c>
      <c r="M26" s="191">
        <v>46029</v>
      </c>
      <c r="N26" s="63"/>
      <c r="O26" s="63"/>
    </row>
    <row r="27" spans="1:15" s="81" customFormat="1" ht="51" customHeight="1">
      <c r="A27" s="80">
        <v>17</v>
      </c>
      <c r="B27" s="183" t="s">
        <v>377</v>
      </c>
      <c r="C27" s="183" t="s">
        <v>160</v>
      </c>
      <c r="D27" s="184" t="s">
        <v>159</v>
      </c>
      <c r="E27" s="186" t="s">
        <v>159</v>
      </c>
      <c r="F27" s="186">
        <v>252229873</v>
      </c>
      <c r="G27" s="186" t="s">
        <v>335</v>
      </c>
      <c r="H27" s="76"/>
      <c r="I27" s="190">
        <v>2</v>
      </c>
      <c r="J27" s="186">
        <v>20</v>
      </c>
      <c r="K27" s="186" t="s">
        <v>378</v>
      </c>
      <c r="L27" s="187">
        <v>46027</v>
      </c>
      <c r="M27" s="187">
        <v>46029</v>
      </c>
      <c r="N27" s="63"/>
      <c r="O27" s="63"/>
    </row>
    <row r="28" spans="1:15" s="81" customFormat="1" ht="51" customHeight="1">
      <c r="A28" s="80">
        <v>18</v>
      </c>
      <c r="B28" s="183" t="s">
        <v>379</v>
      </c>
      <c r="C28" s="183" t="s">
        <v>380</v>
      </c>
      <c r="D28" s="184" t="s">
        <v>159</v>
      </c>
      <c r="E28" s="186" t="s">
        <v>159</v>
      </c>
      <c r="F28" s="186">
        <v>252054066</v>
      </c>
      <c r="G28" s="186" t="s">
        <v>361</v>
      </c>
      <c r="H28" s="76">
        <v>718448778</v>
      </c>
      <c r="I28" s="190">
        <v>7</v>
      </c>
      <c r="J28" s="186">
        <v>36</v>
      </c>
      <c r="K28" s="186" t="s">
        <v>381</v>
      </c>
      <c r="L28" s="187">
        <v>46028</v>
      </c>
      <c r="M28" s="187">
        <v>46029</v>
      </c>
      <c r="N28" s="63"/>
      <c r="O28" s="63"/>
    </row>
    <row r="29" spans="1:15" s="81" customFormat="1" ht="51" customHeight="1">
      <c r="A29" s="80">
        <v>19</v>
      </c>
      <c r="B29" s="183" t="s">
        <v>377</v>
      </c>
      <c r="C29" s="183" t="s">
        <v>160</v>
      </c>
      <c r="D29" s="184" t="s">
        <v>159</v>
      </c>
      <c r="E29" s="186" t="s">
        <v>159</v>
      </c>
      <c r="F29" s="186">
        <v>252229872</v>
      </c>
      <c r="G29" s="186" t="s">
        <v>335</v>
      </c>
      <c r="H29" s="76"/>
      <c r="I29" s="190">
        <v>3</v>
      </c>
      <c r="J29" s="186">
        <v>20</v>
      </c>
      <c r="K29" s="186" t="s">
        <v>378</v>
      </c>
      <c r="L29" s="187">
        <v>46027</v>
      </c>
      <c r="M29" s="187">
        <v>46029</v>
      </c>
      <c r="N29" s="63"/>
      <c r="O29" s="63"/>
    </row>
    <row r="30" spans="1:15" s="81" customFormat="1" ht="51" customHeight="1">
      <c r="A30" s="80">
        <v>20</v>
      </c>
      <c r="B30" s="183" t="s">
        <v>382</v>
      </c>
      <c r="C30" s="183" t="s">
        <v>383</v>
      </c>
      <c r="D30" s="184" t="s">
        <v>159</v>
      </c>
      <c r="E30" s="186" t="s">
        <v>159</v>
      </c>
      <c r="F30" s="186">
        <v>252053154</v>
      </c>
      <c r="G30" s="186" t="s">
        <v>361</v>
      </c>
      <c r="H30" s="76">
        <v>712339615</v>
      </c>
      <c r="I30" s="190">
        <v>2</v>
      </c>
      <c r="J30" s="186">
        <v>28</v>
      </c>
      <c r="K30" s="186" t="s">
        <v>384</v>
      </c>
      <c r="L30" s="187">
        <v>46027</v>
      </c>
      <c r="M30" s="187">
        <v>46029</v>
      </c>
      <c r="N30" s="63"/>
      <c r="O30" s="63"/>
    </row>
    <row r="31" spans="1:15" s="81" customFormat="1" ht="51" customHeight="1">
      <c r="A31" s="80">
        <v>21</v>
      </c>
      <c r="B31" s="183" t="s">
        <v>385</v>
      </c>
      <c r="C31" s="183" t="s">
        <v>386</v>
      </c>
      <c r="D31" s="184" t="s">
        <v>159</v>
      </c>
      <c r="E31" s="186" t="s">
        <v>159</v>
      </c>
      <c r="F31" s="186">
        <v>252229970</v>
      </c>
      <c r="G31" s="186" t="s">
        <v>335</v>
      </c>
      <c r="H31" s="76">
        <v>769146338</v>
      </c>
      <c r="I31" s="190">
        <v>5</v>
      </c>
      <c r="J31" s="186">
        <v>16</v>
      </c>
      <c r="K31" s="186" t="s">
        <v>387</v>
      </c>
      <c r="L31" s="187">
        <v>46027</v>
      </c>
      <c r="M31" s="187">
        <v>46030</v>
      </c>
      <c r="N31" s="63"/>
      <c r="O31" s="63"/>
    </row>
    <row r="32" spans="1:15" s="81" customFormat="1" ht="51" customHeight="1">
      <c r="A32" s="80">
        <v>22</v>
      </c>
      <c r="B32" s="183" t="s">
        <v>377</v>
      </c>
      <c r="C32" s="183" t="s">
        <v>388</v>
      </c>
      <c r="D32" s="184" t="s">
        <v>159</v>
      </c>
      <c r="E32" s="186" t="s">
        <v>159</v>
      </c>
      <c r="F32" s="186">
        <v>252229874</v>
      </c>
      <c r="G32" s="186" t="s">
        <v>335</v>
      </c>
      <c r="H32" s="76"/>
      <c r="I32" s="186">
        <v>1</v>
      </c>
      <c r="J32" s="186">
        <v>20</v>
      </c>
      <c r="K32" s="186" t="s">
        <v>378</v>
      </c>
      <c r="L32" s="187">
        <v>46027</v>
      </c>
      <c r="M32" s="187">
        <v>46030</v>
      </c>
      <c r="N32" s="63"/>
      <c r="O32" s="63"/>
    </row>
    <row r="33" spans="1:15" s="81" customFormat="1" ht="51" customHeight="1">
      <c r="A33" s="80">
        <v>23</v>
      </c>
      <c r="B33" s="183" t="s">
        <v>389</v>
      </c>
      <c r="C33" s="183" t="s">
        <v>390</v>
      </c>
      <c r="D33" s="184" t="s">
        <v>159</v>
      </c>
      <c r="E33" s="186" t="s">
        <v>159</v>
      </c>
      <c r="F33" s="186">
        <v>252229982</v>
      </c>
      <c r="G33" s="186" t="s">
        <v>335</v>
      </c>
      <c r="H33" s="76">
        <v>776303039</v>
      </c>
      <c r="I33" s="186">
        <v>7</v>
      </c>
      <c r="J33" s="186">
        <v>64</v>
      </c>
      <c r="K33" s="186" t="s">
        <v>381</v>
      </c>
      <c r="L33" s="187">
        <v>46030</v>
      </c>
      <c r="M33" s="187">
        <v>46030</v>
      </c>
      <c r="N33" s="63"/>
      <c r="O33" s="63"/>
    </row>
    <row r="34" spans="1:15" s="81" customFormat="1" ht="51" customHeight="1">
      <c r="A34" s="80">
        <v>24</v>
      </c>
      <c r="B34" s="183" t="s">
        <v>391</v>
      </c>
      <c r="C34" s="183" t="s">
        <v>392</v>
      </c>
      <c r="D34" s="184" t="s">
        <v>159</v>
      </c>
      <c r="E34" s="186" t="s">
        <v>159</v>
      </c>
      <c r="F34" s="186">
        <v>252236784</v>
      </c>
      <c r="G34" s="186" t="s">
        <v>342</v>
      </c>
      <c r="H34" s="76">
        <v>767777773</v>
      </c>
      <c r="I34" s="186">
        <v>5</v>
      </c>
      <c r="J34" s="186">
        <v>5</v>
      </c>
      <c r="K34" s="186" t="s">
        <v>393</v>
      </c>
      <c r="L34" s="187">
        <v>46028</v>
      </c>
      <c r="M34" s="187">
        <v>46030</v>
      </c>
      <c r="N34" s="63"/>
      <c r="O34" s="63"/>
    </row>
    <row r="35" spans="1:15" s="81" customFormat="1" ht="51" customHeight="1">
      <c r="A35" s="80">
        <v>25</v>
      </c>
      <c r="B35" s="189" t="s">
        <v>394</v>
      </c>
      <c r="C35" s="189" t="s">
        <v>395</v>
      </c>
      <c r="D35" s="184" t="s">
        <v>159</v>
      </c>
      <c r="E35" s="186" t="s">
        <v>396</v>
      </c>
      <c r="F35" s="76">
        <v>252229843</v>
      </c>
      <c r="G35" s="76" t="s">
        <v>335</v>
      </c>
      <c r="H35" s="76">
        <v>703000579</v>
      </c>
      <c r="I35" s="186">
        <v>5</v>
      </c>
      <c r="J35" s="186">
        <v>5</v>
      </c>
      <c r="K35" s="76" t="s">
        <v>397</v>
      </c>
      <c r="L35" s="187">
        <v>46030</v>
      </c>
      <c r="M35" s="191">
        <v>46030</v>
      </c>
      <c r="N35" s="63"/>
      <c r="O35" s="63"/>
    </row>
    <row r="36" spans="1:15" s="81" customFormat="1" ht="51" customHeight="1">
      <c r="A36" s="80">
        <v>26</v>
      </c>
      <c r="B36" s="183" t="s">
        <v>398</v>
      </c>
      <c r="C36" s="183" t="s">
        <v>399</v>
      </c>
      <c r="D36" s="184" t="s">
        <v>159</v>
      </c>
      <c r="E36" s="186" t="s">
        <v>400</v>
      </c>
      <c r="F36" s="186">
        <v>252265858</v>
      </c>
      <c r="G36" s="186" t="s">
        <v>342</v>
      </c>
      <c r="H36" s="76">
        <v>712992289</v>
      </c>
      <c r="I36" s="186">
        <v>6</v>
      </c>
      <c r="J36" s="186">
        <v>9</v>
      </c>
      <c r="K36" s="186" t="s">
        <v>401</v>
      </c>
      <c r="L36" s="187">
        <v>46028</v>
      </c>
      <c r="M36" s="187">
        <v>46030</v>
      </c>
      <c r="N36" s="63"/>
      <c r="O36" s="63"/>
    </row>
    <row r="37" spans="1:15" s="81" customFormat="1" ht="51" customHeight="1">
      <c r="A37" s="80">
        <v>27</v>
      </c>
      <c r="B37" s="183" t="s">
        <v>402</v>
      </c>
      <c r="C37" s="183" t="s">
        <v>403</v>
      </c>
      <c r="D37" s="184" t="s">
        <v>159</v>
      </c>
      <c r="E37" s="186" t="s">
        <v>404</v>
      </c>
      <c r="F37" s="186">
        <v>252269088</v>
      </c>
      <c r="G37" s="186" t="s">
        <v>361</v>
      </c>
      <c r="H37" s="76">
        <v>719929909</v>
      </c>
      <c r="I37" s="186">
        <v>6</v>
      </c>
      <c r="J37" s="186">
        <v>18</v>
      </c>
      <c r="K37" s="186" t="s">
        <v>405</v>
      </c>
      <c r="L37" s="187">
        <v>46029</v>
      </c>
      <c r="M37" s="187">
        <v>46030</v>
      </c>
      <c r="N37" s="63"/>
      <c r="O37" s="63"/>
    </row>
    <row r="38" spans="1:15" s="81" customFormat="1" ht="51" customHeight="1">
      <c r="A38" s="80">
        <v>28</v>
      </c>
      <c r="B38" s="183" t="s">
        <v>406</v>
      </c>
      <c r="C38" s="183" t="s">
        <v>407</v>
      </c>
      <c r="D38" s="184" t="s">
        <v>159</v>
      </c>
      <c r="E38" s="186" t="s">
        <v>396</v>
      </c>
      <c r="F38" s="186">
        <v>252229359</v>
      </c>
      <c r="G38" s="186" t="s">
        <v>335</v>
      </c>
      <c r="H38" s="76"/>
      <c r="I38" s="186">
        <v>4</v>
      </c>
      <c r="J38" s="186">
        <v>3</v>
      </c>
      <c r="K38" s="186" t="s">
        <v>370</v>
      </c>
      <c r="L38" s="187">
        <v>46027</v>
      </c>
      <c r="M38" s="187">
        <v>46030</v>
      </c>
      <c r="N38" s="63"/>
      <c r="O38" s="63"/>
    </row>
    <row r="39" spans="1:15" s="81" customFormat="1" ht="51" customHeight="1">
      <c r="A39" s="80">
        <v>29</v>
      </c>
      <c r="B39" s="189" t="s">
        <v>408</v>
      </c>
      <c r="C39" s="189" t="s">
        <v>409</v>
      </c>
      <c r="D39" s="184" t="s">
        <v>159</v>
      </c>
      <c r="E39" s="186" t="s">
        <v>396</v>
      </c>
      <c r="F39" s="76">
        <v>252229887</v>
      </c>
      <c r="G39" s="76" t="s">
        <v>335</v>
      </c>
      <c r="H39" s="76">
        <v>762673507</v>
      </c>
      <c r="I39" s="186">
        <v>6</v>
      </c>
      <c r="J39" s="186">
        <v>10</v>
      </c>
      <c r="K39" s="76" t="s">
        <v>410</v>
      </c>
      <c r="L39" s="187">
        <v>46030</v>
      </c>
      <c r="M39" s="191">
        <v>46030</v>
      </c>
      <c r="N39" s="63"/>
      <c r="O39" s="63"/>
    </row>
    <row r="40" spans="1:15" s="81" customFormat="1" ht="51" customHeight="1">
      <c r="A40" s="80">
        <v>30</v>
      </c>
      <c r="B40" s="189" t="s">
        <v>411</v>
      </c>
      <c r="C40" s="189" t="s">
        <v>412</v>
      </c>
      <c r="D40" s="184" t="s">
        <v>159</v>
      </c>
      <c r="E40" s="186" t="s">
        <v>396</v>
      </c>
      <c r="F40" s="76">
        <v>252229362</v>
      </c>
      <c r="G40" s="76" t="s">
        <v>335</v>
      </c>
      <c r="H40" s="76">
        <v>717102521</v>
      </c>
      <c r="I40" s="186">
        <v>6</v>
      </c>
      <c r="J40" s="186">
        <v>11</v>
      </c>
      <c r="K40" s="76" t="s">
        <v>410</v>
      </c>
      <c r="L40" s="187">
        <v>46029</v>
      </c>
      <c r="M40" s="191">
        <v>46031</v>
      </c>
      <c r="N40" s="63"/>
      <c r="O40" s="63"/>
    </row>
    <row r="41" spans="1:15" s="79" customFormat="1" ht="51" customHeight="1">
      <c r="A41" s="80">
        <v>31</v>
      </c>
      <c r="B41" s="189" t="s">
        <v>413</v>
      </c>
      <c r="C41" s="189" t="s">
        <v>414</v>
      </c>
      <c r="D41" s="184" t="s">
        <v>159</v>
      </c>
      <c r="E41" s="186" t="s">
        <v>396</v>
      </c>
      <c r="F41" s="76">
        <v>252266370</v>
      </c>
      <c r="G41" s="76" t="s">
        <v>361</v>
      </c>
      <c r="H41" s="76">
        <v>715657162</v>
      </c>
      <c r="I41" s="186">
        <v>1</v>
      </c>
      <c r="J41" s="186">
        <v>28</v>
      </c>
      <c r="K41" s="76" t="s">
        <v>415</v>
      </c>
      <c r="L41" s="187">
        <v>46028</v>
      </c>
      <c r="M41" s="191">
        <v>46031</v>
      </c>
      <c r="N41" s="78"/>
      <c r="O41" s="78"/>
    </row>
    <row r="42" spans="1:15" s="79" customFormat="1" ht="51" customHeight="1">
      <c r="A42" s="80">
        <v>32</v>
      </c>
      <c r="B42" s="189" t="s">
        <v>416</v>
      </c>
      <c r="C42" s="189" t="s">
        <v>417</v>
      </c>
      <c r="D42" s="184" t="s">
        <v>159</v>
      </c>
      <c r="E42" s="186" t="s">
        <v>418</v>
      </c>
      <c r="F42" s="76">
        <v>252230563</v>
      </c>
      <c r="G42" s="76" t="s">
        <v>335</v>
      </c>
      <c r="H42" s="76">
        <v>764472967</v>
      </c>
      <c r="I42" s="186">
        <v>2</v>
      </c>
      <c r="J42" s="186">
        <v>26</v>
      </c>
      <c r="K42" s="76" t="s">
        <v>419</v>
      </c>
      <c r="L42" s="187">
        <v>46028</v>
      </c>
      <c r="M42" s="191">
        <v>46031</v>
      </c>
      <c r="N42" s="78"/>
      <c r="O42" s="78"/>
    </row>
    <row r="43" spans="1:15" s="81" customFormat="1" ht="51" customHeight="1">
      <c r="A43" s="80">
        <v>33</v>
      </c>
      <c r="B43" s="189" t="s">
        <v>420</v>
      </c>
      <c r="C43" s="189" t="s">
        <v>421</v>
      </c>
      <c r="D43" s="184" t="s">
        <v>159</v>
      </c>
      <c r="E43" s="186" t="s">
        <v>159</v>
      </c>
      <c r="F43" s="76">
        <v>252262484</v>
      </c>
      <c r="G43" s="76" t="s">
        <v>335</v>
      </c>
      <c r="H43" s="76">
        <v>718206482</v>
      </c>
      <c r="I43" s="186">
        <v>1</v>
      </c>
      <c r="J43" s="186">
        <v>14</v>
      </c>
      <c r="K43" s="76" t="s">
        <v>349</v>
      </c>
      <c r="L43" s="187">
        <v>46029</v>
      </c>
      <c r="M43" s="191">
        <v>46031</v>
      </c>
      <c r="N43" s="63"/>
      <c r="O43" s="63"/>
    </row>
    <row r="44" spans="1:15" s="81" customFormat="1" ht="51" customHeight="1">
      <c r="A44" s="80">
        <v>34</v>
      </c>
      <c r="B44" s="189" t="s">
        <v>422</v>
      </c>
      <c r="C44" s="189" t="s">
        <v>423</v>
      </c>
      <c r="D44" s="184" t="s">
        <v>159</v>
      </c>
      <c r="E44" s="186" t="s">
        <v>159</v>
      </c>
      <c r="F44" s="76">
        <v>252220004</v>
      </c>
      <c r="G44" s="76" t="s">
        <v>342</v>
      </c>
      <c r="H44" s="76">
        <v>716907010</v>
      </c>
      <c r="I44" s="186">
        <v>8</v>
      </c>
      <c r="J44" s="186">
        <v>17</v>
      </c>
      <c r="K44" s="76" t="s">
        <v>424</v>
      </c>
      <c r="L44" s="187">
        <v>46020</v>
      </c>
      <c r="M44" s="191">
        <v>46032</v>
      </c>
      <c r="N44" s="63"/>
      <c r="O44" s="63"/>
    </row>
    <row r="45" spans="1:15" s="81" customFormat="1" ht="51" customHeight="1">
      <c r="A45" s="80">
        <v>35</v>
      </c>
      <c r="B45" s="183" t="s">
        <v>425</v>
      </c>
      <c r="C45" s="183" t="s">
        <v>426</v>
      </c>
      <c r="D45" s="184" t="s">
        <v>159</v>
      </c>
      <c r="E45" s="186" t="s">
        <v>159</v>
      </c>
      <c r="F45" s="186">
        <v>252228615</v>
      </c>
      <c r="G45" s="186" t="s">
        <v>342</v>
      </c>
      <c r="H45" s="76">
        <v>771715713</v>
      </c>
      <c r="I45" s="186">
        <v>4</v>
      </c>
      <c r="J45" s="186">
        <v>45</v>
      </c>
      <c r="K45" s="186" t="s">
        <v>427</v>
      </c>
      <c r="L45" s="187">
        <v>46029</v>
      </c>
      <c r="M45" s="187">
        <v>46032</v>
      </c>
      <c r="N45" s="63"/>
      <c r="O45" s="63"/>
    </row>
    <row r="46" spans="1:15" s="81" customFormat="1" ht="51" customHeight="1">
      <c r="A46" s="80">
        <v>36</v>
      </c>
      <c r="B46" s="183" t="s">
        <v>428</v>
      </c>
      <c r="C46" s="183" t="s">
        <v>429</v>
      </c>
      <c r="D46" s="184" t="s">
        <v>159</v>
      </c>
      <c r="E46" s="186" t="s">
        <v>159</v>
      </c>
      <c r="F46" s="186">
        <v>252228805</v>
      </c>
      <c r="G46" s="186" t="s">
        <v>342</v>
      </c>
      <c r="H46" s="76">
        <v>715869191</v>
      </c>
      <c r="I46" s="186">
        <v>2</v>
      </c>
      <c r="J46" s="186">
        <v>14</v>
      </c>
      <c r="K46" s="186" t="s">
        <v>430</v>
      </c>
      <c r="L46" s="187">
        <v>46027</v>
      </c>
      <c r="M46" s="187">
        <v>46032</v>
      </c>
      <c r="N46" s="63"/>
      <c r="O46" s="63"/>
    </row>
    <row r="47" spans="1:15" s="81" customFormat="1" ht="51" customHeight="1">
      <c r="A47" s="80">
        <v>37</v>
      </c>
      <c r="B47" s="183" t="s">
        <v>431</v>
      </c>
      <c r="C47" s="183" t="s">
        <v>432</v>
      </c>
      <c r="D47" s="184" t="s">
        <v>159</v>
      </c>
      <c r="E47" s="186" t="s">
        <v>433</v>
      </c>
      <c r="F47" s="186">
        <v>252262505</v>
      </c>
      <c r="G47" s="186" t="s">
        <v>335</v>
      </c>
      <c r="H47" s="76">
        <v>724416500</v>
      </c>
      <c r="I47" s="186">
        <v>4</v>
      </c>
      <c r="J47" s="186">
        <v>6</v>
      </c>
      <c r="K47" s="186" t="s">
        <v>434</v>
      </c>
      <c r="L47" s="187">
        <v>46032</v>
      </c>
      <c r="M47" s="187">
        <v>46032</v>
      </c>
      <c r="N47" s="63"/>
      <c r="O47" s="63"/>
    </row>
    <row r="48" spans="1:15" s="81" customFormat="1" ht="51" customHeight="1">
      <c r="A48" s="80">
        <v>38</v>
      </c>
      <c r="B48" s="183" t="s">
        <v>435</v>
      </c>
      <c r="C48" s="183" t="s">
        <v>436</v>
      </c>
      <c r="D48" s="184" t="s">
        <v>159</v>
      </c>
      <c r="E48" s="186" t="s">
        <v>159</v>
      </c>
      <c r="F48" s="186">
        <v>252226763</v>
      </c>
      <c r="G48" s="186" t="s">
        <v>342</v>
      </c>
      <c r="H48" s="76">
        <v>775182275</v>
      </c>
      <c r="I48" s="186">
        <v>8</v>
      </c>
      <c r="J48" s="186">
        <v>4</v>
      </c>
      <c r="K48" s="186" t="s">
        <v>437</v>
      </c>
      <c r="L48" s="187">
        <v>46017</v>
      </c>
      <c r="M48" s="187">
        <v>46033</v>
      </c>
      <c r="N48" s="63"/>
      <c r="O48" s="63"/>
    </row>
    <row r="49" spans="1:15" s="81" customFormat="1" ht="51" customHeight="1">
      <c r="A49" s="80">
        <v>39</v>
      </c>
      <c r="B49" s="183" t="s">
        <v>438</v>
      </c>
      <c r="C49" s="183" t="s">
        <v>439</v>
      </c>
      <c r="D49" s="184" t="s">
        <v>159</v>
      </c>
      <c r="E49" s="186" t="s">
        <v>440</v>
      </c>
      <c r="F49" s="186">
        <v>252249928</v>
      </c>
      <c r="G49" s="186" t="s">
        <v>361</v>
      </c>
      <c r="H49" s="76">
        <v>719266469</v>
      </c>
      <c r="I49" s="186">
        <v>4</v>
      </c>
      <c r="J49" s="186">
        <v>13</v>
      </c>
      <c r="K49" s="186" t="s">
        <v>441</v>
      </c>
      <c r="L49" s="187">
        <v>46029</v>
      </c>
      <c r="M49" s="187">
        <v>46033</v>
      </c>
      <c r="N49" s="63"/>
      <c r="O49" s="63"/>
    </row>
    <row r="50" spans="1:15" s="81" customFormat="1" ht="51" customHeight="1">
      <c r="A50" s="80">
        <v>40</v>
      </c>
      <c r="B50" s="183" t="s">
        <v>442</v>
      </c>
      <c r="C50" s="183" t="s">
        <v>443</v>
      </c>
      <c r="D50" s="184" t="s">
        <v>159</v>
      </c>
      <c r="E50" s="186" t="s">
        <v>444</v>
      </c>
      <c r="F50" s="186">
        <v>252229937</v>
      </c>
      <c r="G50" s="186" t="s">
        <v>335</v>
      </c>
      <c r="H50" s="76">
        <v>710139063</v>
      </c>
      <c r="I50" s="186">
        <v>1</v>
      </c>
      <c r="J50" s="186">
        <v>33</v>
      </c>
      <c r="K50" s="186" t="s">
        <v>445</v>
      </c>
      <c r="L50" s="187">
        <v>46030</v>
      </c>
      <c r="M50" s="187">
        <v>46033</v>
      </c>
      <c r="N50" s="63"/>
      <c r="O50" s="63"/>
    </row>
    <row r="51" spans="1:15" s="81" customFormat="1" ht="51" customHeight="1">
      <c r="A51" s="80">
        <v>41</v>
      </c>
      <c r="B51" s="183" t="s">
        <v>446</v>
      </c>
      <c r="C51" s="183" t="s">
        <v>447</v>
      </c>
      <c r="D51" s="184" t="s">
        <v>159</v>
      </c>
      <c r="E51" s="186" t="s">
        <v>418</v>
      </c>
      <c r="F51" s="186">
        <v>252262284</v>
      </c>
      <c r="G51" s="186" t="s">
        <v>335</v>
      </c>
      <c r="H51" s="76">
        <v>704191284</v>
      </c>
      <c r="I51" s="186">
        <v>8</v>
      </c>
      <c r="J51" s="186">
        <v>6</v>
      </c>
      <c r="K51" s="186" t="s">
        <v>448</v>
      </c>
      <c r="L51" s="187">
        <v>46028</v>
      </c>
      <c r="M51" s="187">
        <v>46034</v>
      </c>
      <c r="N51" s="63"/>
      <c r="O51" s="63"/>
    </row>
    <row r="52" spans="1:15" s="81" customFormat="1" ht="51" customHeight="1">
      <c r="A52" s="80">
        <v>42</v>
      </c>
      <c r="B52" s="183" t="s">
        <v>449</v>
      </c>
      <c r="C52" s="183" t="s">
        <v>450</v>
      </c>
      <c r="D52" s="184" t="s">
        <v>159</v>
      </c>
      <c r="E52" s="186" t="s">
        <v>159</v>
      </c>
      <c r="F52" s="186">
        <v>252235757</v>
      </c>
      <c r="G52" s="186" t="s">
        <v>342</v>
      </c>
      <c r="H52" s="76">
        <v>715364908</v>
      </c>
      <c r="I52" s="186">
        <v>7</v>
      </c>
      <c r="J52" s="186">
        <v>1</v>
      </c>
      <c r="K52" s="186" t="s">
        <v>451</v>
      </c>
      <c r="L52" s="187">
        <v>46023</v>
      </c>
      <c r="M52" s="187">
        <v>46034</v>
      </c>
      <c r="N52" s="63"/>
      <c r="O52" s="63"/>
    </row>
    <row r="53" spans="1:15" s="81" customFormat="1" ht="51" customHeight="1">
      <c r="A53" s="80">
        <v>43</v>
      </c>
      <c r="B53" s="183" t="s">
        <v>452</v>
      </c>
      <c r="C53" s="183" t="s">
        <v>453</v>
      </c>
      <c r="D53" s="184" t="s">
        <v>159</v>
      </c>
      <c r="E53" s="186" t="s">
        <v>159</v>
      </c>
      <c r="F53" s="186">
        <v>252262299</v>
      </c>
      <c r="G53" s="186" t="s">
        <v>335</v>
      </c>
      <c r="H53" s="76">
        <v>715340889</v>
      </c>
      <c r="I53" s="186">
        <v>2</v>
      </c>
      <c r="J53" s="186">
        <v>38</v>
      </c>
      <c r="K53" s="186" t="s">
        <v>430</v>
      </c>
      <c r="L53" s="187">
        <v>46030</v>
      </c>
      <c r="M53" s="187">
        <v>46034</v>
      </c>
      <c r="N53" s="63"/>
      <c r="O53" s="63"/>
    </row>
    <row r="54" spans="1:15" s="81" customFormat="1" ht="51" customHeight="1">
      <c r="A54" s="80">
        <v>44</v>
      </c>
      <c r="B54" s="183" t="s">
        <v>454</v>
      </c>
      <c r="C54" s="183" t="s">
        <v>455</v>
      </c>
      <c r="D54" s="184" t="s">
        <v>159</v>
      </c>
      <c r="E54" s="186" t="s">
        <v>159</v>
      </c>
      <c r="F54" s="186">
        <v>252229895</v>
      </c>
      <c r="G54" s="186" t="s">
        <v>456</v>
      </c>
      <c r="H54" s="76">
        <v>767964791</v>
      </c>
      <c r="I54" s="186">
        <v>7</v>
      </c>
      <c r="J54" s="186">
        <v>29</v>
      </c>
      <c r="K54" s="186" t="s">
        <v>427</v>
      </c>
      <c r="L54" s="187">
        <v>46033</v>
      </c>
      <c r="M54" s="187">
        <v>46034</v>
      </c>
      <c r="N54" s="63"/>
      <c r="O54" s="63"/>
    </row>
    <row r="55" spans="1:15" s="81" customFormat="1" ht="51" customHeight="1">
      <c r="A55" s="80">
        <v>45</v>
      </c>
      <c r="B55" s="183" t="s">
        <v>457</v>
      </c>
      <c r="C55" s="183" t="s">
        <v>458</v>
      </c>
      <c r="D55" s="184" t="s">
        <v>159</v>
      </c>
      <c r="E55" s="186" t="s">
        <v>440</v>
      </c>
      <c r="F55" s="186">
        <v>252249194</v>
      </c>
      <c r="G55" s="186" t="s">
        <v>361</v>
      </c>
      <c r="H55" s="76">
        <v>711229475</v>
      </c>
      <c r="I55" s="186">
        <v>5</v>
      </c>
      <c r="J55" s="186">
        <v>8</v>
      </c>
      <c r="K55" s="186" t="s">
        <v>459</v>
      </c>
      <c r="L55" s="187">
        <v>46028</v>
      </c>
      <c r="M55" s="187">
        <v>46034</v>
      </c>
      <c r="N55" s="63"/>
      <c r="O55" s="63"/>
    </row>
    <row r="56" spans="1:15" s="81" customFormat="1" ht="51" customHeight="1">
      <c r="A56" s="80">
        <v>46</v>
      </c>
      <c r="B56" s="183" t="s">
        <v>460</v>
      </c>
      <c r="C56" s="183" t="s">
        <v>461</v>
      </c>
      <c r="D56" s="184" t="s">
        <v>159</v>
      </c>
      <c r="E56" s="186" t="s">
        <v>159</v>
      </c>
      <c r="F56" s="186">
        <v>252298756</v>
      </c>
      <c r="G56" s="186" t="s">
        <v>335</v>
      </c>
      <c r="H56" s="76">
        <v>776667755</v>
      </c>
      <c r="I56" s="186">
        <v>8</v>
      </c>
      <c r="J56" s="186">
        <v>7</v>
      </c>
      <c r="K56" s="186" t="s">
        <v>339</v>
      </c>
      <c r="L56" s="187">
        <v>46034</v>
      </c>
      <c r="M56" s="187">
        <v>46035</v>
      </c>
      <c r="N56" s="63"/>
      <c r="O56" s="63"/>
    </row>
    <row r="57" spans="1:15" s="81" customFormat="1" ht="51" customHeight="1">
      <c r="A57" s="80">
        <v>47</v>
      </c>
      <c r="B57" s="183" t="s">
        <v>462</v>
      </c>
      <c r="C57" s="183" t="s">
        <v>463</v>
      </c>
      <c r="D57" s="184" t="s">
        <v>159</v>
      </c>
      <c r="E57" s="186" t="s">
        <v>433</v>
      </c>
      <c r="F57" s="186">
        <v>252245745</v>
      </c>
      <c r="G57" s="186" t="s">
        <v>342</v>
      </c>
      <c r="H57" s="76">
        <v>769161417</v>
      </c>
      <c r="I57" s="186">
        <v>5</v>
      </c>
      <c r="J57" s="186">
        <v>13</v>
      </c>
      <c r="K57" s="186" t="s">
        <v>464</v>
      </c>
      <c r="L57" s="187">
        <v>46385</v>
      </c>
      <c r="M57" s="187">
        <v>46035</v>
      </c>
      <c r="N57" s="63"/>
      <c r="O57" s="63"/>
    </row>
    <row r="58" spans="1:15" s="81" customFormat="1" ht="51" customHeight="1">
      <c r="A58" s="80">
        <v>48</v>
      </c>
      <c r="B58" s="183" t="s">
        <v>460</v>
      </c>
      <c r="C58" s="183" t="s">
        <v>461</v>
      </c>
      <c r="D58" s="184" t="s">
        <v>159</v>
      </c>
      <c r="E58" s="186" t="s">
        <v>159</v>
      </c>
      <c r="F58" s="186">
        <v>252298758</v>
      </c>
      <c r="G58" s="186" t="s">
        <v>335</v>
      </c>
      <c r="H58" s="76">
        <v>776667755</v>
      </c>
      <c r="I58" s="186">
        <v>8</v>
      </c>
      <c r="J58" s="186">
        <v>7</v>
      </c>
      <c r="K58" s="186" t="s">
        <v>339</v>
      </c>
      <c r="L58" s="187">
        <v>46034</v>
      </c>
      <c r="M58" s="187">
        <v>46035</v>
      </c>
      <c r="N58" s="63"/>
      <c r="O58" s="63"/>
    </row>
    <row r="59" spans="1:15" s="81" customFormat="1" ht="51" customHeight="1">
      <c r="A59" s="80">
        <v>49</v>
      </c>
      <c r="B59" s="183" t="s">
        <v>465</v>
      </c>
      <c r="C59" s="183" t="s">
        <v>466</v>
      </c>
      <c r="D59" s="184" t="s">
        <v>159</v>
      </c>
      <c r="E59" s="186" t="s">
        <v>440</v>
      </c>
      <c r="F59" s="186">
        <v>252229885</v>
      </c>
      <c r="G59" s="186" t="s">
        <v>335</v>
      </c>
      <c r="H59" s="76">
        <v>701091797</v>
      </c>
      <c r="I59" s="186">
        <v>6</v>
      </c>
      <c r="J59" s="186">
        <v>7</v>
      </c>
      <c r="K59" s="186" t="s">
        <v>459</v>
      </c>
      <c r="L59" s="187">
        <v>46027</v>
      </c>
      <c r="M59" s="187">
        <v>46035</v>
      </c>
      <c r="N59" s="63"/>
      <c r="O59" s="63"/>
    </row>
    <row r="60" spans="1:15" s="81" customFormat="1" ht="51" customHeight="1">
      <c r="A60" s="80">
        <v>50</v>
      </c>
      <c r="B60" s="183" t="s">
        <v>467</v>
      </c>
      <c r="C60" s="183" t="s">
        <v>468</v>
      </c>
      <c r="D60" s="184" t="s">
        <v>159</v>
      </c>
      <c r="E60" s="186" t="s">
        <v>418</v>
      </c>
      <c r="F60" s="186">
        <v>252276894</v>
      </c>
      <c r="G60" s="186" t="s">
        <v>361</v>
      </c>
      <c r="H60" s="76"/>
      <c r="I60" s="186">
        <v>6</v>
      </c>
      <c r="J60" s="186">
        <v>106</v>
      </c>
      <c r="K60" s="186" t="s">
        <v>469</v>
      </c>
      <c r="L60" s="187">
        <v>46030</v>
      </c>
      <c r="M60" s="187">
        <v>46035</v>
      </c>
      <c r="N60" s="63"/>
      <c r="O60" s="63"/>
    </row>
    <row r="61" spans="1:15" s="81" customFormat="1" ht="51" customHeight="1">
      <c r="A61" s="80">
        <v>51</v>
      </c>
      <c r="B61" s="183" t="s">
        <v>470</v>
      </c>
      <c r="C61" s="183" t="s">
        <v>471</v>
      </c>
      <c r="D61" s="184" t="s">
        <v>159</v>
      </c>
      <c r="E61" s="186" t="s">
        <v>440</v>
      </c>
      <c r="F61" s="186">
        <v>252249083</v>
      </c>
      <c r="G61" s="186" t="s">
        <v>361</v>
      </c>
      <c r="H61" s="76">
        <v>712983439</v>
      </c>
      <c r="I61" s="186">
        <v>7</v>
      </c>
      <c r="J61" s="186">
        <v>7</v>
      </c>
      <c r="K61" s="186" t="s">
        <v>459</v>
      </c>
      <c r="L61" s="187">
        <v>46028</v>
      </c>
      <c r="M61" s="187">
        <v>46035</v>
      </c>
      <c r="N61" s="63"/>
      <c r="O61" s="63"/>
    </row>
    <row r="62" spans="1:15" s="81" customFormat="1" ht="51" customHeight="1">
      <c r="A62" s="80">
        <v>52</v>
      </c>
      <c r="B62" s="183" t="s">
        <v>472</v>
      </c>
      <c r="C62" s="183" t="s">
        <v>473</v>
      </c>
      <c r="D62" s="184" t="s">
        <v>159</v>
      </c>
      <c r="E62" s="186" t="s">
        <v>418</v>
      </c>
      <c r="F62" s="186">
        <v>252051956</v>
      </c>
      <c r="G62" s="186" t="s">
        <v>361</v>
      </c>
      <c r="H62" s="76">
        <v>779411989</v>
      </c>
      <c r="I62" s="186">
        <v>1</v>
      </c>
      <c r="J62" s="186">
        <v>43</v>
      </c>
      <c r="K62" s="186" t="s">
        <v>474</v>
      </c>
      <c r="L62" s="187">
        <v>46028</v>
      </c>
      <c r="M62" s="187">
        <v>46035</v>
      </c>
      <c r="N62" s="63"/>
      <c r="O62" s="63"/>
    </row>
    <row r="63" spans="1:15" s="81" customFormat="1" ht="51" customHeight="1">
      <c r="A63" s="80">
        <v>53</v>
      </c>
      <c r="B63" s="183" t="s">
        <v>475</v>
      </c>
      <c r="C63" s="183" t="s">
        <v>476</v>
      </c>
      <c r="D63" s="184" t="s">
        <v>159</v>
      </c>
      <c r="E63" s="186" t="s">
        <v>418</v>
      </c>
      <c r="F63" s="186">
        <v>252272026</v>
      </c>
      <c r="G63" s="186" t="s">
        <v>335</v>
      </c>
      <c r="H63" s="76"/>
      <c r="I63" s="186">
        <v>2</v>
      </c>
      <c r="J63" s="186">
        <v>33</v>
      </c>
      <c r="K63" s="186" t="s">
        <v>445</v>
      </c>
      <c r="L63" s="187">
        <v>46036</v>
      </c>
      <c r="M63" s="187">
        <v>46036</v>
      </c>
      <c r="N63" s="63"/>
      <c r="O63" s="63"/>
    </row>
    <row r="64" spans="1:15" s="81" customFormat="1" ht="51" customHeight="1">
      <c r="A64" s="80">
        <v>54</v>
      </c>
      <c r="B64" s="183" t="s">
        <v>477</v>
      </c>
      <c r="C64" s="183" t="s">
        <v>478</v>
      </c>
      <c r="D64" s="184" t="s">
        <v>159</v>
      </c>
      <c r="E64" s="186" t="s">
        <v>159</v>
      </c>
      <c r="F64" s="186">
        <v>252056583</v>
      </c>
      <c r="G64" s="186" t="s">
        <v>361</v>
      </c>
      <c r="H64" s="76">
        <v>711971254</v>
      </c>
      <c r="I64" s="186">
        <v>5</v>
      </c>
      <c r="J64" s="186">
        <v>15</v>
      </c>
      <c r="K64" s="186" t="s">
        <v>358</v>
      </c>
      <c r="L64" s="187">
        <v>46030</v>
      </c>
      <c r="M64" s="187">
        <v>46036</v>
      </c>
      <c r="N64" s="63"/>
      <c r="O64" s="63"/>
    </row>
    <row r="65" spans="1:15" s="81" customFormat="1" ht="51" customHeight="1">
      <c r="A65" s="80">
        <v>55</v>
      </c>
      <c r="B65" s="183" t="s">
        <v>479</v>
      </c>
      <c r="C65" s="183" t="s">
        <v>480</v>
      </c>
      <c r="D65" s="184" t="s">
        <v>159</v>
      </c>
      <c r="E65" s="186" t="s">
        <v>418</v>
      </c>
      <c r="F65" s="186">
        <v>252229918</v>
      </c>
      <c r="G65" s="186" t="s">
        <v>335</v>
      </c>
      <c r="H65" s="76">
        <v>777455740</v>
      </c>
      <c r="I65" s="186">
        <v>4</v>
      </c>
      <c r="J65" s="186">
        <v>9</v>
      </c>
      <c r="K65" s="186" t="s">
        <v>481</v>
      </c>
      <c r="L65" s="187">
        <v>46036</v>
      </c>
      <c r="M65" s="187">
        <v>46036</v>
      </c>
      <c r="N65" s="63"/>
      <c r="O65" s="63"/>
    </row>
    <row r="66" spans="1:15" s="81" customFormat="1" ht="51" customHeight="1">
      <c r="A66" s="80">
        <v>56</v>
      </c>
      <c r="B66" s="183" t="s">
        <v>482</v>
      </c>
      <c r="C66" s="183" t="s">
        <v>483</v>
      </c>
      <c r="D66" s="184" t="s">
        <v>159</v>
      </c>
      <c r="E66" s="186" t="s">
        <v>159</v>
      </c>
      <c r="F66" s="186">
        <v>252229883</v>
      </c>
      <c r="G66" s="186" t="s">
        <v>335</v>
      </c>
      <c r="H66" s="76">
        <v>713953443</v>
      </c>
      <c r="I66" s="186">
        <v>7</v>
      </c>
      <c r="J66" s="186">
        <v>1</v>
      </c>
      <c r="K66" s="186" t="s">
        <v>373</v>
      </c>
      <c r="L66" s="187">
        <v>46035</v>
      </c>
      <c r="M66" s="187">
        <v>46036</v>
      </c>
      <c r="N66" s="63"/>
      <c r="O66" s="63"/>
    </row>
    <row r="67" spans="1:15" s="81" customFormat="1" ht="51" customHeight="1">
      <c r="A67" s="80">
        <v>57</v>
      </c>
      <c r="B67" s="183" t="s">
        <v>484</v>
      </c>
      <c r="C67" s="183" t="s">
        <v>485</v>
      </c>
      <c r="D67" s="184" t="s">
        <v>159</v>
      </c>
      <c r="E67" s="186" t="s">
        <v>440</v>
      </c>
      <c r="F67" s="186">
        <v>252249825</v>
      </c>
      <c r="G67" s="186" t="s">
        <v>361</v>
      </c>
      <c r="H67" s="76">
        <v>719118908</v>
      </c>
      <c r="I67" s="186">
        <v>8</v>
      </c>
      <c r="J67" s="186">
        <v>13</v>
      </c>
      <c r="K67" s="186" t="s">
        <v>441</v>
      </c>
      <c r="L67" s="187">
        <v>46028</v>
      </c>
      <c r="M67" s="187">
        <v>46036</v>
      </c>
      <c r="N67" s="63"/>
      <c r="O67" s="63"/>
    </row>
    <row r="68" spans="1:15" s="81" customFormat="1" ht="51" customHeight="1">
      <c r="A68" s="80">
        <v>58</v>
      </c>
      <c r="B68" s="183" t="s">
        <v>486</v>
      </c>
      <c r="C68" s="183" t="s">
        <v>487</v>
      </c>
      <c r="D68" s="184" t="s">
        <v>159</v>
      </c>
      <c r="E68" s="186" t="s">
        <v>159</v>
      </c>
      <c r="F68" s="186">
        <v>252234111</v>
      </c>
      <c r="G68" s="186" t="s">
        <v>335</v>
      </c>
      <c r="H68" s="76">
        <v>770281998</v>
      </c>
      <c r="I68" s="186">
        <v>3</v>
      </c>
      <c r="J68" s="186">
        <v>40</v>
      </c>
      <c r="K68" s="186" t="s">
        <v>381</v>
      </c>
      <c r="L68" s="187">
        <v>46032</v>
      </c>
      <c r="M68" s="187">
        <v>46036</v>
      </c>
      <c r="N68" s="63"/>
      <c r="O68" s="63"/>
    </row>
    <row r="69" spans="1:15" s="81" customFormat="1" ht="51" customHeight="1">
      <c r="A69" s="80">
        <v>59</v>
      </c>
      <c r="B69" s="183" t="s">
        <v>488</v>
      </c>
      <c r="C69" s="183" t="s">
        <v>489</v>
      </c>
      <c r="D69" s="184" t="s">
        <v>159</v>
      </c>
      <c r="E69" s="186" t="s">
        <v>440</v>
      </c>
      <c r="F69" s="186">
        <v>252249525</v>
      </c>
      <c r="G69" s="186" t="s">
        <v>361</v>
      </c>
      <c r="H69" s="76">
        <v>772620442</v>
      </c>
      <c r="I69" s="186">
        <v>5</v>
      </c>
      <c r="J69" s="186">
        <v>13</v>
      </c>
      <c r="K69" s="186" t="s">
        <v>441</v>
      </c>
      <c r="L69" s="187">
        <v>46029</v>
      </c>
      <c r="M69" s="187">
        <v>46036</v>
      </c>
      <c r="N69" s="63"/>
      <c r="O69" s="63"/>
    </row>
    <row r="70" spans="1:15" s="81" customFormat="1" ht="51" customHeight="1">
      <c r="A70" s="80">
        <v>60</v>
      </c>
      <c r="B70" s="183" t="s">
        <v>490</v>
      </c>
      <c r="C70" s="183" t="s">
        <v>491</v>
      </c>
      <c r="D70" s="184" t="s">
        <v>159</v>
      </c>
      <c r="E70" s="186" t="s">
        <v>159</v>
      </c>
      <c r="F70" s="186">
        <v>252230010</v>
      </c>
      <c r="G70" s="186" t="s">
        <v>342</v>
      </c>
      <c r="H70" s="76">
        <v>761193158</v>
      </c>
      <c r="I70" s="186">
        <v>8</v>
      </c>
      <c r="J70" s="186">
        <v>41</v>
      </c>
      <c r="K70" s="186" t="s">
        <v>492</v>
      </c>
      <c r="L70" s="187">
        <v>46021</v>
      </c>
      <c r="M70" s="187">
        <v>46037</v>
      </c>
      <c r="N70" s="63"/>
      <c r="O70" s="63"/>
    </row>
    <row r="71" spans="1:15" s="81" customFormat="1" ht="51" customHeight="1">
      <c r="A71" s="80">
        <v>61</v>
      </c>
      <c r="B71" s="183" t="s">
        <v>493</v>
      </c>
      <c r="C71" s="183" t="s">
        <v>494</v>
      </c>
      <c r="D71" s="184" t="s">
        <v>159</v>
      </c>
      <c r="E71" s="186" t="s">
        <v>440</v>
      </c>
      <c r="F71" s="186">
        <v>252229884</v>
      </c>
      <c r="G71" s="186" t="s">
        <v>335</v>
      </c>
      <c r="H71" s="76">
        <v>787284213</v>
      </c>
      <c r="I71" s="186">
        <v>4</v>
      </c>
      <c r="J71" s="186">
        <v>8</v>
      </c>
      <c r="K71" s="186" t="s">
        <v>459</v>
      </c>
      <c r="L71" s="187">
        <v>46028</v>
      </c>
      <c r="M71" s="187">
        <v>46037</v>
      </c>
      <c r="N71" s="63"/>
      <c r="O71" s="63"/>
    </row>
    <row r="72" spans="1:15" s="81" customFormat="1" ht="51" customHeight="1">
      <c r="A72" s="80">
        <v>62</v>
      </c>
      <c r="B72" s="183" t="s">
        <v>495</v>
      </c>
      <c r="C72" s="183" t="s">
        <v>496</v>
      </c>
      <c r="D72" s="184" t="s">
        <v>159</v>
      </c>
      <c r="E72" s="186" t="s">
        <v>444</v>
      </c>
      <c r="F72" s="186">
        <v>252229980</v>
      </c>
      <c r="G72" s="186" t="s">
        <v>335</v>
      </c>
      <c r="H72" s="76">
        <v>742718864</v>
      </c>
      <c r="I72" s="186">
        <v>8</v>
      </c>
      <c r="J72" s="186">
        <v>12</v>
      </c>
      <c r="K72" s="186" t="s">
        <v>497</v>
      </c>
      <c r="L72" s="187">
        <v>46031</v>
      </c>
      <c r="M72" s="187">
        <v>46037</v>
      </c>
      <c r="N72" s="63"/>
      <c r="O72" s="63"/>
    </row>
    <row r="73" spans="1:15" s="81" customFormat="1" ht="51" customHeight="1">
      <c r="A73" s="80">
        <v>63</v>
      </c>
      <c r="B73" s="183" t="s">
        <v>498</v>
      </c>
      <c r="C73" s="183" t="s">
        <v>499</v>
      </c>
      <c r="D73" s="184" t="s">
        <v>159</v>
      </c>
      <c r="E73" s="186" t="s">
        <v>159</v>
      </c>
      <c r="F73" s="186">
        <v>252230620</v>
      </c>
      <c r="G73" s="186" t="s">
        <v>335</v>
      </c>
      <c r="H73" s="76">
        <v>703888862</v>
      </c>
      <c r="I73" s="186">
        <v>6</v>
      </c>
      <c r="J73" s="186">
        <v>29</v>
      </c>
      <c r="K73" s="186" t="s">
        <v>500</v>
      </c>
      <c r="L73" s="187">
        <v>46034</v>
      </c>
      <c r="M73" s="187">
        <v>46037</v>
      </c>
      <c r="N73" s="63"/>
      <c r="O73" s="63"/>
    </row>
    <row r="74" spans="1:15" s="81" customFormat="1" ht="51" customHeight="1">
      <c r="A74" s="80">
        <v>64</v>
      </c>
      <c r="B74" s="183" t="s">
        <v>501</v>
      </c>
      <c r="C74" s="183" t="s">
        <v>502</v>
      </c>
      <c r="D74" s="184" t="s">
        <v>159</v>
      </c>
      <c r="E74" s="186" t="s">
        <v>404</v>
      </c>
      <c r="F74" s="186">
        <v>252269543</v>
      </c>
      <c r="G74" s="186" t="s">
        <v>361</v>
      </c>
      <c r="H74" s="76">
        <v>717334433</v>
      </c>
      <c r="I74" s="186">
        <v>4</v>
      </c>
      <c r="J74" s="186">
        <v>5</v>
      </c>
      <c r="K74" s="186" t="s">
        <v>405</v>
      </c>
      <c r="L74" s="187">
        <v>46030</v>
      </c>
      <c r="M74" s="187">
        <v>46037</v>
      </c>
      <c r="N74" s="63"/>
      <c r="O74" s="63"/>
    </row>
    <row r="75" spans="1:15" s="81" customFormat="1" ht="51" customHeight="1">
      <c r="A75" s="80">
        <v>65</v>
      </c>
      <c r="B75" s="183" t="s">
        <v>503</v>
      </c>
      <c r="C75" s="183" t="s">
        <v>504</v>
      </c>
      <c r="D75" s="184" t="s">
        <v>159</v>
      </c>
      <c r="E75" s="186" t="s">
        <v>159</v>
      </c>
      <c r="F75" s="186">
        <v>252226000</v>
      </c>
      <c r="G75" s="186" t="s">
        <v>361</v>
      </c>
      <c r="H75" s="76">
        <v>719700959</v>
      </c>
      <c r="I75" s="186">
        <v>4</v>
      </c>
      <c r="J75" s="186">
        <v>20</v>
      </c>
      <c r="K75" s="186" t="s">
        <v>505</v>
      </c>
      <c r="L75" s="187">
        <v>46035</v>
      </c>
      <c r="M75" s="187">
        <v>46037</v>
      </c>
      <c r="N75" s="63"/>
      <c r="O75" s="63"/>
    </row>
    <row r="76" spans="1:15" s="81" customFormat="1" ht="51" customHeight="1">
      <c r="A76" s="80">
        <v>66</v>
      </c>
      <c r="B76" s="183" t="s">
        <v>506</v>
      </c>
      <c r="C76" s="183" t="s">
        <v>507</v>
      </c>
      <c r="D76" s="184" t="s">
        <v>159</v>
      </c>
      <c r="E76" s="186" t="s">
        <v>159</v>
      </c>
      <c r="F76" s="186">
        <v>252229938</v>
      </c>
      <c r="G76" s="186" t="s">
        <v>335</v>
      </c>
      <c r="H76" s="76">
        <v>773272560</v>
      </c>
      <c r="I76" s="186">
        <v>1</v>
      </c>
      <c r="J76" s="186">
        <v>14</v>
      </c>
      <c r="K76" s="186" t="s">
        <v>508</v>
      </c>
      <c r="L76" s="187">
        <v>46035</v>
      </c>
      <c r="M76" s="187">
        <v>46037</v>
      </c>
      <c r="N76" s="63"/>
      <c r="O76" s="63"/>
    </row>
    <row r="77" spans="1:15" s="81" customFormat="1" ht="51" customHeight="1">
      <c r="A77" s="80">
        <v>67</v>
      </c>
      <c r="B77" s="183" t="s">
        <v>509</v>
      </c>
      <c r="C77" s="183" t="s">
        <v>510</v>
      </c>
      <c r="D77" s="184" t="s">
        <v>159</v>
      </c>
      <c r="E77" s="186" t="s">
        <v>159</v>
      </c>
      <c r="F77" s="186">
        <v>252262610</v>
      </c>
      <c r="G77" s="186" t="s">
        <v>335</v>
      </c>
      <c r="H77" s="76">
        <v>776116714</v>
      </c>
      <c r="I77" s="186">
        <v>3</v>
      </c>
      <c r="J77" s="186">
        <v>10</v>
      </c>
      <c r="K77" s="186" t="s">
        <v>511</v>
      </c>
      <c r="L77" s="187">
        <v>46028</v>
      </c>
      <c r="M77" s="187">
        <v>46037</v>
      </c>
      <c r="N77" s="63"/>
      <c r="O77" s="63"/>
    </row>
    <row r="78" spans="1:15" s="81" customFormat="1" ht="51" customHeight="1">
      <c r="A78" s="80">
        <v>68</v>
      </c>
      <c r="B78" s="183" t="s">
        <v>512</v>
      </c>
      <c r="C78" s="183" t="s">
        <v>513</v>
      </c>
      <c r="D78" s="184" t="s">
        <v>159</v>
      </c>
      <c r="E78" s="186" t="s">
        <v>400</v>
      </c>
      <c r="F78" s="186">
        <v>252262350</v>
      </c>
      <c r="G78" s="186" t="s">
        <v>335</v>
      </c>
      <c r="H78" s="76">
        <v>718096409</v>
      </c>
      <c r="I78" s="186">
        <v>5</v>
      </c>
      <c r="J78" s="186">
        <v>15</v>
      </c>
      <c r="K78" s="186" t="s">
        <v>514</v>
      </c>
      <c r="L78" s="187">
        <v>46031</v>
      </c>
      <c r="M78" s="187">
        <v>46038</v>
      </c>
      <c r="N78" s="63"/>
      <c r="O78" s="63"/>
    </row>
    <row r="79" spans="1:15" s="81" customFormat="1" ht="51" customHeight="1">
      <c r="A79" s="80">
        <v>69</v>
      </c>
      <c r="B79" s="183" t="s">
        <v>515</v>
      </c>
      <c r="C79" s="183" t="s">
        <v>516</v>
      </c>
      <c r="D79" s="184" t="s">
        <v>159</v>
      </c>
      <c r="E79" s="186" t="s">
        <v>444</v>
      </c>
      <c r="F79" s="186">
        <v>252272669</v>
      </c>
      <c r="G79" s="186" t="s">
        <v>335</v>
      </c>
      <c r="H79" s="76"/>
      <c r="I79" s="186">
        <v>6</v>
      </c>
      <c r="J79" s="186">
        <v>25</v>
      </c>
      <c r="K79" s="186" t="s">
        <v>517</v>
      </c>
      <c r="L79" s="187">
        <v>46031</v>
      </c>
      <c r="M79" s="187">
        <v>46038</v>
      </c>
      <c r="N79" s="63"/>
      <c r="O79" s="63"/>
    </row>
    <row r="80" spans="1:15" s="81" customFormat="1" ht="51" customHeight="1">
      <c r="A80" s="80">
        <v>70</v>
      </c>
      <c r="B80" s="183" t="s">
        <v>518</v>
      </c>
      <c r="C80" s="183" t="s">
        <v>519</v>
      </c>
      <c r="D80" s="184" t="s">
        <v>159</v>
      </c>
      <c r="E80" s="186" t="s">
        <v>396</v>
      </c>
      <c r="F80" s="186">
        <v>252229986</v>
      </c>
      <c r="G80" s="186" t="s">
        <v>335</v>
      </c>
      <c r="H80" s="76">
        <v>710604167</v>
      </c>
      <c r="I80" s="186">
        <v>4</v>
      </c>
      <c r="J80" s="186">
        <v>14</v>
      </c>
      <c r="K80" s="186" t="s">
        <v>370</v>
      </c>
      <c r="L80" s="187">
        <v>46035</v>
      </c>
      <c r="M80" s="187">
        <v>46038</v>
      </c>
      <c r="N80" s="63"/>
      <c r="O80" s="63"/>
    </row>
    <row r="81" spans="1:15" s="81" customFormat="1" ht="51" customHeight="1">
      <c r="A81" s="80">
        <v>71</v>
      </c>
      <c r="B81" s="183" t="s">
        <v>520</v>
      </c>
      <c r="C81" s="183" t="s">
        <v>521</v>
      </c>
      <c r="D81" s="184" t="s">
        <v>159</v>
      </c>
      <c r="E81" s="186" t="s">
        <v>400</v>
      </c>
      <c r="F81" s="186">
        <v>252229906</v>
      </c>
      <c r="G81" s="186" t="s">
        <v>335</v>
      </c>
      <c r="H81" s="76">
        <v>771699940</v>
      </c>
      <c r="I81" s="186">
        <v>3</v>
      </c>
      <c r="J81" s="186">
        <v>8</v>
      </c>
      <c r="K81" s="186" t="s">
        <v>522</v>
      </c>
      <c r="L81" s="187">
        <v>46030</v>
      </c>
      <c r="M81" s="187">
        <v>46038</v>
      </c>
      <c r="N81" s="63"/>
      <c r="O81" s="63"/>
    </row>
    <row r="82" spans="1:15" s="81" customFormat="1" ht="51" customHeight="1">
      <c r="A82" s="80">
        <v>72</v>
      </c>
      <c r="B82" s="183" t="s">
        <v>523</v>
      </c>
      <c r="C82" s="183" t="s">
        <v>524</v>
      </c>
      <c r="D82" s="184" t="s">
        <v>159</v>
      </c>
      <c r="E82" s="186" t="s">
        <v>159</v>
      </c>
      <c r="F82" s="186">
        <v>252229936</v>
      </c>
      <c r="G82" s="186" t="s">
        <v>335</v>
      </c>
      <c r="H82" s="76">
        <v>704771500</v>
      </c>
      <c r="I82" s="186">
        <v>2</v>
      </c>
      <c r="J82" s="186">
        <v>21</v>
      </c>
      <c r="K82" s="186" t="s">
        <v>505</v>
      </c>
      <c r="L82" s="187">
        <v>46034</v>
      </c>
      <c r="M82" s="187">
        <v>46039</v>
      </c>
      <c r="N82" s="63"/>
      <c r="O82" s="63"/>
    </row>
    <row r="83" spans="1:15" s="81" customFormat="1" ht="51" customHeight="1">
      <c r="A83" s="80">
        <v>73</v>
      </c>
      <c r="B83" s="183" t="s">
        <v>525</v>
      </c>
      <c r="C83" s="183" t="s">
        <v>526</v>
      </c>
      <c r="D83" s="184" t="s">
        <v>159</v>
      </c>
      <c r="E83" s="186" t="s">
        <v>418</v>
      </c>
      <c r="F83" s="186">
        <v>252276429</v>
      </c>
      <c r="G83" s="186" t="s">
        <v>361</v>
      </c>
      <c r="H83" s="76">
        <v>741860712</v>
      </c>
      <c r="I83" s="186">
        <v>5</v>
      </c>
      <c r="J83" s="186">
        <v>2</v>
      </c>
      <c r="K83" s="186" t="s">
        <v>527</v>
      </c>
      <c r="L83" s="187">
        <v>46034</v>
      </c>
      <c r="M83" s="187">
        <v>46039</v>
      </c>
      <c r="N83" s="63"/>
      <c r="O83" s="63"/>
    </row>
    <row r="84" spans="1:15" s="81" customFormat="1" ht="51" customHeight="1">
      <c r="A84" s="80">
        <v>74</v>
      </c>
      <c r="B84" s="183" t="s">
        <v>528</v>
      </c>
      <c r="C84" s="183" t="s">
        <v>529</v>
      </c>
      <c r="D84" s="184" t="s">
        <v>159</v>
      </c>
      <c r="E84" s="186" t="s">
        <v>159</v>
      </c>
      <c r="F84" s="186">
        <v>252229916</v>
      </c>
      <c r="G84" s="186" t="s">
        <v>335</v>
      </c>
      <c r="H84" s="76">
        <v>779838199</v>
      </c>
      <c r="I84" s="186">
        <v>6</v>
      </c>
      <c r="J84" s="186">
        <v>5</v>
      </c>
      <c r="K84" s="186" t="s">
        <v>530</v>
      </c>
      <c r="L84" s="187">
        <v>46035</v>
      </c>
      <c r="M84" s="187">
        <v>46040</v>
      </c>
      <c r="N84" s="63"/>
      <c r="O84" s="63"/>
    </row>
    <row r="85" spans="1:15" s="81" customFormat="1" ht="51" customHeight="1">
      <c r="A85" s="80">
        <v>75</v>
      </c>
      <c r="B85" s="183" t="s">
        <v>531</v>
      </c>
      <c r="C85" s="183" t="s">
        <v>532</v>
      </c>
      <c r="D85" s="184" t="s">
        <v>159</v>
      </c>
      <c r="E85" s="186" t="s">
        <v>159</v>
      </c>
      <c r="F85" s="186">
        <v>252272210</v>
      </c>
      <c r="G85" s="186" t="s">
        <v>335</v>
      </c>
      <c r="H85" s="76">
        <v>767703849</v>
      </c>
      <c r="I85" s="186">
        <v>2</v>
      </c>
      <c r="J85" s="186">
        <v>19</v>
      </c>
      <c r="K85" s="186" t="s">
        <v>533</v>
      </c>
      <c r="L85" s="187">
        <v>46039</v>
      </c>
      <c r="M85" s="187">
        <v>46040</v>
      </c>
      <c r="N85" s="63"/>
      <c r="O85" s="63"/>
    </row>
    <row r="86" spans="1:15" s="81" customFormat="1" ht="51" customHeight="1">
      <c r="A86" s="80">
        <v>76</v>
      </c>
      <c r="B86" s="183" t="s">
        <v>534</v>
      </c>
      <c r="C86" s="183" t="s">
        <v>535</v>
      </c>
      <c r="D86" s="184" t="s">
        <v>159</v>
      </c>
      <c r="E86" s="186" t="s">
        <v>159</v>
      </c>
      <c r="F86" s="186">
        <v>252054726</v>
      </c>
      <c r="G86" s="186" t="s">
        <v>342</v>
      </c>
      <c r="H86" s="76">
        <v>718226785</v>
      </c>
      <c r="I86" s="186">
        <v>4</v>
      </c>
      <c r="J86" s="186">
        <v>35</v>
      </c>
      <c r="K86" s="186" t="s">
        <v>349</v>
      </c>
      <c r="L86" s="187">
        <v>46024</v>
      </c>
      <c r="M86" s="187">
        <v>46041</v>
      </c>
      <c r="N86" s="63"/>
      <c r="O86" s="63"/>
    </row>
    <row r="87" spans="1:15" s="81" customFormat="1" ht="51" customHeight="1">
      <c r="A87" s="80">
        <v>77</v>
      </c>
      <c r="B87" s="183" t="s">
        <v>536</v>
      </c>
      <c r="C87" s="183" t="s">
        <v>537</v>
      </c>
      <c r="D87" s="184" t="s">
        <v>159</v>
      </c>
      <c r="E87" s="186" t="s">
        <v>418</v>
      </c>
      <c r="F87" s="186">
        <v>252275296</v>
      </c>
      <c r="G87" s="186" t="s">
        <v>361</v>
      </c>
      <c r="H87" s="76">
        <v>771970595</v>
      </c>
      <c r="I87" s="186">
        <v>6</v>
      </c>
      <c r="J87" s="186">
        <v>21</v>
      </c>
      <c r="K87" s="186" t="s">
        <v>365</v>
      </c>
      <c r="L87" s="187">
        <v>46039</v>
      </c>
      <c r="M87" s="187">
        <v>46041</v>
      </c>
      <c r="N87" s="63"/>
      <c r="O87" s="63"/>
    </row>
    <row r="88" spans="1:15" s="81" customFormat="1" ht="51" customHeight="1">
      <c r="A88" s="80">
        <v>78</v>
      </c>
      <c r="B88" s="183" t="s">
        <v>538</v>
      </c>
      <c r="C88" s="183" t="s">
        <v>539</v>
      </c>
      <c r="D88" s="184" t="s">
        <v>159</v>
      </c>
      <c r="E88" s="186" t="s">
        <v>159</v>
      </c>
      <c r="F88" s="186">
        <v>252228603</v>
      </c>
      <c r="G88" s="186" t="s">
        <v>342</v>
      </c>
      <c r="H88" s="76">
        <v>704349793</v>
      </c>
      <c r="I88" s="186">
        <v>6</v>
      </c>
      <c r="J88" s="186">
        <v>51</v>
      </c>
      <c r="K88" s="186" t="s">
        <v>378</v>
      </c>
      <c r="L88" s="187">
        <v>46036</v>
      </c>
      <c r="M88" s="187">
        <v>46041</v>
      </c>
      <c r="N88" s="63"/>
      <c r="O88" s="63"/>
    </row>
    <row r="89" spans="1:15" s="81" customFormat="1" ht="51" customHeight="1">
      <c r="A89" s="80">
        <v>79</v>
      </c>
      <c r="B89" s="183" t="s">
        <v>540</v>
      </c>
      <c r="C89" s="183" t="s">
        <v>541</v>
      </c>
      <c r="D89" s="184" t="s">
        <v>159</v>
      </c>
      <c r="E89" s="186" t="s">
        <v>159</v>
      </c>
      <c r="F89" s="186">
        <v>252230572</v>
      </c>
      <c r="G89" s="186" t="s">
        <v>335</v>
      </c>
      <c r="H89" s="76">
        <v>743619013</v>
      </c>
      <c r="I89" s="186">
        <v>8</v>
      </c>
      <c r="J89" s="186">
        <v>43</v>
      </c>
      <c r="K89" s="186" t="s">
        <v>542</v>
      </c>
      <c r="L89" s="187">
        <v>46036</v>
      </c>
      <c r="M89" s="187">
        <v>46041</v>
      </c>
      <c r="N89" s="63"/>
      <c r="O89" s="63"/>
    </row>
    <row r="90" spans="1:15" s="81" customFormat="1" ht="51" customHeight="1">
      <c r="A90" s="80">
        <v>80</v>
      </c>
      <c r="B90" s="183" t="s">
        <v>543</v>
      </c>
      <c r="C90" s="183" t="s">
        <v>544</v>
      </c>
      <c r="D90" s="184" t="s">
        <v>159</v>
      </c>
      <c r="E90" s="186" t="s">
        <v>159</v>
      </c>
      <c r="F90" s="186">
        <v>252262344</v>
      </c>
      <c r="G90" s="186" t="s">
        <v>335</v>
      </c>
      <c r="H90" s="76">
        <v>776648569</v>
      </c>
      <c r="I90" s="186">
        <v>1</v>
      </c>
      <c r="J90" s="186">
        <v>5</v>
      </c>
      <c r="K90" s="186" t="s">
        <v>533</v>
      </c>
      <c r="L90" s="187">
        <v>46035</v>
      </c>
      <c r="M90" s="187">
        <v>46042</v>
      </c>
      <c r="N90" s="63"/>
      <c r="O90" s="63"/>
    </row>
    <row r="91" spans="1:15" s="81" customFormat="1" ht="51" customHeight="1">
      <c r="A91" s="80">
        <v>81</v>
      </c>
      <c r="B91" s="183" t="s">
        <v>545</v>
      </c>
      <c r="C91" s="183" t="s">
        <v>546</v>
      </c>
      <c r="D91" s="184" t="s">
        <v>159</v>
      </c>
      <c r="E91" s="186" t="s">
        <v>418</v>
      </c>
      <c r="F91" s="186">
        <v>252272021</v>
      </c>
      <c r="G91" s="186" t="s">
        <v>335</v>
      </c>
      <c r="H91" s="76">
        <v>767209867</v>
      </c>
      <c r="I91" s="186">
        <v>3</v>
      </c>
      <c r="J91" s="186">
        <v>47</v>
      </c>
      <c r="K91" s="186" t="s">
        <v>469</v>
      </c>
      <c r="L91" s="187">
        <v>46041</v>
      </c>
      <c r="M91" s="187">
        <v>46042</v>
      </c>
      <c r="N91" s="63"/>
      <c r="O91" s="63"/>
    </row>
    <row r="92" spans="1:15" s="81" customFormat="1" ht="51" customHeight="1">
      <c r="A92" s="80">
        <v>82</v>
      </c>
      <c r="B92" s="183" t="s">
        <v>518</v>
      </c>
      <c r="C92" s="183" t="s">
        <v>547</v>
      </c>
      <c r="D92" s="184" t="s">
        <v>159</v>
      </c>
      <c r="E92" s="186" t="s">
        <v>396</v>
      </c>
      <c r="F92" s="186">
        <v>252056948</v>
      </c>
      <c r="G92" s="186" t="s">
        <v>361</v>
      </c>
      <c r="H92" s="76">
        <v>710604167</v>
      </c>
      <c r="I92" s="186">
        <v>3</v>
      </c>
      <c r="J92" s="186">
        <v>9</v>
      </c>
      <c r="K92" s="186" t="s">
        <v>370</v>
      </c>
      <c r="L92" s="187">
        <v>46035</v>
      </c>
      <c r="M92" s="187">
        <v>46042</v>
      </c>
      <c r="N92" s="63"/>
      <c r="O92" s="63"/>
    </row>
    <row r="93" spans="1:15" s="81" customFormat="1" ht="51" customHeight="1">
      <c r="A93" s="80">
        <v>83</v>
      </c>
      <c r="B93" s="183" t="s">
        <v>548</v>
      </c>
      <c r="C93" s="183" t="s">
        <v>549</v>
      </c>
      <c r="D93" s="184" t="s">
        <v>159</v>
      </c>
      <c r="E93" s="186" t="s">
        <v>418</v>
      </c>
      <c r="F93" s="186">
        <v>252230579</v>
      </c>
      <c r="G93" s="186" t="s">
        <v>335</v>
      </c>
      <c r="H93" s="76">
        <v>719870579</v>
      </c>
      <c r="I93" s="186">
        <v>7</v>
      </c>
      <c r="J93" s="186">
        <v>2</v>
      </c>
      <c r="K93" s="186" t="s">
        <v>448</v>
      </c>
      <c r="L93" s="187">
        <v>46038</v>
      </c>
      <c r="M93" s="187">
        <v>46042</v>
      </c>
      <c r="N93" s="63"/>
      <c r="O93" s="63"/>
    </row>
    <row r="94" spans="1:15" s="81" customFormat="1" ht="51" customHeight="1">
      <c r="A94" s="80">
        <v>84</v>
      </c>
      <c r="B94" s="183" t="s">
        <v>550</v>
      </c>
      <c r="C94" s="183" t="s">
        <v>551</v>
      </c>
      <c r="D94" s="184" t="s">
        <v>159</v>
      </c>
      <c r="E94" s="186" t="s">
        <v>440</v>
      </c>
      <c r="F94" s="186">
        <v>252230557</v>
      </c>
      <c r="G94" s="186" t="s">
        <v>335</v>
      </c>
      <c r="H94" s="192">
        <v>711251001</v>
      </c>
      <c r="I94" s="186">
        <v>2</v>
      </c>
      <c r="J94" s="186">
        <v>3</v>
      </c>
      <c r="K94" s="186" t="s">
        <v>441</v>
      </c>
      <c r="L94" s="187">
        <v>46035</v>
      </c>
      <c r="M94" s="187">
        <v>46042</v>
      </c>
      <c r="N94" s="63"/>
      <c r="O94" s="63"/>
    </row>
    <row r="95" spans="1:15" s="81" customFormat="1" ht="51" customHeight="1">
      <c r="A95" s="80">
        <v>85</v>
      </c>
      <c r="B95" s="183" t="s">
        <v>552</v>
      </c>
      <c r="C95" s="183" t="s">
        <v>553</v>
      </c>
      <c r="D95" s="184" t="s">
        <v>159</v>
      </c>
      <c r="E95" s="186" t="s">
        <v>440</v>
      </c>
      <c r="F95" s="186">
        <v>252230581</v>
      </c>
      <c r="G95" s="186" t="s">
        <v>335</v>
      </c>
      <c r="H95" s="76">
        <v>719621627</v>
      </c>
      <c r="I95" s="186">
        <v>5</v>
      </c>
      <c r="J95" s="186">
        <v>3</v>
      </c>
      <c r="K95" s="186" t="s">
        <v>441</v>
      </c>
      <c r="L95" s="187">
        <v>46036</v>
      </c>
      <c r="M95" s="187">
        <v>46042</v>
      </c>
      <c r="N95" s="63"/>
      <c r="O95" s="63"/>
    </row>
    <row r="96" spans="1:15" s="81" customFormat="1" ht="51" customHeight="1">
      <c r="A96" s="80">
        <v>86</v>
      </c>
      <c r="B96" s="183" t="s">
        <v>554</v>
      </c>
      <c r="C96" s="183" t="s">
        <v>555</v>
      </c>
      <c r="D96" s="184" t="s">
        <v>159</v>
      </c>
      <c r="E96" s="186" t="s">
        <v>440</v>
      </c>
      <c r="F96" s="186">
        <v>252272225</v>
      </c>
      <c r="G96" s="186" t="s">
        <v>335</v>
      </c>
      <c r="H96" s="76">
        <v>713790901</v>
      </c>
      <c r="I96" s="186">
        <v>8</v>
      </c>
      <c r="J96" s="186">
        <v>7</v>
      </c>
      <c r="K96" s="186" t="s">
        <v>459</v>
      </c>
      <c r="L96" s="187">
        <v>46043</v>
      </c>
      <c r="M96" s="187">
        <v>46043</v>
      </c>
      <c r="N96" s="63"/>
      <c r="O96" s="63"/>
    </row>
    <row r="97" spans="1:15" s="81" customFormat="1" ht="51" customHeight="1">
      <c r="A97" s="80">
        <v>87</v>
      </c>
      <c r="B97" s="183" t="s">
        <v>556</v>
      </c>
      <c r="C97" s="183" t="s">
        <v>557</v>
      </c>
      <c r="D97" s="184" t="s">
        <v>159</v>
      </c>
      <c r="E97" s="186" t="s">
        <v>159</v>
      </c>
      <c r="F97" s="186">
        <v>252230021</v>
      </c>
      <c r="G97" s="186" t="s">
        <v>342</v>
      </c>
      <c r="H97" s="76">
        <v>767397783</v>
      </c>
      <c r="I97" s="186">
        <v>4</v>
      </c>
      <c r="J97" s="186">
        <v>24</v>
      </c>
      <c r="K97" s="186" t="s">
        <v>558</v>
      </c>
      <c r="L97" s="187">
        <v>46041</v>
      </c>
      <c r="M97" s="187">
        <v>46043</v>
      </c>
      <c r="N97" s="63"/>
      <c r="O97" s="63"/>
    </row>
    <row r="98" spans="1:15" s="81" customFormat="1" ht="51" customHeight="1">
      <c r="A98" s="80">
        <v>88</v>
      </c>
      <c r="B98" s="183" t="s">
        <v>559</v>
      </c>
      <c r="C98" s="183" t="s">
        <v>560</v>
      </c>
      <c r="D98" s="184" t="s">
        <v>159</v>
      </c>
      <c r="E98" s="186" t="s">
        <v>159</v>
      </c>
      <c r="F98" s="186">
        <v>252230899</v>
      </c>
      <c r="G98" s="186" t="s">
        <v>335</v>
      </c>
      <c r="H98" s="76"/>
      <c r="I98" s="186">
        <v>6</v>
      </c>
      <c r="J98" s="186">
        <v>9</v>
      </c>
      <c r="K98" s="186" t="s">
        <v>339</v>
      </c>
      <c r="L98" s="187">
        <v>46039</v>
      </c>
      <c r="M98" s="187">
        <v>46043</v>
      </c>
      <c r="N98" s="63"/>
      <c r="O98" s="63"/>
    </row>
    <row r="99" spans="1:15" s="81" customFormat="1" ht="51" customHeight="1">
      <c r="A99" s="80">
        <v>89</v>
      </c>
      <c r="B99" s="183" t="s">
        <v>561</v>
      </c>
      <c r="C99" s="183" t="s">
        <v>562</v>
      </c>
      <c r="D99" s="184" t="s">
        <v>159</v>
      </c>
      <c r="E99" s="186" t="s">
        <v>440</v>
      </c>
      <c r="F99" s="186">
        <v>252281075</v>
      </c>
      <c r="G99" s="186" t="s">
        <v>361</v>
      </c>
      <c r="H99" s="76">
        <v>714562475</v>
      </c>
      <c r="I99" s="186">
        <v>2</v>
      </c>
      <c r="J99" s="186">
        <v>2</v>
      </c>
      <c r="K99" s="186" t="s">
        <v>563</v>
      </c>
      <c r="L99" s="187">
        <v>46041</v>
      </c>
      <c r="M99" s="187">
        <v>46043</v>
      </c>
      <c r="N99" s="63"/>
      <c r="O99" s="63"/>
    </row>
    <row r="100" spans="1:15" s="81" customFormat="1" ht="51" customHeight="1">
      <c r="A100" s="80">
        <v>90</v>
      </c>
      <c r="B100" s="183" t="s">
        <v>564</v>
      </c>
      <c r="C100" s="183" t="s">
        <v>565</v>
      </c>
      <c r="D100" s="184" t="s">
        <v>159</v>
      </c>
      <c r="E100" s="186" t="s">
        <v>159</v>
      </c>
      <c r="F100" s="186">
        <v>252220004</v>
      </c>
      <c r="G100" s="186" t="s">
        <v>342</v>
      </c>
      <c r="H100" s="76">
        <v>716907010</v>
      </c>
      <c r="I100" s="186">
        <v>8</v>
      </c>
      <c r="J100" s="186">
        <v>17</v>
      </c>
      <c r="K100" s="186" t="s">
        <v>424</v>
      </c>
      <c r="L100" s="187">
        <v>46038</v>
      </c>
      <c r="M100" s="187">
        <v>46043</v>
      </c>
      <c r="N100" s="63"/>
      <c r="O100" s="63"/>
    </row>
    <row r="101" spans="1:15" s="81" customFormat="1" ht="51" customHeight="1">
      <c r="A101" s="80">
        <v>91</v>
      </c>
      <c r="B101" s="183" t="s">
        <v>566</v>
      </c>
      <c r="C101" s="183" t="s">
        <v>567</v>
      </c>
      <c r="D101" s="184" t="s">
        <v>159</v>
      </c>
      <c r="E101" s="186" t="s">
        <v>159</v>
      </c>
      <c r="F101" s="186">
        <v>252262205</v>
      </c>
      <c r="G101" s="186" t="s">
        <v>335</v>
      </c>
      <c r="H101" s="76">
        <v>769075048</v>
      </c>
      <c r="I101" s="186">
        <v>8</v>
      </c>
      <c r="J101" s="186">
        <v>4</v>
      </c>
      <c r="K101" s="186" t="s">
        <v>343</v>
      </c>
      <c r="L101" s="187">
        <v>46043</v>
      </c>
      <c r="M101" s="187">
        <v>46044</v>
      </c>
      <c r="N101" s="63"/>
      <c r="O101" s="63"/>
    </row>
    <row r="102" spans="1:15" s="81" customFormat="1" ht="51" customHeight="1">
      <c r="A102" s="80">
        <v>92</v>
      </c>
      <c r="B102" s="183" t="s">
        <v>568</v>
      </c>
      <c r="C102" s="183" t="s">
        <v>569</v>
      </c>
      <c r="D102" s="184" t="s">
        <v>159</v>
      </c>
      <c r="E102" s="186" t="s">
        <v>570</v>
      </c>
      <c r="F102" s="186">
        <v>252262156</v>
      </c>
      <c r="G102" s="186" t="s">
        <v>335</v>
      </c>
      <c r="H102" s="76">
        <v>714161205</v>
      </c>
      <c r="I102" s="186">
        <v>3</v>
      </c>
      <c r="J102" s="186">
        <v>2</v>
      </c>
      <c r="K102" s="186" t="s">
        <v>571</v>
      </c>
      <c r="L102" s="187">
        <v>46043</v>
      </c>
      <c r="M102" s="187">
        <v>46044</v>
      </c>
      <c r="N102" s="63"/>
      <c r="O102" s="63"/>
    </row>
    <row r="103" spans="1:15" s="81" customFormat="1" ht="51" customHeight="1">
      <c r="A103" s="80">
        <v>93</v>
      </c>
      <c r="B103" s="183" t="s">
        <v>572</v>
      </c>
      <c r="C103" s="183" t="s">
        <v>573</v>
      </c>
      <c r="D103" s="184" t="s">
        <v>159</v>
      </c>
      <c r="E103" s="186" t="s">
        <v>404</v>
      </c>
      <c r="F103" s="186">
        <v>252229893</v>
      </c>
      <c r="G103" s="186" t="s">
        <v>335</v>
      </c>
      <c r="H103" s="76">
        <v>716500108</v>
      </c>
      <c r="I103" s="186">
        <v>4</v>
      </c>
      <c r="J103" s="186">
        <v>3</v>
      </c>
      <c r="K103" s="186" t="s">
        <v>574</v>
      </c>
      <c r="L103" s="187">
        <v>46035</v>
      </c>
      <c r="M103" s="187">
        <v>46044</v>
      </c>
      <c r="N103" s="63"/>
      <c r="O103" s="63"/>
    </row>
    <row r="104" spans="1:15" s="81" customFormat="1" ht="51" customHeight="1">
      <c r="A104" s="80">
        <v>94</v>
      </c>
      <c r="B104" s="183" t="s">
        <v>575</v>
      </c>
      <c r="C104" s="183" t="s">
        <v>576</v>
      </c>
      <c r="D104" s="184" t="s">
        <v>159</v>
      </c>
      <c r="E104" s="186" t="s">
        <v>396</v>
      </c>
      <c r="F104" s="186">
        <v>252262173</v>
      </c>
      <c r="G104" s="186" t="s">
        <v>335</v>
      </c>
      <c r="H104" s="76">
        <v>704695667</v>
      </c>
      <c r="I104" s="186">
        <v>6</v>
      </c>
      <c r="J104" s="186">
        <v>2</v>
      </c>
      <c r="K104" s="186" t="s">
        <v>410</v>
      </c>
      <c r="L104" s="187">
        <v>46035</v>
      </c>
      <c r="M104" s="187">
        <v>46044</v>
      </c>
      <c r="N104" s="63"/>
      <c r="O104" s="63"/>
    </row>
    <row r="105" spans="1:15" s="81" customFormat="1" ht="51" customHeight="1">
      <c r="A105" s="80">
        <v>95</v>
      </c>
      <c r="B105" s="183" t="s">
        <v>577</v>
      </c>
      <c r="C105" s="183" t="s">
        <v>578</v>
      </c>
      <c r="D105" s="184" t="s">
        <v>159</v>
      </c>
      <c r="E105" s="186" t="s">
        <v>418</v>
      </c>
      <c r="F105" s="186">
        <v>252229945</v>
      </c>
      <c r="G105" s="186" t="s">
        <v>335</v>
      </c>
      <c r="H105" s="76">
        <v>715983551</v>
      </c>
      <c r="I105" s="186">
        <v>7</v>
      </c>
      <c r="J105" s="186">
        <v>22</v>
      </c>
      <c r="K105" s="186" t="s">
        <v>365</v>
      </c>
      <c r="L105" s="187">
        <v>46043</v>
      </c>
      <c r="M105" s="187">
        <v>46044</v>
      </c>
      <c r="N105" s="63"/>
      <c r="O105" s="63"/>
    </row>
    <row r="106" spans="1:15" s="81" customFormat="1" ht="51" customHeight="1">
      <c r="A106" s="80">
        <v>96</v>
      </c>
      <c r="B106" s="183" t="s">
        <v>579</v>
      </c>
      <c r="C106" s="183" t="s">
        <v>580</v>
      </c>
      <c r="D106" s="184" t="s">
        <v>159</v>
      </c>
      <c r="E106" s="186" t="s">
        <v>581</v>
      </c>
      <c r="F106" s="186">
        <v>252250223</v>
      </c>
      <c r="G106" s="186" t="s">
        <v>361</v>
      </c>
      <c r="H106" s="76">
        <v>716662908</v>
      </c>
      <c r="I106" s="186">
        <v>4</v>
      </c>
      <c r="J106" s="186">
        <v>4</v>
      </c>
      <c r="K106" s="186" t="s">
        <v>582</v>
      </c>
      <c r="L106" s="187">
        <v>46038</v>
      </c>
      <c r="M106" s="187">
        <v>46044</v>
      </c>
      <c r="N106" s="63"/>
      <c r="O106" s="63"/>
    </row>
    <row r="107" spans="1:15" s="81" customFormat="1" ht="51" customHeight="1">
      <c r="A107" s="80">
        <v>97</v>
      </c>
      <c r="B107" s="183" t="s">
        <v>583</v>
      </c>
      <c r="C107" s="183" t="s">
        <v>584</v>
      </c>
      <c r="D107" s="184" t="s">
        <v>159</v>
      </c>
      <c r="E107" s="186" t="s">
        <v>581</v>
      </c>
      <c r="F107" s="186">
        <v>252250436</v>
      </c>
      <c r="G107" s="186" t="s">
        <v>361</v>
      </c>
      <c r="H107" s="76">
        <v>713622014</v>
      </c>
      <c r="I107" s="186">
        <v>2</v>
      </c>
      <c r="J107" s="186">
        <v>4</v>
      </c>
      <c r="K107" s="186" t="s">
        <v>582</v>
      </c>
      <c r="L107" s="187">
        <v>46035</v>
      </c>
      <c r="M107" s="187">
        <v>46044</v>
      </c>
      <c r="N107" s="63"/>
      <c r="O107" s="63"/>
    </row>
    <row r="108" spans="1:15" s="81" customFormat="1" ht="51" customHeight="1">
      <c r="A108" s="80">
        <v>98</v>
      </c>
      <c r="B108" s="183" t="s">
        <v>585</v>
      </c>
      <c r="C108" s="183" t="s">
        <v>586</v>
      </c>
      <c r="D108" s="184" t="s">
        <v>159</v>
      </c>
      <c r="E108" s="186" t="s">
        <v>159</v>
      </c>
      <c r="F108" s="186">
        <v>252235484</v>
      </c>
      <c r="G108" s="186" t="s">
        <v>342</v>
      </c>
      <c r="H108" s="76">
        <v>718745197</v>
      </c>
      <c r="I108" s="186">
        <v>4</v>
      </c>
      <c r="J108" s="186">
        <v>18</v>
      </c>
      <c r="K108" s="186" t="s">
        <v>587</v>
      </c>
      <c r="L108" s="187">
        <v>46042</v>
      </c>
      <c r="M108" s="187">
        <v>46044</v>
      </c>
      <c r="N108" s="63"/>
      <c r="O108" s="63"/>
    </row>
    <row r="109" spans="1:15" s="81" customFormat="1" ht="51" customHeight="1">
      <c r="A109" s="80">
        <v>99</v>
      </c>
      <c r="B109" s="183" t="s">
        <v>588</v>
      </c>
      <c r="C109" s="183" t="s">
        <v>589</v>
      </c>
      <c r="D109" s="184" t="s">
        <v>159</v>
      </c>
      <c r="E109" s="186" t="s">
        <v>159</v>
      </c>
      <c r="F109" s="186">
        <v>252228151</v>
      </c>
      <c r="G109" s="186" t="s">
        <v>342</v>
      </c>
      <c r="H109" s="76">
        <v>717011889</v>
      </c>
      <c r="I109" s="186">
        <v>2</v>
      </c>
      <c r="J109" s="186">
        <v>15</v>
      </c>
      <c r="K109" s="186" t="s">
        <v>590</v>
      </c>
      <c r="L109" s="187">
        <v>46038</v>
      </c>
      <c r="M109" s="187">
        <v>46044</v>
      </c>
      <c r="N109" s="63"/>
      <c r="O109" s="63"/>
    </row>
    <row r="110" spans="1:15" s="81" customFormat="1" ht="51" customHeight="1">
      <c r="A110" s="80">
        <v>100</v>
      </c>
      <c r="B110" s="183" t="s">
        <v>591</v>
      </c>
      <c r="C110" s="183" t="s">
        <v>592</v>
      </c>
      <c r="D110" s="184" t="s">
        <v>159</v>
      </c>
      <c r="E110" s="186" t="s">
        <v>159</v>
      </c>
      <c r="F110" s="186">
        <v>252262563</v>
      </c>
      <c r="G110" s="186" t="s">
        <v>335</v>
      </c>
      <c r="H110" s="76"/>
      <c r="I110" s="186">
        <v>8</v>
      </c>
      <c r="J110" s="186">
        <v>42</v>
      </c>
      <c r="K110" s="186" t="s">
        <v>415</v>
      </c>
      <c r="L110" s="187">
        <v>46041</v>
      </c>
      <c r="M110" s="187">
        <v>46045</v>
      </c>
      <c r="N110" s="63"/>
      <c r="O110" s="63"/>
    </row>
    <row r="111" spans="1:15" s="81" customFormat="1" ht="51" customHeight="1">
      <c r="A111" s="80">
        <v>101</v>
      </c>
      <c r="B111" s="183" t="s">
        <v>593</v>
      </c>
      <c r="C111" s="183" t="s">
        <v>594</v>
      </c>
      <c r="D111" s="184" t="s">
        <v>159</v>
      </c>
      <c r="E111" s="186" t="s">
        <v>440</v>
      </c>
      <c r="F111" s="186">
        <v>252281283</v>
      </c>
      <c r="G111" s="186" t="s">
        <v>335</v>
      </c>
      <c r="H111" s="76">
        <v>776506213</v>
      </c>
      <c r="I111" s="186">
        <v>7</v>
      </c>
      <c r="J111" s="186">
        <v>2</v>
      </c>
      <c r="K111" s="186" t="s">
        <v>563</v>
      </c>
      <c r="L111" s="187">
        <v>46042</v>
      </c>
      <c r="M111" s="187">
        <v>46045</v>
      </c>
      <c r="N111" s="63"/>
      <c r="O111" s="63"/>
    </row>
    <row r="112" spans="1:15" s="81" customFormat="1" ht="51" customHeight="1">
      <c r="A112" s="80">
        <v>102</v>
      </c>
      <c r="B112" s="183" t="s">
        <v>595</v>
      </c>
      <c r="C112" s="183" t="s">
        <v>596</v>
      </c>
      <c r="D112" s="184" t="s">
        <v>159</v>
      </c>
      <c r="E112" s="186" t="s">
        <v>159</v>
      </c>
      <c r="F112" s="186">
        <v>252228861</v>
      </c>
      <c r="G112" s="186" t="s">
        <v>342</v>
      </c>
      <c r="H112" s="76">
        <v>716107000</v>
      </c>
      <c r="I112" s="186"/>
      <c r="J112" s="186">
        <v>47</v>
      </c>
      <c r="K112" s="186" t="s">
        <v>381</v>
      </c>
      <c r="L112" s="187">
        <v>46042</v>
      </c>
      <c r="M112" s="187">
        <v>46045</v>
      </c>
      <c r="N112" s="63"/>
      <c r="O112" s="63"/>
    </row>
    <row r="113" spans="1:15" s="81" customFormat="1" ht="51" customHeight="1">
      <c r="A113" s="80">
        <v>103</v>
      </c>
      <c r="B113" s="183" t="s">
        <v>597</v>
      </c>
      <c r="C113" s="183" t="s">
        <v>598</v>
      </c>
      <c r="D113" s="184" t="s">
        <v>159</v>
      </c>
      <c r="E113" s="186" t="s">
        <v>444</v>
      </c>
      <c r="F113" s="186">
        <v>252262831</v>
      </c>
      <c r="G113" s="186" t="s">
        <v>335</v>
      </c>
      <c r="H113" s="76">
        <v>718941831</v>
      </c>
      <c r="I113" s="186">
        <v>5</v>
      </c>
      <c r="J113" s="186">
        <v>2</v>
      </c>
      <c r="K113" s="186" t="s">
        <v>599</v>
      </c>
      <c r="L113" s="187">
        <v>46036</v>
      </c>
      <c r="M113" s="187">
        <v>46045</v>
      </c>
      <c r="N113" s="63"/>
      <c r="O113" s="63"/>
    </row>
    <row r="114" spans="1:15" s="81" customFormat="1" ht="51" customHeight="1">
      <c r="A114" s="80">
        <v>104</v>
      </c>
      <c r="B114" s="183" t="s">
        <v>600</v>
      </c>
      <c r="C114" s="183" t="s">
        <v>601</v>
      </c>
      <c r="D114" s="184" t="s">
        <v>159</v>
      </c>
      <c r="E114" s="186" t="s">
        <v>159</v>
      </c>
      <c r="F114" s="186">
        <v>252262966</v>
      </c>
      <c r="G114" s="186" t="s">
        <v>335</v>
      </c>
      <c r="H114" s="76">
        <v>714819330</v>
      </c>
      <c r="I114" s="186">
        <v>7</v>
      </c>
      <c r="J114" s="186">
        <v>34</v>
      </c>
      <c r="K114" s="186" t="s">
        <v>349</v>
      </c>
      <c r="L114" s="187">
        <v>46036</v>
      </c>
      <c r="M114" s="187">
        <v>46045</v>
      </c>
      <c r="N114" s="63"/>
      <c r="O114" s="63"/>
    </row>
    <row r="115" spans="1:15" s="81" customFormat="1" ht="51" customHeight="1">
      <c r="A115" s="80">
        <v>105</v>
      </c>
      <c r="B115" s="183" t="s">
        <v>602</v>
      </c>
      <c r="C115" s="183" t="s">
        <v>603</v>
      </c>
      <c r="D115" s="184" t="s">
        <v>159</v>
      </c>
      <c r="E115" s="186" t="s">
        <v>159</v>
      </c>
      <c r="F115" s="186">
        <v>252272101</v>
      </c>
      <c r="G115" s="186" t="s">
        <v>335</v>
      </c>
      <c r="H115" s="76">
        <v>770652100</v>
      </c>
      <c r="I115" s="186">
        <v>8</v>
      </c>
      <c r="J115" s="186">
        <v>44</v>
      </c>
      <c r="K115" s="186" t="s">
        <v>604</v>
      </c>
      <c r="L115" s="187">
        <v>46038</v>
      </c>
      <c r="M115" s="187">
        <v>46045</v>
      </c>
      <c r="N115" s="63"/>
      <c r="O115" s="63"/>
    </row>
    <row r="116" spans="1:15" s="81" customFormat="1" ht="51" customHeight="1">
      <c r="A116" s="80">
        <v>106</v>
      </c>
      <c r="B116" s="183" t="s">
        <v>605</v>
      </c>
      <c r="C116" s="183" t="s">
        <v>606</v>
      </c>
      <c r="D116" s="184" t="s">
        <v>159</v>
      </c>
      <c r="E116" s="186" t="s">
        <v>440</v>
      </c>
      <c r="F116" s="186">
        <v>252281234</v>
      </c>
      <c r="G116" s="186" t="s">
        <v>335</v>
      </c>
      <c r="H116" s="76">
        <v>760055123</v>
      </c>
      <c r="I116" s="186">
        <v>1</v>
      </c>
      <c r="J116" s="186">
        <v>2</v>
      </c>
      <c r="K116" s="186" t="s">
        <v>563</v>
      </c>
      <c r="L116" s="187">
        <v>46041</v>
      </c>
      <c r="M116" s="187">
        <v>46045</v>
      </c>
      <c r="N116" s="63"/>
      <c r="O116" s="63"/>
    </row>
    <row r="117" spans="1:15" s="81" customFormat="1" ht="51" customHeight="1">
      <c r="A117" s="80">
        <v>107</v>
      </c>
      <c r="B117" s="183" t="s">
        <v>600</v>
      </c>
      <c r="C117" s="183" t="s">
        <v>601</v>
      </c>
      <c r="D117" s="184" t="s">
        <v>159</v>
      </c>
      <c r="E117" s="186" t="s">
        <v>159</v>
      </c>
      <c r="F117" s="186">
        <v>252262977</v>
      </c>
      <c r="G117" s="186" t="s">
        <v>335</v>
      </c>
      <c r="H117" s="76">
        <v>714819330</v>
      </c>
      <c r="I117" s="186">
        <v>8</v>
      </c>
      <c r="J117" s="186">
        <v>34</v>
      </c>
      <c r="K117" s="186" t="s">
        <v>349</v>
      </c>
      <c r="L117" s="187">
        <v>46036</v>
      </c>
      <c r="M117" s="187">
        <v>46045</v>
      </c>
      <c r="N117" s="63"/>
      <c r="O117" s="63"/>
    </row>
    <row r="118" spans="1:15" s="81" customFormat="1" ht="51" customHeight="1">
      <c r="A118" s="80">
        <v>108</v>
      </c>
      <c r="B118" s="183" t="s">
        <v>607</v>
      </c>
      <c r="C118" s="183" t="s">
        <v>594</v>
      </c>
      <c r="D118" s="184" t="s">
        <v>159</v>
      </c>
      <c r="E118" s="186" t="s">
        <v>159</v>
      </c>
      <c r="F118" s="186">
        <v>252281170</v>
      </c>
      <c r="G118" s="186" t="s">
        <v>335</v>
      </c>
      <c r="H118" s="76">
        <v>786893477</v>
      </c>
      <c r="I118" s="186">
        <v>4</v>
      </c>
      <c r="J118" s="186">
        <v>2</v>
      </c>
      <c r="K118" s="186" t="s">
        <v>563</v>
      </c>
      <c r="L118" s="187">
        <v>46042</v>
      </c>
      <c r="M118" s="187">
        <v>46045</v>
      </c>
      <c r="N118" s="63"/>
      <c r="O118" s="63"/>
    </row>
    <row r="119" spans="1:15" s="81" customFormat="1" ht="51" customHeight="1">
      <c r="A119" s="80">
        <v>109</v>
      </c>
      <c r="B119" s="183" t="s">
        <v>608</v>
      </c>
      <c r="C119" s="183" t="s">
        <v>609</v>
      </c>
      <c r="D119" s="184" t="s">
        <v>159</v>
      </c>
      <c r="E119" s="186" t="s">
        <v>444</v>
      </c>
      <c r="F119" s="186">
        <v>252262327</v>
      </c>
      <c r="G119" s="186" t="s">
        <v>335</v>
      </c>
      <c r="H119" s="76">
        <v>771659327</v>
      </c>
      <c r="I119" s="186">
        <v>4</v>
      </c>
      <c r="J119" s="186">
        <v>2</v>
      </c>
      <c r="K119" s="186" t="s">
        <v>599</v>
      </c>
      <c r="L119" s="187">
        <v>46036</v>
      </c>
      <c r="M119" s="187">
        <v>46045</v>
      </c>
      <c r="N119" s="63"/>
      <c r="O119" s="63"/>
    </row>
    <row r="120" spans="1:15" s="81" customFormat="1" ht="51" customHeight="1">
      <c r="A120" s="80">
        <v>110</v>
      </c>
      <c r="B120" s="183" t="s">
        <v>610</v>
      </c>
      <c r="C120" s="183" t="s">
        <v>611</v>
      </c>
      <c r="D120" s="184" t="s">
        <v>159</v>
      </c>
      <c r="E120" s="186" t="s">
        <v>440</v>
      </c>
      <c r="F120" s="186">
        <v>252281158</v>
      </c>
      <c r="G120" s="186" t="s">
        <v>335</v>
      </c>
      <c r="H120" s="76">
        <v>768554848</v>
      </c>
      <c r="I120" s="186">
        <v>3</v>
      </c>
      <c r="J120" s="186">
        <v>2</v>
      </c>
      <c r="K120" s="186" t="s">
        <v>563</v>
      </c>
      <c r="L120" s="187">
        <v>46041</v>
      </c>
      <c r="M120" s="187">
        <v>46045</v>
      </c>
      <c r="N120" s="63"/>
      <c r="O120" s="63"/>
    </row>
    <row r="121" spans="1:15" s="81" customFormat="1" ht="51" customHeight="1">
      <c r="A121" s="80">
        <v>111</v>
      </c>
      <c r="B121" s="183" t="s">
        <v>612</v>
      </c>
      <c r="C121" s="183" t="s">
        <v>613</v>
      </c>
      <c r="D121" s="184" t="s">
        <v>159</v>
      </c>
      <c r="E121" s="186" t="s">
        <v>159</v>
      </c>
      <c r="F121" s="186">
        <v>252229640</v>
      </c>
      <c r="G121" s="186" t="s">
        <v>342</v>
      </c>
      <c r="H121" s="76">
        <v>761492625</v>
      </c>
      <c r="I121" s="186"/>
      <c r="J121" s="186">
        <v>47</v>
      </c>
      <c r="K121" s="186" t="s">
        <v>378</v>
      </c>
      <c r="L121" s="187">
        <v>46043</v>
      </c>
      <c r="M121" s="187">
        <v>46045</v>
      </c>
      <c r="N121" s="63"/>
      <c r="O121" s="63"/>
    </row>
    <row r="122" spans="1:15" s="81" customFormat="1" ht="51" customHeight="1">
      <c r="A122" s="80">
        <v>112</v>
      </c>
      <c r="B122" s="183" t="s">
        <v>614</v>
      </c>
      <c r="C122" s="183" t="s">
        <v>615</v>
      </c>
      <c r="D122" s="184" t="s">
        <v>159</v>
      </c>
      <c r="E122" s="186" t="s">
        <v>440</v>
      </c>
      <c r="F122" s="186">
        <v>252281282</v>
      </c>
      <c r="G122" s="186" t="s">
        <v>335</v>
      </c>
      <c r="H122" s="76">
        <v>768145066</v>
      </c>
      <c r="I122" s="186">
        <v>5</v>
      </c>
      <c r="J122" s="186">
        <v>2</v>
      </c>
      <c r="K122" s="186" t="s">
        <v>563</v>
      </c>
      <c r="L122" s="187">
        <v>46041</v>
      </c>
      <c r="M122" s="187">
        <v>46045</v>
      </c>
      <c r="N122" s="63"/>
      <c r="O122" s="63"/>
    </row>
    <row r="123" spans="1:15" s="81" customFormat="1" ht="51" customHeight="1">
      <c r="A123" s="80">
        <v>113</v>
      </c>
      <c r="B123" s="183" t="s">
        <v>602</v>
      </c>
      <c r="C123" s="183" t="s">
        <v>603</v>
      </c>
      <c r="D123" s="184" t="s">
        <v>159</v>
      </c>
      <c r="E123" s="186" t="s">
        <v>159</v>
      </c>
      <c r="F123" s="186">
        <v>252272100</v>
      </c>
      <c r="G123" s="186" t="s">
        <v>335</v>
      </c>
      <c r="H123" s="76">
        <v>770652100</v>
      </c>
      <c r="I123" s="186">
        <v>2</v>
      </c>
      <c r="J123" s="186">
        <v>44</v>
      </c>
      <c r="K123" s="186" t="s">
        <v>336</v>
      </c>
      <c r="L123" s="187">
        <v>46038</v>
      </c>
      <c r="M123" s="187">
        <v>46045</v>
      </c>
      <c r="N123" s="63"/>
      <c r="O123" s="63"/>
    </row>
    <row r="124" spans="1:15" s="81" customFormat="1" ht="51" customHeight="1">
      <c r="A124" s="80">
        <v>114</v>
      </c>
      <c r="B124" s="183" t="s">
        <v>616</v>
      </c>
      <c r="C124" s="189" t="s">
        <v>617</v>
      </c>
      <c r="D124" s="184" t="s">
        <v>159</v>
      </c>
      <c r="E124" s="186" t="s">
        <v>159</v>
      </c>
      <c r="F124" s="186">
        <v>252056587</v>
      </c>
      <c r="G124" s="186" t="s">
        <v>361</v>
      </c>
      <c r="H124" s="76">
        <v>714195167</v>
      </c>
      <c r="I124" s="186">
        <v>6</v>
      </c>
      <c r="J124" s="186">
        <v>18</v>
      </c>
      <c r="K124" s="186" t="s">
        <v>618</v>
      </c>
      <c r="L124" s="187">
        <v>46043</v>
      </c>
      <c r="M124" s="187">
        <v>46045</v>
      </c>
      <c r="N124" s="63"/>
      <c r="O124" s="63"/>
    </row>
    <row r="125" spans="1:15" s="81" customFormat="1" ht="51" customHeight="1">
      <c r="A125" s="80">
        <v>115</v>
      </c>
      <c r="B125" s="183" t="s">
        <v>602</v>
      </c>
      <c r="C125" s="183" t="s">
        <v>603</v>
      </c>
      <c r="D125" s="184" t="s">
        <v>159</v>
      </c>
      <c r="E125" s="186" t="s">
        <v>159</v>
      </c>
      <c r="F125" s="186">
        <v>252272103</v>
      </c>
      <c r="G125" s="186" t="s">
        <v>335</v>
      </c>
      <c r="H125" s="76">
        <v>770652100</v>
      </c>
      <c r="I125" s="186">
        <v>7</v>
      </c>
      <c r="J125" s="186">
        <v>4</v>
      </c>
      <c r="K125" s="186" t="s">
        <v>604</v>
      </c>
      <c r="L125" s="187">
        <v>46038</v>
      </c>
      <c r="M125" s="187">
        <v>46045</v>
      </c>
      <c r="N125" s="63"/>
      <c r="O125" s="63"/>
    </row>
    <row r="126" spans="1:15" s="81" customFormat="1" ht="51" customHeight="1">
      <c r="A126" s="80">
        <v>116</v>
      </c>
      <c r="B126" s="183" t="s">
        <v>619</v>
      </c>
      <c r="C126" s="183" t="s">
        <v>620</v>
      </c>
      <c r="D126" s="184" t="s">
        <v>159</v>
      </c>
      <c r="E126" s="186" t="s">
        <v>440</v>
      </c>
      <c r="F126" s="186">
        <v>252281154</v>
      </c>
      <c r="G126" s="186" t="s">
        <v>335</v>
      </c>
      <c r="H126" s="76">
        <v>763069896</v>
      </c>
      <c r="I126" s="186">
        <v>6</v>
      </c>
      <c r="J126" s="186">
        <v>2</v>
      </c>
      <c r="K126" s="186" t="s">
        <v>563</v>
      </c>
      <c r="L126" s="187">
        <v>46041</v>
      </c>
      <c r="M126" s="187">
        <v>46045</v>
      </c>
      <c r="N126" s="63"/>
      <c r="O126" s="63"/>
    </row>
    <row r="127" spans="1:15" s="81" customFormat="1" ht="51" customHeight="1">
      <c r="A127" s="80">
        <v>117</v>
      </c>
      <c r="B127" s="183" t="s">
        <v>621</v>
      </c>
      <c r="C127" s="183" t="s">
        <v>622</v>
      </c>
      <c r="D127" s="184" t="s">
        <v>159</v>
      </c>
      <c r="E127" s="186" t="s">
        <v>444</v>
      </c>
      <c r="F127" s="186">
        <v>252262565</v>
      </c>
      <c r="G127" s="186" t="s">
        <v>335</v>
      </c>
      <c r="H127" s="76">
        <v>775625556</v>
      </c>
      <c r="I127" s="186">
        <v>3</v>
      </c>
      <c r="J127" s="186">
        <v>2</v>
      </c>
      <c r="K127" s="186" t="s">
        <v>599</v>
      </c>
      <c r="L127" s="187">
        <v>46036</v>
      </c>
      <c r="M127" s="187">
        <v>46045</v>
      </c>
      <c r="N127" s="63"/>
      <c r="O127" s="63"/>
    </row>
    <row r="128" spans="1:15" s="81" customFormat="1" ht="51" customHeight="1">
      <c r="A128" s="80">
        <v>118</v>
      </c>
      <c r="B128" s="183" t="s">
        <v>600</v>
      </c>
      <c r="C128" s="183" t="s">
        <v>601</v>
      </c>
      <c r="D128" s="184" t="s">
        <v>159</v>
      </c>
      <c r="E128" s="186" t="s">
        <v>159</v>
      </c>
      <c r="F128" s="186">
        <v>252262877</v>
      </c>
      <c r="G128" s="186" t="s">
        <v>335</v>
      </c>
      <c r="H128" s="76">
        <v>714819330</v>
      </c>
      <c r="I128" s="186">
        <v>3</v>
      </c>
      <c r="J128" s="186">
        <v>35</v>
      </c>
      <c r="K128" s="186" t="s">
        <v>349</v>
      </c>
      <c r="L128" s="187">
        <v>46036</v>
      </c>
      <c r="M128" s="187">
        <v>46045</v>
      </c>
      <c r="N128" s="63"/>
      <c r="O128" s="63"/>
    </row>
    <row r="129" spans="1:15" s="81" customFormat="1" ht="51" customHeight="1">
      <c r="A129" s="80">
        <v>119</v>
      </c>
      <c r="B129" s="182" t="s">
        <v>600</v>
      </c>
      <c r="C129" s="183" t="s">
        <v>601</v>
      </c>
      <c r="D129" s="184" t="s">
        <v>159</v>
      </c>
      <c r="E129" s="186" t="s">
        <v>159</v>
      </c>
      <c r="F129" s="186">
        <v>252262866</v>
      </c>
      <c r="G129" s="186" t="s">
        <v>335</v>
      </c>
      <c r="H129" s="76">
        <v>714819330</v>
      </c>
      <c r="I129" s="186">
        <v>8</v>
      </c>
      <c r="J129" s="186">
        <v>37</v>
      </c>
      <c r="K129" s="186" t="s">
        <v>349</v>
      </c>
      <c r="L129" s="187">
        <v>46036</v>
      </c>
      <c r="M129" s="187">
        <v>46045</v>
      </c>
      <c r="N129" s="63"/>
      <c r="O129" s="63"/>
    </row>
    <row r="130" spans="1:15" s="81" customFormat="1" ht="51" customHeight="1">
      <c r="A130" s="80">
        <v>120</v>
      </c>
      <c r="B130" s="183" t="s">
        <v>623</v>
      </c>
      <c r="C130" s="183" t="s">
        <v>624</v>
      </c>
      <c r="D130" s="184" t="s">
        <v>159</v>
      </c>
      <c r="E130" s="186" t="s">
        <v>418</v>
      </c>
      <c r="F130" s="186">
        <v>252121876</v>
      </c>
      <c r="G130" s="186" t="s">
        <v>342</v>
      </c>
      <c r="H130" s="76">
        <v>710150539</v>
      </c>
      <c r="I130" s="186">
        <v>4</v>
      </c>
      <c r="J130" s="186">
        <v>21</v>
      </c>
      <c r="K130" s="186" t="s">
        <v>625</v>
      </c>
      <c r="L130" s="187">
        <v>46035</v>
      </c>
      <c r="M130" s="187">
        <v>46045</v>
      </c>
      <c r="N130" s="63"/>
      <c r="O130" s="63"/>
    </row>
    <row r="131" spans="1:15" s="81" customFormat="1" ht="51" customHeight="1">
      <c r="A131" s="80">
        <v>121</v>
      </c>
      <c r="B131" s="183" t="s">
        <v>626</v>
      </c>
      <c r="C131" s="183" t="s">
        <v>627</v>
      </c>
      <c r="D131" s="184" t="s">
        <v>159</v>
      </c>
      <c r="E131" s="186" t="s">
        <v>444</v>
      </c>
      <c r="F131" s="186">
        <v>252230585</v>
      </c>
      <c r="G131" s="186" t="s">
        <v>335</v>
      </c>
      <c r="H131" s="76">
        <v>778412192</v>
      </c>
      <c r="I131" s="186">
        <v>6</v>
      </c>
      <c r="J131" s="186">
        <v>2</v>
      </c>
      <c r="K131" s="186" t="s">
        <v>599</v>
      </c>
      <c r="L131" s="187">
        <v>46036</v>
      </c>
      <c r="M131" s="187">
        <v>46045</v>
      </c>
      <c r="N131" s="63"/>
      <c r="O131" s="63"/>
    </row>
    <row r="132" spans="1:15" s="81" customFormat="1" ht="51" customHeight="1">
      <c r="A132" s="80">
        <v>122</v>
      </c>
      <c r="B132" s="183" t="s">
        <v>628</v>
      </c>
      <c r="C132" s="183" t="s">
        <v>629</v>
      </c>
      <c r="D132" s="184" t="s">
        <v>159</v>
      </c>
      <c r="E132" s="186" t="s">
        <v>159</v>
      </c>
      <c r="F132" s="186">
        <v>252234982</v>
      </c>
      <c r="G132" s="186" t="s">
        <v>342</v>
      </c>
      <c r="H132" s="76">
        <v>719212657</v>
      </c>
      <c r="I132" s="186"/>
      <c r="J132" s="186">
        <v>44</v>
      </c>
      <c r="K132" s="186" t="s">
        <v>376</v>
      </c>
      <c r="L132" s="187">
        <v>46041</v>
      </c>
      <c r="M132" s="187">
        <v>46045</v>
      </c>
      <c r="N132" s="63"/>
      <c r="O132" s="63"/>
    </row>
    <row r="133" spans="1:15" s="81" customFormat="1" ht="51" customHeight="1">
      <c r="A133" s="80">
        <v>123</v>
      </c>
      <c r="B133" s="183" t="s">
        <v>630</v>
      </c>
      <c r="C133" s="183" t="s">
        <v>631</v>
      </c>
      <c r="D133" s="184" t="s">
        <v>159</v>
      </c>
      <c r="E133" s="186" t="s">
        <v>433</v>
      </c>
      <c r="F133" s="186">
        <v>252229926</v>
      </c>
      <c r="G133" s="186" t="s">
        <v>335</v>
      </c>
      <c r="H133" s="76">
        <v>779210842</v>
      </c>
      <c r="I133" s="186">
        <v>3</v>
      </c>
      <c r="J133" s="186">
        <v>2</v>
      </c>
      <c r="K133" s="186" t="s">
        <v>632</v>
      </c>
      <c r="L133" s="187">
        <v>46045</v>
      </c>
      <c r="M133" s="187">
        <v>46045</v>
      </c>
      <c r="N133" s="63"/>
      <c r="O133" s="63"/>
    </row>
    <row r="134" spans="1:15" s="81" customFormat="1" ht="51" customHeight="1">
      <c r="A134" s="80">
        <v>124</v>
      </c>
      <c r="B134" s="183" t="s">
        <v>633</v>
      </c>
      <c r="C134" s="183" t="s">
        <v>634</v>
      </c>
      <c r="D134" s="184" t="s">
        <v>159</v>
      </c>
      <c r="E134" s="186" t="s">
        <v>159</v>
      </c>
      <c r="F134" s="186">
        <v>252229968</v>
      </c>
      <c r="G134" s="186" t="s">
        <v>335</v>
      </c>
      <c r="H134" s="76">
        <v>716541008</v>
      </c>
      <c r="I134" s="186">
        <v>6</v>
      </c>
      <c r="J134" s="186">
        <v>2</v>
      </c>
      <c r="K134" s="186" t="s">
        <v>346</v>
      </c>
      <c r="L134" s="187">
        <v>46043</v>
      </c>
      <c r="M134" s="187">
        <v>46045</v>
      </c>
      <c r="N134" s="63"/>
      <c r="O134" s="63"/>
    </row>
    <row r="135" spans="1:15" s="81" customFormat="1" ht="51" customHeight="1">
      <c r="A135" s="80">
        <v>125</v>
      </c>
      <c r="B135" s="183" t="s">
        <v>635</v>
      </c>
      <c r="C135" s="183" t="s">
        <v>636</v>
      </c>
      <c r="D135" s="184" t="s">
        <v>159</v>
      </c>
      <c r="E135" s="186" t="s">
        <v>581</v>
      </c>
      <c r="F135" s="186">
        <v>252229934</v>
      </c>
      <c r="G135" s="186" t="s">
        <v>335</v>
      </c>
      <c r="H135" s="76">
        <v>716731005</v>
      </c>
      <c r="I135" s="186">
        <v>5</v>
      </c>
      <c r="J135" s="186">
        <v>4</v>
      </c>
      <c r="K135" s="192" t="s">
        <v>582</v>
      </c>
      <c r="L135" s="187">
        <v>46036</v>
      </c>
      <c r="M135" s="187">
        <v>46046</v>
      </c>
      <c r="N135" s="63"/>
      <c r="O135" s="63"/>
    </row>
    <row r="136" spans="1:15" s="81" customFormat="1" ht="51" customHeight="1">
      <c r="A136" s="80">
        <v>126</v>
      </c>
      <c r="B136" s="183" t="s">
        <v>633</v>
      </c>
      <c r="C136" s="183" t="s">
        <v>634</v>
      </c>
      <c r="D136" s="184" t="s">
        <v>159</v>
      </c>
      <c r="E136" s="186" t="s">
        <v>159</v>
      </c>
      <c r="F136" s="186">
        <v>252229967</v>
      </c>
      <c r="G136" s="186" t="s">
        <v>335</v>
      </c>
      <c r="H136" s="76">
        <v>716541008</v>
      </c>
      <c r="I136" s="186">
        <v>5</v>
      </c>
      <c r="J136" s="186">
        <v>2</v>
      </c>
      <c r="K136" s="186" t="s">
        <v>508</v>
      </c>
      <c r="L136" s="187">
        <v>46043</v>
      </c>
      <c r="M136" s="187">
        <v>46046</v>
      </c>
      <c r="N136" s="63"/>
      <c r="O136" s="63"/>
    </row>
    <row r="137" spans="1:15" s="81" customFormat="1" ht="51" customHeight="1">
      <c r="A137" s="80">
        <v>127</v>
      </c>
      <c r="B137" s="188" t="s">
        <v>637</v>
      </c>
      <c r="C137" s="183" t="s">
        <v>638</v>
      </c>
      <c r="D137" s="184" t="s">
        <v>159</v>
      </c>
      <c r="E137" s="186" t="s">
        <v>581</v>
      </c>
      <c r="F137" s="186">
        <v>252229853</v>
      </c>
      <c r="G137" s="186" t="s">
        <v>335</v>
      </c>
      <c r="H137" s="76">
        <v>775806214</v>
      </c>
      <c r="I137" s="186">
        <v>4</v>
      </c>
      <c r="J137" s="186">
        <v>4</v>
      </c>
      <c r="K137" s="186" t="s">
        <v>582</v>
      </c>
      <c r="L137" s="187">
        <v>46037</v>
      </c>
      <c r="M137" s="187">
        <v>46046</v>
      </c>
      <c r="N137" s="63"/>
      <c r="O137" s="63"/>
    </row>
    <row r="138" spans="1:15" s="81" customFormat="1" ht="51" customHeight="1">
      <c r="A138" s="80">
        <v>128</v>
      </c>
      <c r="B138" s="183" t="s">
        <v>639</v>
      </c>
      <c r="C138" s="183" t="s">
        <v>640</v>
      </c>
      <c r="D138" s="184" t="s">
        <v>159</v>
      </c>
      <c r="E138" s="186" t="s">
        <v>444</v>
      </c>
      <c r="F138" s="186">
        <v>252230596</v>
      </c>
      <c r="G138" s="186" t="s">
        <v>335</v>
      </c>
      <c r="H138" s="76">
        <v>718589279</v>
      </c>
      <c r="I138" s="186">
        <v>7</v>
      </c>
      <c r="J138" s="186">
        <v>2</v>
      </c>
      <c r="K138" s="186" t="s">
        <v>599</v>
      </c>
      <c r="L138" s="187">
        <v>46037</v>
      </c>
      <c r="M138" s="187">
        <v>46046</v>
      </c>
      <c r="N138" s="63"/>
      <c r="O138" s="63"/>
    </row>
    <row r="139" spans="1:15" s="81" customFormat="1" ht="51" customHeight="1">
      <c r="A139" s="80">
        <v>129</v>
      </c>
      <c r="B139" s="183" t="s">
        <v>641</v>
      </c>
      <c r="C139" s="183" t="s">
        <v>638</v>
      </c>
      <c r="D139" s="184" t="s">
        <v>159</v>
      </c>
      <c r="E139" s="186" t="s">
        <v>581</v>
      </c>
      <c r="F139" s="186">
        <v>252229932</v>
      </c>
      <c r="G139" s="186" t="s">
        <v>335</v>
      </c>
      <c r="H139" s="76">
        <v>714635966</v>
      </c>
      <c r="I139" s="186">
        <v>3</v>
      </c>
      <c r="J139" s="186">
        <v>4</v>
      </c>
      <c r="K139" s="186" t="s">
        <v>582</v>
      </c>
      <c r="L139" s="187">
        <v>46036</v>
      </c>
      <c r="M139" s="187">
        <v>46046</v>
      </c>
      <c r="N139" s="63"/>
      <c r="O139" s="63"/>
    </row>
    <row r="140" spans="1:15" s="81" customFormat="1" ht="51" customHeight="1">
      <c r="A140" s="80">
        <v>130</v>
      </c>
      <c r="B140" s="183" t="s">
        <v>642</v>
      </c>
      <c r="C140" s="183" t="s">
        <v>643</v>
      </c>
      <c r="D140" s="184" t="s">
        <v>159</v>
      </c>
      <c r="E140" s="186" t="s">
        <v>159</v>
      </c>
      <c r="F140" s="186">
        <v>252229975</v>
      </c>
      <c r="G140" s="186" t="s">
        <v>335</v>
      </c>
      <c r="H140" s="76">
        <v>768524329</v>
      </c>
      <c r="I140" s="186">
        <v>8</v>
      </c>
      <c r="J140" s="186">
        <v>19</v>
      </c>
      <c r="K140" s="186" t="s">
        <v>393</v>
      </c>
      <c r="L140" s="187">
        <v>46043</v>
      </c>
      <c r="M140" s="187">
        <v>46047</v>
      </c>
      <c r="N140" s="63"/>
      <c r="O140" s="63"/>
    </row>
    <row r="141" spans="1:15" s="81" customFormat="1" ht="51" customHeight="1">
      <c r="A141" s="80">
        <v>131</v>
      </c>
      <c r="B141" s="189" t="s">
        <v>644</v>
      </c>
      <c r="C141" s="189" t="s">
        <v>645</v>
      </c>
      <c r="D141" s="184" t="s">
        <v>159</v>
      </c>
      <c r="E141" s="76" t="s">
        <v>159</v>
      </c>
      <c r="F141" s="76">
        <v>252230583</v>
      </c>
      <c r="G141" s="76" t="s">
        <v>335</v>
      </c>
      <c r="H141" s="76">
        <v>701295006</v>
      </c>
      <c r="I141" s="76">
        <v>7</v>
      </c>
      <c r="J141" s="76">
        <v>22</v>
      </c>
      <c r="K141" s="76" t="s">
        <v>427</v>
      </c>
      <c r="L141" s="191">
        <v>46047</v>
      </c>
      <c r="M141" s="191">
        <v>46047</v>
      </c>
      <c r="N141" s="63"/>
      <c r="O141" s="63"/>
    </row>
    <row r="142" spans="1:15" s="81" customFormat="1" ht="51" customHeight="1">
      <c r="A142" s="80">
        <v>132</v>
      </c>
      <c r="B142" s="189" t="s">
        <v>646</v>
      </c>
      <c r="C142" s="189" t="s">
        <v>647</v>
      </c>
      <c r="D142" s="184" t="s">
        <v>159</v>
      </c>
      <c r="E142" s="76" t="s">
        <v>418</v>
      </c>
      <c r="F142" s="76">
        <v>252230574</v>
      </c>
      <c r="G142" s="76" t="s">
        <v>335</v>
      </c>
      <c r="H142" s="76">
        <v>717495267</v>
      </c>
      <c r="I142" s="76">
        <v>1</v>
      </c>
      <c r="J142" s="76">
        <v>2</v>
      </c>
      <c r="K142" s="76" t="s">
        <v>648</v>
      </c>
      <c r="L142" s="191">
        <v>46045</v>
      </c>
      <c r="M142" s="191">
        <v>46047</v>
      </c>
      <c r="N142" s="63"/>
      <c r="O142" s="63"/>
    </row>
    <row r="143" spans="1:15" s="81" customFormat="1" ht="51" customHeight="1">
      <c r="A143" s="80">
        <v>133</v>
      </c>
      <c r="B143" s="189" t="s">
        <v>649</v>
      </c>
      <c r="C143" s="193" t="s">
        <v>650</v>
      </c>
      <c r="D143" s="184" t="s">
        <v>159</v>
      </c>
      <c r="E143" s="76" t="s">
        <v>159</v>
      </c>
      <c r="F143" s="76">
        <v>252272424</v>
      </c>
      <c r="G143" s="76" t="s">
        <v>335</v>
      </c>
      <c r="H143" s="76">
        <v>718073332</v>
      </c>
      <c r="I143" s="76">
        <v>7</v>
      </c>
      <c r="J143" s="76">
        <v>14</v>
      </c>
      <c r="K143" s="76" t="s">
        <v>651</v>
      </c>
      <c r="L143" s="191">
        <v>46045</v>
      </c>
      <c r="M143" s="191">
        <v>46047</v>
      </c>
      <c r="N143" s="63"/>
      <c r="O143" s="63"/>
    </row>
    <row r="144" spans="1:15" s="81" customFormat="1" ht="51" customHeight="1">
      <c r="A144" s="80">
        <v>134</v>
      </c>
      <c r="B144" s="189" t="s">
        <v>652</v>
      </c>
      <c r="C144" s="189" t="s">
        <v>653</v>
      </c>
      <c r="D144" s="184" t="s">
        <v>159</v>
      </c>
      <c r="E144" s="76" t="s">
        <v>433</v>
      </c>
      <c r="F144" s="76">
        <v>252229928</v>
      </c>
      <c r="G144" s="76" t="s">
        <v>335</v>
      </c>
      <c r="H144" s="76">
        <v>740013424</v>
      </c>
      <c r="I144" s="76">
        <v>2</v>
      </c>
      <c r="J144" s="76">
        <v>2</v>
      </c>
      <c r="K144" s="76" t="s">
        <v>632</v>
      </c>
      <c r="L144" s="191">
        <v>46045</v>
      </c>
      <c r="M144" s="191">
        <v>46047</v>
      </c>
      <c r="N144" s="63"/>
      <c r="O144" s="63"/>
    </row>
    <row r="145" spans="1:15" s="81" customFormat="1" ht="51" customHeight="1">
      <c r="A145" s="80">
        <v>135</v>
      </c>
      <c r="B145" s="189" t="s">
        <v>654</v>
      </c>
      <c r="C145" s="182" t="s">
        <v>655</v>
      </c>
      <c r="D145" s="184" t="s">
        <v>159</v>
      </c>
      <c r="E145" s="76" t="s">
        <v>440</v>
      </c>
      <c r="F145" s="76">
        <v>252229953</v>
      </c>
      <c r="G145" s="76" t="s">
        <v>335</v>
      </c>
      <c r="H145" s="76">
        <v>768501985</v>
      </c>
      <c r="I145" s="76">
        <v>5</v>
      </c>
      <c r="J145" s="76">
        <v>11</v>
      </c>
      <c r="K145" s="76" t="s">
        <v>656</v>
      </c>
      <c r="L145" s="191">
        <v>46044</v>
      </c>
      <c r="M145" s="191">
        <v>46047</v>
      </c>
      <c r="N145" s="63"/>
      <c r="O145" s="63"/>
    </row>
    <row r="146" spans="1:15" s="81" customFormat="1" ht="51" customHeight="1">
      <c r="A146" s="80">
        <v>136</v>
      </c>
      <c r="B146" s="189" t="s">
        <v>657</v>
      </c>
      <c r="C146" s="189" t="s">
        <v>658</v>
      </c>
      <c r="D146" s="184" t="s">
        <v>159</v>
      </c>
      <c r="E146" s="76" t="s">
        <v>159</v>
      </c>
      <c r="F146" s="76">
        <v>252229974</v>
      </c>
      <c r="G146" s="76" t="s">
        <v>456</v>
      </c>
      <c r="H146" s="76">
        <v>757185902</v>
      </c>
      <c r="I146" s="76">
        <v>7</v>
      </c>
      <c r="J146" s="76">
        <v>34</v>
      </c>
      <c r="K146" s="76" t="s">
        <v>500</v>
      </c>
      <c r="L146" s="191">
        <v>46045</v>
      </c>
      <c r="M146" s="191">
        <v>46047</v>
      </c>
      <c r="N146" s="63"/>
      <c r="O146" s="63"/>
    </row>
    <row r="147" spans="1:15" s="81" customFormat="1" ht="51" customHeight="1">
      <c r="A147" s="80">
        <v>137</v>
      </c>
      <c r="B147" s="189" t="s">
        <v>659</v>
      </c>
      <c r="C147" s="189" t="s">
        <v>660</v>
      </c>
      <c r="D147" s="184" t="s">
        <v>159</v>
      </c>
      <c r="E147" s="76" t="s">
        <v>440</v>
      </c>
      <c r="F147" s="76">
        <v>252249562</v>
      </c>
      <c r="G147" s="76" t="s">
        <v>361</v>
      </c>
      <c r="H147" s="76">
        <v>711554069</v>
      </c>
      <c r="I147" s="76">
        <v>5</v>
      </c>
      <c r="J147" s="76">
        <v>14</v>
      </c>
      <c r="K147" s="76" t="s">
        <v>441</v>
      </c>
      <c r="L147" s="191">
        <v>46046</v>
      </c>
      <c r="M147" s="191">
        <v>46047</v>
      </c>
      <c r="N147" s="63"/>
      <c r="O147" s="63"/>
    </row>
    <row r="148" spans="1:15" s="81" customFormat="1" ht="51" customHeight="1">
      <c r="A148" s="80">
        <v>138</v>
      </c>
      <c r="B148" s="189" t="s">
        <v>661</v>
      </c>
      <c r="C148" s="189" t="s">
        <v>662</v>
      </c>
      <c r="D148" s="184" t="s">
        <v>159</v>
      </c>
      <c r="E148" s="76" t="s">
        <v>159</v>
      </c>
      <c r="F148" s="76">
        <v>252229846</v>
      </c>
      <c r="G148" s="76" t="s">
        <v>342</v>
      </c>
      <c r="H148" s="76">
        <v>717777012</v>
      </c>
      <c r="I148" s="76">
        <v>7</v>
      </c>
      <c r="J148" s="76">
        <v>2</v>
      </c>
      <c r="K148" s="76" t="s">
        <v>663</v>
      </c>
      <c r="L148" s="191">
        <v>46035</v>
      </c>
      <c r="M148" s="191">
        <v>46047</v>
      </c>
      <c r="N148" s="63"/>
      <c r="O148" s="63"/>
    </row>
    <row r="149" spans="1:15" s="81" customFormat="1" ht="51" customHeight="1">
      <c r="A149" s="80">
        <v>139</v>
      </c>
      <c r="B149" s="189" t="s">
        <v>664</v>
      </c>
      <c r="C149" s="189" t="s">
        <v>665</v>
      </c>
      <c r="D149" s="184" t="s">
        <v>159</v>
      </c>
      <c r="E149" s="76" t="s">
        <v>159</v>
      </c>
      <c r="F149" s="76">
        <v>252229964</v>
      </c>
      <c r="G149" s="76" t="s">
        <v>335</v>
      </c>
      <c r="H149" s="77">
        <v>716839405</v>
      </c>
      <c r="I149" s="76">
        <v>1</v>
      </c>
      <c r="J149" s="76">
        <v>9</v>
      </c>
      <c r="K149" s="76" t="s">
        <v>666</v>
      </c>
      <c r="L149" s="191">
        <v>46046</v>
      </c>
      <c r="M149" s="191">
        <v>46048</v>
      </c>
      <c r="N149" s="63"/>
      <c r="O149" s="63"/>
    </row>
    <row r="150" spans="1:15" s="81" customFormat="1" ht="51" customHeight="1">
      <c r="A150" s="80">
        <v>140</v>
      </c>
      <c r="B150" s="189" t="s">
        <v>667</v>
      </c>
      <c r="C150" s="189" t="s">
        <v>668</v>
      </c>
      <c r="D150" s="184" t="s">
        <v>159</v>
      </c>
      <c r="E150" s="76" t="s">
        <v>400</v>
      </c>
      <c r="F150" s="76">
        <v>252229949</v>
      </c>
      <c r="G150" s="76" t="s">
        <v>335</v>
      </c>
      <c r="H150" s="76">
        <v>704478888</v>
      </c>
      <c r="I150" s="76">
        <v>7</v>
      </c>
      <c r="J150" s="76">
        <v>71</v>
      </c>
      <c r="K150" s="76" t="s">
        <v>669</v>
      </c>
      <c r="L150" s="191">
        <v>46049</v>
      </c>
      <c r="M150" s="191">
        <v>46049</v>
      </c>
      <c r="N150" s="63"/>
      <c r="O150" s="63"/>
    </row>
    <row r="151" spans="1:15" s="81" customFormat="1" ht="51" customHeight="1">
      <c r="A151" s="80">
        <v>141</v>
      </c>
      <c r="B151" s="189" t="s">
        <v>670</v>
      </c>
      <c r="C151" s="189" t="s">
        <v>671</v>
      </c>
      <c r="D151" s="184" t="s">
        <v>159</v>
      </c>
      <c r="E151" s="76" t="s">
        <v>159</v>
      </c>
      <c r="F151" s="76">
        <v>252230569</v>
      </c>
      <c r="G151" s="76" t="s">
        <v>335</v>
      </c>
      <c r="H151" s="76">
        <v>711858557</v>
      </c>
      <c r="I151" s="76">
        <v>7</v>
      </c>
      <c r="J151" s="76">
        <v>21</v>
      </c>
      <c r="K151" s="76" t="s">
        <v>530</v>
      </c>
      <c r="L151" s="191">
        <v>46042</v>
      </c>
      <c r="M151" s="191">
        <v>46049</v>
      </c>
      <c r="N151" s="63"/>
      <c r="O151" s="63"/>
    </row>
    <row r="152" spans="1:15" s="81" customFormat="1" ht="51" customHeight="1">
      <c r="A152" s="80">
        <v>142</v>
      </c>
      <c r="B152" s="189" t="s">
        <v>672</v>
      </c>
      <c r="C152" s="189" t="s">
        <v>673</v>
      </c>
      <c r="D152" s="184" t="s">
        <v>159</v>
      </c>
      <c r="E152" s="76" t="s">
        <v>159</v>
      </c>
      <c r="F152" s="76">
        <v>252298003</v>
      </c>
      <c r="G152" s="76" t="s">
        <v>335</v>
      </c>
      <c r="H152" s="76">
        <v>777931970</v>
      </c>
      <c r="I152" s="76">
        <v>1</v>
      </c>
      <c r="J152" s="76">
        <v>13</v>
      </c>
      <c r="K152" s="76" t="s">
        <v>674</v>
      </c>
      <c r="L152" s="191">
        <v>46047</v>
      </c>
      <c r="M152" s="191">
        <v>46049</v>
      </c>
      <c r="N152" s="63"/>
      <c r="O152" s="63"/>
    </row>
    <row r="153" spans="1:15" s="81" customFormat="1" ht="51" customHeight="1">
      <c r="A153" s="80">
        <v>143</v>
      </c>
      <c r="B153" s="189" t="s">
        <v>675</v>
      </c>
      <c r="C153" s="189" t="s">
        <v>676</v>
      </c>
      <c r="D153" s="184" t="s">
        <v>159</v>
      </c>
      <c r="E153" s="76" t="s">
        <v>159</v>
      </c>
      <c r="F153" s="76">
        <v>252237638</v>
      </c>
      <c r="G153" s="76" t="s">
        <v>361</v>
      </c>
      <c r="H153" s="76">
        <v>717352544</v>
      </c>
      <c r="I153" s="76">
        <v>2</v>
      </c>
      <c r="J153" s="76">
        <v>13</v>
      </c>
      <c r="K153" s="76" t="s">
        <v>677</v>
      </c>
      <c r="L153" s="191">
        <v>46048</v>
      </c>
      <c r="M153" s="191">
        <v>46049</v>
      </c>
      <c r="N153" s="63"/>
      <c r="O153" s="63"/>
    </row>
    <row r="154" spans="1:15" s="81" customFormat="1" ht="51" customHeight="1">
      <c r="A154" s="80">
        <v>144</v>
      </c>
      <c r="B154" s="189" t="s">
        <v>678</v>
      </c>
      <c r="C154" s="189" t="s">
        <v>679</v>
      </c>
      <c r="D154" s="184" t="s">
        <v>159</v>
      </c>
      <c r="E154" s="76" t="s">
        <v>433</v>
      </c>
      <c r="F154" s="76">
        <v>252229957</v>
      </c>
      <c r="G154" s="76" t="s">
        <v>335</v>
      </c>
      <c r="H154" s="76">
        <v>710625990</v>
      </c>
      <c r="I154" s="76">
        <v>8</v>
      </c>
      <c r="J154" s="76">
        <v>5</v>
      </c>
      <c r="K154" s="76" t="s">
        <v>434</v>
      </c>
      <c r="L154" s="191">
        <v>46046</v>
      </c>
      <c r="M154" s="191">
        <v>46049</v>
      </c>
      <c r="N154" s="63"/>
      <c r="O154" s="63"/>
    </row>
    <row r="155" spans="1:15" s="81" customFormat="1" ht="51" customHeight="1">
      <c r="A155" s="80">
        <v>145</v>
      </c>
      <c r="B155" s="189" t="s">
        <v>680</v>
      </c>
      <c r="C155" s="189" t="s">
        <v>681</v>
      </c>
      <c r="D155" s="184" t="s">
        <v>159</v>
      </c>
      <c r="E155" s="76" t="s">
        <v>440</v>
      </c>
      <c r="F155" s="76">
        <v>252229956</v>
      </c>
      <c r="G155" s="76" t="s">
        <v>335</v>
      </c>
      <c r="H155" s="76">
        <v>741617832</v>
      </c>
      <c r="I155" s="76">
        <v>3</v>
      </c>
      <c r="J155" s="76">
        <v>11</v>
      </c>
      <c r="K155" s="76" t="s">
        <v>656</v>
      </c>
      <c r="L155" s="191">
        <v>46043</v>
      </c>
      <c r="M155" s="191">
        <v>46049</v>
      </c>
      <c r="N155" s="63"/>
      <c r="O155" s="63"/>
    </row>
    <row r="156" spans="1:15" s="81" customFormat="1" ht="51" customHeight="1">
      <c r="A156" s="80">
        <v>146</v>
      </c>
      <c r="B156" s="189" t="s">
        <v>682</v>
      </c>
      <c r="C156" s="189" t="s">
        <v>683</v>
      </c>
      <c r="D156" s="184" t="s">
        <v>159</v>
      </c>
      <c r="E156" s="76" t="s">
        <v>400</v>
      </c>
      <c r="F156" s="76">
        <v>252230587</v>
      </c>
      <c r="G156" s="76" t="s">
        <v>335</v>
      </c>
      <c r="H156" s="76">
        <v>774569359</v>
      </c>
      <c r="I156" s="76">
        <v>6</v>
      </c>
      <c r="J156" s="76">
        <v>8</v>
      </c>
      <c r="K156" s="76" t="s">
        <v>684</v>
      </c>
      <c r="L156" s="191">
        <v>46049</v>
      </c>
      <c r="M156" s="191">
        <v>46050</v>
      </c>
      <c r="N156" s="63"/>
      <c r="O156" s="63"/>
    </row>
    <row r="157" spans="1:15" s="81" customFormat="1" ht="51" customHeight="1">
      <c r="A157" s="80">
        <v>147</v>
      </c>
      <c r="B157" s="189" t="s">
        <v>685</v>
      </c>
      <c r="C157" s="189" t="s">
        <v>686</v>
      </c>
      <c r="D157" s="184" t="s">
        <v>159</v>
      </c>
      <c r="E157" s="76" t="s">
        <v>159</v>
      </c>
      <c r="F157" s="76">
        <v>252230602</v>
      </c>
      <c r="G157" s="76" t="s">
        <v>335</v>
      </c>
      <c r="H157" s="76">
        <v>706662002</v>
      </c>
      <c r="I157" s="76">
        <v>7</v>
      </c>
      <c r="J157" s="76">
        <v>42</v>
      </c>
      <c r="K157" s="76" t="s">
        <v>336</v>
      </c>
      <c r="L157" s="191">
        <v>46049</v>
      </c>
      <c r="M157" s="191">
        <v>46050</v>
      </c>
      <c r="N157" s="63"/>
      <c r="O157" s="63"/>
    </row>
    <row r="158" spans="1:15" s="81" customFormat="1" ht="51" customHeight="1">
      <c r="A158" s="80">
        <v>148</v>
      </c>
      <c r="B158" s="189" t="s">
        <v>687</v>
      </c>
      <c r="C158" s="189" t="s">
        <v>688</v>
      </c>
      <c r="D158" s="184" t="s">
        <v>159</v>
      </c>
      <c r="E158" s="76" t="s">
        <v>444</v>
      </c>
      <c r="F158" s="76">
        <v>252262926</v>
      </c>
      <c r="G158" s="76" t="s">
        <v>335</v>
      </c>
      <c r="H158" s="76">
        <v>756292926</v>
      </c>
      <c r="I158" s="76">
        <v>8</v>
      </c>
      <c r="J158" s="76">
        <v>2</v>
      </c>
      <c r="K158" s="76" t="s">
        <v>599</v>
      </c>
      <c r="L158" s="191">
        <v>46046</v>
      </c>
      <c r="M158" s="191">
        <v>46050</v>
      </c>
      <c r="N158" s="63"/>
      <c r="O158" s="63"/>
    </row>
    <row r="159" spans="1:15" s="81" customFormat="1" ht="51" customHeight="1">
      <c r="A159" s="80">
        <v>149</v>
      </c>
      <c r="B159" s="189" t="s">
        <v>689</v>
      </c>
      <c r="C159" s="189" t="s">
        <v>690</v>
      </c>
      <c r="D159" s="184" t="s">
        <v>159</v>
      </c>
      <c r="E159" s="76" t="s">
        <v>444</v>
      </c>
      <c r="F159" s="76">
        <v>252257246</v>
      </c>
      <c r="G159" s="76" t="s">
        <v>361</v>
      </c>
      <c r="H159" s="76">
        <v>775660671</v>
      </c>
      <c r="I159" s="76">
        <v>2</v>
      </c>
      <c r="J159" s="76">
        <v>3</v>
      </c>
      <c r="K159" s="76" t="s">
        <v>691</v>
      </c>
      <c r="L159" s="191">
        <v>46045</v>
      </c>
      <c r="M159" s="191">
        <v>46050</v>
      </c>
      <c r="N159" s="63"/>
      <c r="O159" s="63"/>
    </row>
    <row r="160" spans="1:15" s="81" customFormat="1" ht="51" customHeight="1">
      <c r="A160" s="80">
        <v>150</v>
      </c>
      <c r="B160" s="189" t="s">
        <v>692</v>
      </c>
      <c r="C160" s="189" t="s">
        <v>693</v>
      </c>
      <c r="D160" s="184" t="s">
        <v>159</v>
      </c>
      <c r="E160" s="76" t="s">
        <v>159</v>
      </c>
      <c r="F160" s="76">
        <v>252272666</v>
      </c>
      <c r="G160" s="76" t="s">
        <v>335</v>
      </c>
      <c r="H160" s="76">
        <v>715288007</v>
      </c>
      <c r="I160" s="76">
        <v>2</v>
      </c>
      <c r="J160" s="76">
        <v>8</v>
      </c>
      <c r="K160" s="76" t="s">
        <v>511</v>
      </c>
      <c r="L160" s="191">
        <v>46048</v>
      </c>
      <c r="M160" s="191">
        <v>46050</v>
      </c>
      <c r="N160" s="63"/>
      <c r="O160" s="63"/>
    </row>
    <row r="161" spans="1:15" s="81" customFormat="1" ht="51" customHeight="1">
      <c r="A161" s="80">
        <v>151</v>
      </c>
      <c r="B161" s="189" t="s">
        <v>694</v>
      </c>
      <c r="C161" s="189" t="s">
        <v>695</v>
      </c>
      <c r="D161" s="184" t="s">
        <v>159</v>
      </c>
      <c r="E161" s="76" t="s">
        <v>159</v>
      </c>
      <c r="F161" s="76">
        <v>252223301</v>
      </c>
      <c r="G161" s="76" t="s">
        <v>361</v>
      </c>
      <c r="H161" s="76">
        <v>718227289</v>
      </c>
      <c r="I161" s="76">
        <v>4</v>
      </c>
      <c r="J161" s="76">
        <v>47</v>
      </c>
      <c r="K161" s="76" t="s">
        <v>696</v>
      </c>
      <c r="L161" s="191">
        <v>46049</v>
      </c>
      <c r="M161" s="191">
        <v>46050</v>
      </c>
      <c r="N161" s="63"/>
      <c r="O161" s="63"/>
    </row>
    <row r="162" spans="1:15" s="81" customFormat="1" ht="51" customHeight="1">
      <c r="A162" s="80">
        <v>152</v>
      </c>
      <c r="B162" s="188" t="s">
        <v>697</v>
      </c>
      <c r="C162" s="189" t="s">
        <v>698</v>
      </c>
      <c r="D162" s="184" t="s">
        <v>159</v>
      </c>
      <c r="E162" s="76" t="s">
        <v>400</v>
      </c>
      <c r="F162" s="76">
        <v>252222798</v>
      </c>
      <c r="G162" s="76" t="s">
        <v>342</v>
      </c>
      <c r="H162" s="76">
        <v>714479282</v>
      </c>
      <c r="I162" s="76">
        <v>5</v>
      </c>
      <c r="J162" s="76">
        <v>32</v>
      </c>
      <c r="K162" s="76" t="s">
        <v>699</v>
      </c>
      <c r="L162" s="191">
        <v>46045</v>
      </c>
      <c r="M162" s="191">
        <v>46050</v>
      </c>
      <c r="N162" s="63"/>
      <c r="O162" s="63"/>
    </row>
    <row r="163" spans="1:15" s="81" customFormat="1" ht="51" customHeight="1">
      <c r="A163" s="80">
        <v>153</v>
      </c>
      <c r="B163" s="189" t="s">
        <v>700</v>
      </c>
      <c r="C163" s="189" t="s">
        <v>701</v>
      </c>
      <c r="D163" s="184" t="s">
        <v>159</v>
      </c>
      <c r="E163" s="76" t="s">
        <v>396</v>
      </c>
      <c r="F163" s="76">
        <v>252262234</v>
      </c>
      <c r="G163" s="76" t="s">
        <v>335</v>
      </c>
      <c r="H163" s="76">
        <v>718475124</v>
      </c>
      <c r="I163" s="76">
        <v>7</v>
      </c>
      <c r="J163" s="76">
        <v>2</v>
      </c>
      <c r="K163" s="76" t="s">
        <v>702</v>
      </c>
      <c r="L163" s="191">
        <v>46049</v>
      </c>
      <c r="M163" s="191">
        <v>46050</v>
      </c>
      <c r="N163" s="63"/>
      <c r="O163" s="63"/>
    </row>
    <row r="164" spans="1:15" s="81" customFormat="1" ht="51" customHeight="1">
      <c r="A164" s="80">
        <v>154</v>
      </c>
      <c r="B164" s="189" t="s">
        <v>703</v>
      </c>
      <c r="C164" s="189" t="s">
        <v>704</v>
      </c>
      <c r="D164" s="184" t="s">
        <v>159</v>
      </c>
      <c r="E164" s="76" t="s">
        <v>418</v>
      </c>
      <c r="F164" s="76">
        <v>252230690</v>
      </c>
      <c r="G164" s="76" t="s">
        <v>335</v>
      </c>
      <c r="H164" s="76">
        <v>777350957</v>
      </c>
      <c r="I164" s="76">
        <v>5</v>
      </c>
      <c r="J164" s="76">
        <v>23</v>
      </c>
      <c r="K164" s="76" t="s">
        <v>469</v>
      </c>
      <c r="L164" s="191">
        <v>46044</v>
      </c>
      <c r="M164" s="191">
        <v>46050</v>
      </c>
      <c r="N164" s="63"/>
      <c r="O164" s="63"/>
    </row>
    <row r="165" spans="1:15" s="81" customFormat="1" ht="51" customHeight="1">
      <c r="A165" s="80">
        <v>155</v>
      </c>
      <c r="B165" s="189" t="s">
        <v>705</v>
      </c>
      <c r="C165" s="189" t="s">
        <v>706</v>
      </c>
      <c r="D165" s="184" t="s">
        <v>159</v>
      </c>
      <c r="E165" s="76" t="s">
        <v>400</v>
      </c>
      <c r="F165" s="194">
        <v>252051941</v>
      </c>
      <c r="G165" s="76" t="s">
        <v>342</v>
      </c>
      <c r="H165" s="76">
        <v>715600519</v>
      </c>
      <c r="I165" s="76">
        <v>4</v>
      </c>
      <c r="J165" s="76">
        <v>34</v>
      </c>
      <c r="K165" s="76" t="s">
        <v>699</v>
      </c>
      <c r="L165" s="191">
        <v>46035</v>
      </c>
      <c r="M165" s="191">
        <v>46050</v>
      </c>
      <c r="N165" s="63"/>
      <c r="O165" s="63"/>
    </row>
    <row r="166" spans="1:15" s="81" customFormat="1" ht="51" customHeight="1">
      <c r="A166" s="80">
        <v>156</v>
      </c>
      <c r="B166" s="189" t="s">
        <v>707</v>
      </c>
      <c r="C166" s="189" t="s">
        <v>708</v>
      </c>
      <c r="D166" s="184" t="s">
        <v>159</v>
      </c>
      <c r="E166" s="76" t="s">
        <v>159</v>
      </c>
      <c r="F166" s="76">
        <v>252229927</v>
      </c>
      <c r="G166" s="76" t="s">
        <v>335</v>
      </c>
      <c r="H166" s="76">
        <v>711081080</v>
      </c>
      <c r="I166" s="76">
        <v>8</v>
      </c>
      <c r="J166" s="76">
        <v>24</v>
      </c>
      <c r="K166" s="76" t="s">
        <v>427</v>
      </c>
      <c r="L166" s="191">
        <v>46049</v>
      </c>
      <c r="M166" s="191">
        <v>46051</v>
      </c>
      <c r="N166" s="63"/>
      <c r="O166" s="63"/>
    </row>
    <row r="167" spans="1:15" s="81" customFormat="1" ht="51" customHeight="1">
      <c r="A167" s="80">
        <v>157</v>
      </c>
      <c r="B167" s="189" t="s">
        <v>709</v>
      </c>
      <c r="C167" s="189" t="s">
        <v>710</v>
      </c>
      <c r="D167" s="184" t="s">
        <v>159</v>
      </c>
      <c r="E167" s="76" t="s">
        <v>159</v>
      </c>
      <c r="F167" s="76">
        <v>252229971</v>
      </c>
      <c r="G167" s="76" t="s">
        <v>335</v>
      </c>
      <c r="H167" s="76">
        <v>719829764</v>
      </c>
      <c r="I167" s="76">
        <v>3</v>
      </c>
      <c r="J167" s="76">
        <v>37</v>
      </c>
      <c r="K167" s="76" t="s">
        <v>711</v>
      </c>
      <c r="L167" s="191">
        <v>46051</v>
      </c>
      <c r="M167" s="191">
        <v>46051</v>
      </c>
      <c r="N167" s="63"/>
      <c r="O167" s="63"/>
    </row>
    <row r="168" spans="1:15" s="81" customFormat="1" ht="51" customHeight="1">
      <c r="A168" s="80">
        <v>158</v>
      </c>
      <c r="B168" s="189" t="s">
        <v>712</v>
      </c>
      <c r="C168" s="189" t="s">
        <v>713</v>
      </c>
      <c r="D168" s="184" t="s">
        <v>159</v>
      </c>
      <c r="E168" s="76" t="s">
        <v>159</v>
      </c>
      <c r="F168" s="76">
        <v>252221374</v>
      </c>
      <c r="G168" s="76" t="s">
        <v>342</v>
      </c>
      <c r="H168" s="76">
        <v>711420994</v>
      </c>
      <c r="I168" s="76">
        <v>3</v>
      </c>
      <c r="J168" s="76">
        <v>1</v>
      </c>
      <c r="K168" s="76" t="s">
        <v>714</v>
      </c>
      <c r="L168" s="191">
        <v>46030</v>
      </c>
      <c r="M168" s="191">
        <v>46051</v>
      </c>
      <c r="N168" s="63"/>
      <c r="O168" s="63"/>
    </row>
    <row r="169" spans="1:15" s="81" customFormat="1" ht="51" customHeight="1">
      <c r="A169" s="80">
        <v>159</v>
      </c>
      <c r="B169" s="189" t="s">
        <v>715</v>
      </c>
      <c r="C169" s="189" t="s">
        <v>716</v>
      </c>
      <c r="D169" s="184" t="s">
        <v>159</v>
      </c>
      <c r="E169" s="76" t="s">
        <v>159</v>
      </c>
      <c r="F169" s="76">
        <v>252227866</v>
      </c>
      <c r="G169" s="76" t="s">
        <v>342</v>
      </c>
      <c r="H169" s="76">
        <v>773979100</v>
      </c>
      <c r="I169" s="76">
        <v>4</v>
      </c>
      <c r="J169" s="76">
        <v>19</v>
      </c>
      <c r="K169" s="76" t="s">
        <v>339</v>
      </c>
      <c r="L169" s="191">
        <v>46048</v>
      </c>
      <c r="M169" s="191">
        <v>46051</v>
      </c>
      <c r="N169" s="63"/>
      <c r="O169" s="63"/>
    </row>
    <row r="170" spans="1:15" s="81" customFormat="1" ht="51" customHeight="1">
      <c r="A170" s="80">
        <v>160</v>
      </c>
      <c r="B170" s="189" t="s">
        <v>717</v>
      </c>
      <c r="C170" s="189" t="s">
        <v>718</v>
      </c>
      <c r="D170" s="184" t="s">
        <v>159</v>
      </c>
      <c r="E170" s="76" t="s">
        <v>159</v>
      </c>
      <c r="F170" s="76">
        <v>252230622</v>
      </c>
      <c r="G170" s="76" t="s">
        <v>335</v>
      </c>
      <c r="H170" s="76">
        <v>779681091</v>
      </c>
      <c r="I170" s="76">
        <v>2</v>
      </c>
      <c r="J170" s="76">
        <v>14</v>
      </c>
      <c r="K170" s="76" t="s">
        <v>719</v>
      </c>
      <c r="L170" s="191">
        <v>46049</v>
      </c>
      <c r="M170" s="191">
        <v>46052</v>
      </c>
      <c r="N170" s="63"/>
      <c r="O170" s="63"/>
    </row>
    <row r="171" spans="1:15" s="81" customFormat="1" ht="51" customHeight="1">
      <c r="A171" s="80">
        <v>161</v>
      </c>
      <c r="B171" s="189" t="s">
        <v>720</v>
      </c>
      <c r="C171" s="189" t="s">
        <v>721</v>
      </c>
      <c r="D171" s="184" t="s">
        <v>159</v>
      </c>
      <c r="E171" s="76" t="s">
        <v>400</v>
      </c>
      <c r="F171" s="76">
        <v>252052662</v>
      </c>
      <c r="G171" s="76" t="s">
        <v>342</v>
      </c>
      <c r="H171" s="76">
        <v>712533953</v>
      </c>
      <c r="I171" s="76">
        <v>3</v>
      </c>
      <c r="J171" s="76">
        <v>17</v>
      </c>
      <c r="K171" s="76" t="s">
        <v>722</v>
      </c>
      <c r="L171" s="191">
        <v>46030</v>
      </c>
      <c r="M171" s="191">
        <v>46052</v>
      </c>
      <c r="N171" s="63"/>
      <c r="O171" s="63"/>
    </row>
    <row r="172" spans="1:15" s="81" customFormat="1" ht="51" customHeight="1">
      <c r="A172" s="80">
        <v>162</v>
      </c>
      <c r="B172" s="189" t="s">
        <v>723</v>
      </c>
      <c r="C172" s="189" t="s">
        <v>724</v>
      </c>
      <c r="D172" s="184" t="s">
        <v>159</v>
      </c>
      <c r="E172" s="76" t="s">
        <v>725</v>
      </c>
      <c r="F172" s="76">
        <v>252229946</v>
      </c>
      <c r="G172" s="76" t="s">
        <v>335</v>
      </c>
      <c r="H172" s="76">
        <v>741189822</v>
      </c>
      <c r="I172" s="76">
        <v>3</v>
      </c>
      <c r="J172" s="76">
        <v>2</v>
      </c>
      <c r="K172" s="76" t="s">
        <v>726</v>
      </c>
      <c r="L172" s="191">
        <v>46041</v>
      </c>
      <c r="M172" s="191">
        <v>46052</v>
      </c>
      <c r="N172" s="63"/>
      <c r="O172" s="63"/>
    </row>
    <row r="173" spans="1:15" s="81" customFormat="1" ht="51" customHeight="1">
      <c r="A173" s="80">
        <v>163</v>
      </c>
      <c r="B173" s="189" t="s">
        <v>727</v>
      </c>
      <c r="C173" s="189" t="s">
        <v>728</v>
      </c>
      <c r="D173" s="184" t="s">
        <v>159</v>
      </c>
      <c r="E173" s="76" t="s">
        <v>400</v>
      </c>
      <c r="F173" s="76">
        <v>252230733</v>
      </c>
      <c r="G173" s="76" t="s">
        <v>335</v>
      </c>
      <c r="H173" s="76">
        <v>706661988</v>
      </c>
      <c r="I173" s="76">
        <v>8</v>
      </c>
      <c r="J173" s="76">
        <v>4</v>
      </c>
      <c r="K173" s="76" t="s">
        <v>729</v>
      </c>
      <c r="L173" s="191">
        <v>46044</v>
      </c>
      <c r="M173" s="191">
        <v>46052</v>
      </c>
      <c r="N173" s="63"/>
      <c r="O173" s="63"/>
    </row>
    <row r="174" spans="1:15" s="81" customFormat="1" ht="51" customHeight="1">
      <c r="A174" s="80">
        <v>164</v>
      </c>
      <c r="B174" s="189" t="s">
        <v>730</v>
      </c>
      <c r="C174" s="189" t="s">
        <v>731</v>
      </c>
      <c r="D174" s="184" t="s">
        <v>159</v>
      </c>
      <c r="E174" s="76" t="s">
        <v>159</v>
      </c>
      <c r="F174" s="76">
        <v>252221957</v>
      </c>
      <c r="G174" s="76" t="s">
        <v>342</v>
      </c>
      <c r="H174" s="76">
        <v>714845450</v>
      </c>
      <c r="I174" s="76">
        <v>5</v>
      </c>
      <c r="J174" s="76">
        <v>12</v>
      </c>
      <c r="K174" s="76" t="s">
        <v>492</v>
      </c>
      <c r="L174" s="191">
        <v>46048</v>
      </c>
      <c r="M174" s="191">
        <v>46052</v>
      </c>
      <c r="N174" s="63"/>
      <c r="O174" s="63"/>
    </row>
    <row r="175" spans="1:15" s="81" customFormat="1" ht="51" customHeight="1">
      <c r="A175" s="80">
        <v>165</v>
      </c>
      <c r="B175" s="189" t="s">
        <v>732</v>
      </c>
      <c r="C175" s="189" t="s">
        <v>733</v>
      </c>
      <c r="D175" s="184" t="s">
        <v>159</v>
      </c>
      <c r="E175" s="76" t="s">
        <v>159</v>
      </c>
      <c r="F175" s="76">
        <v>252229862</v>
      </c>
      <c r="G175" s="76" t="s">
        <v>335</v>
      </c>
      <c r="H175" s="76">
        <v>716666303</v>
      </c>
      <c r="I175" s="76">
        <v>2</v>
      </c>
      <c r="J175" s="76">
        <v>14</v>
      </c>
      <c r="K175" s="76" t="s">
        <v>734</v>
      </c>
      <c r="L175" s="191">
        <v>46050</v>
      </c>
      <c r="M175" s="191">
        <v>46052</v>
      </c>
      <c r="N175" s="63"/>
      <c r="O175" s="63"/>
    </row>
    <row r="176" spans="1:15" s="81" customFormat="1" ht="51" customHeight="1">
      <c r="A176" s="80">
        <v>166</v>
      </c>
      <c r="B176" s="189" t="s">
        <v>735</v>
      </c>
      <c r="C176" s="189" t="s">
        <v>736</v>
      </c>
      <c r="D176" s="184" t="s">
        <v>159</v>
      </c>
      <c r="E176" s="76" t="s">
        <v>444</v>
      </c>
      <c r="F176" s="76">
        <v>252272444</v>
      </c>
      <c r="G176" s="76" t="s">
        <v>335</v>
      </c>
      <c r="H176" s="76">
        <v>760326268</v>
      </c>
      <c r="I176" s="76">
        <v>5</v>
      </c>
      <c r="J176" s="76">
        <v>4</v>
      </c>
      <c r="K176" s="76" t="s">
        <v>737</v>
      </c>
      <c r="L176" s="191">
        <v>46042</v>
      </c>
      <c r="M176" s="191">
        <v>46052</v>
      </c>
      <c r="N176" s="63"/>
      <c r="O176" s="63"/>
    </row>
    <row r="177" spans="1:23" s="81" customFormat="1" ht="51" customHeight="1">
      <c r="A177" s="80">
        <v>167</v>
      </c>
      <c r="B177" s="189" t="s">
        <v>738</v>
      </c>
      <c r="C177" s="189" t="s">
        <v>739</v>
      </c>
      <c r="D177" s="184" t="s">
        <v>159</v>
      </c>
      <c r="E177" s="76" t="s">
        <v>159</v>
      </c>
      <c r="F177" s="76">
        <v>252229983</v>
      </c>
      <c r="G177" s="76" t="s">
        <v>335</v>
      </c>
      <c r="H177" s="76">
        <v>775042532</v>
      </c>
      <c r="I177" s="76">
        <v>1</v>
      </c>
      <c r="J177" s="76">
        <v>14</v>
      </c>
      <c r="K177" s="76" t="s">
        <v>734</v>
      </c>
      <c r="L177" s="191">
        <v>46050</v>
      </c>
      <c r="M177" s="191">
        <v>46052</v>
      </c>
      <c r="N177" s="63"/>
      <c r="O177" s="63"/>
    </row>
    <row r="178" spans="1:23" s="81" customFormat="1" ht="51" customHeight="1">
      <c r="A178" s="80">
        <v>168</v>
      </c>
      <c r="B178" s="189" t="s">
        <v>740</v>
      </c>
      <c r="C178" s="189" t="s">
        <v>741</v>
      </c>
      <c r="D178" s="184" t="s">
        <v>159</v>
      </c>
      <c r="E178" s="76" t="s">
        <v>418</v>
      </c>
      <c r="F178" s="76">
        <v>252230576</v>
      </c>
      <c r="G178" s="76" t="s">
        <v>335</v>
      </c>
      <c r="H178" s="76">
        <v>712346353</v>
      </c>
      <c r="I178" s="76">
        <v>3</v>
      </c>
      <c r="J178" s="76">
        <v>39</v>
      </c>
      <c r="K178" s="76" t="s">
        <v>742</v>
      </c>
      <c r="L178" s="191">
        <v>46046</v>
      </c>
      <c r="M178" s="191">
        <v>46053</v>
      </c>
      <c r="N178" s="63"/>
      <c r="O178" s="63"/>
    </row>
    <row r="179" spans="1:23" s="81" customFormat="1" ht="51" customHeight="1">
      <c r="A179" s="80">
        <v>169</v>
      </c>
      <c r="B179" s="189" t="s">
        <v>743</v>
      </c>
      <c r="C179" s="189" t="s">
        <v>744</v>
      </c>
      <c r="D179" s="184" t="s">
        <v>159</v>
      </c>
      <c r="E179" s="76" t="s">
        <v>725</v>
      </c>
      <c r="F179" s="76">
        <v>252272333</v>
      </c>
      <c r="G179" s="76" t="s">
        <v>335</v>
      </c>
      <c r="H179" s="76">
        <v>760712249</v>
      </c>
      <c r="I179" s="76">
        <v>2</v>
      </c>
      <c r="J179" s="76">
        <v>2</v>
      </c>
      <c r="K179" s="76" t="s">
        <v>726</v>
      </c>
      <c r="L179" s="191">
        <v>46041</v>
      </c>
      <c r="M179" s="191">
        <v>46053</v>
      </c>
      <c r="N179" s="63"/>
      <c r="O179" s="63"/>
    </row>
    <row r="180" spans="1:23" ht="21.75" customHeight="1">
      <c r="A180" s="330"/>
      <c r="B180" s="330"/>
      <c r="C180" s="330"/>
      <c r="D180" s="330"/>
      <c r="E180" s="330"/>
      <c r="F180" s="330"/>
      <c r="G180" s="330"/>
      <c r="H180" s="330"/>
      <c r="I180" s="330"/>
      <c r="J180" s="330"/>
      <c r="K180" s="330"/>
      <c r="L180" s="330"/>
      <c r="M180" s="330"/>
      <c r="N180" s="330"/>
      <c r="O180" s="330"/>
    </row>
    <row r="181" spans="1:23" s="15" customFormat="1" ht="21.75" customHeight="1">
      <c r="A181" s="335" t="s">
        <v>76</v>
      </c>
      <c r="B181" s="335"/>
      <c r="C181" s="335"/>
      <c r="D181" s="335"/>
      <c r="E181" s="335"/>
      <c r="F181" s="301" t="s">
        <v>16</v>
      </c>
      <c r="G181" s="336"/>
      <c r="H181" s="336"/>
      <c r="I181" s="336"/>
      <c r="J181" s="336"/>
      <c r="K181" s="336"/>
      <c r="L181" s="336"/>
      <c r="M181" s="336"/>
      <c r="N181" s="336"/>
      <c r="O181" s="302"/>
      <c r="P181" s="327"/>
      <c r="Q181" s="327"/>
      <c r="R181" s="327"/>
      <c r="S181" s="327"/>
      <c r="T181" s="327"/>
      <c r="U181" s="327"/>
      <c r="V181" s="327"/>
      <c r="W181" s="327"/>
    </row>
    <row r="182" spans="1:23" ht="84" customHeight="1">
      <c r="A182" s="321" t="s">
        <v>141</v>
      </c>
      <c r="B182" s="321"/>
      <c r="C182" s="322"/>
      <c r="D182" s="323"/>
      <c r="E182" s="324"/>
      <c r="F182" s="325" t="s">
        <v>7</v>
      </c>
      <c r="G182" s="326"/>
      <c r="H182" s="322"/>
      <c r="I182" s="323"/>
      <c r="J182" s="323"/>
      <c r="K182" s="323"/>
      <c r="L182" s="323"/>
      <c r="M182" s="323"/>
      <c r="N182" s="323"/>
      <c r="O182" s="324"/>
      <c r="P182" s="319"/>
      <c r="Q182" s="319"/>
      <c r="R182" s="320"/>
      <c r="S182" s="320"/>
      <c r="T182" s="320"/>
      <c r="U182" s="320"/>
      <c r="V182" s="320"/>
      <c r="W182" s="320"/>
    </row>
    <row r="183" spans="1:23" ht="93.75" customHeight="1">
      <c r="A183" s="321" t="s">
        <v>22</v>
      </c>
      <c r="B183" s="321"/>
      <c r="C183" s="322"/>
      <c r="D183" s="323"/>
      <c r="E183" s="324"/>
      <c r="F183" s="325" t="s">
        <v>6</v>
      </c>
      <c r="G183" s="326"/>
      <c r="H183" s="322"/>
      <c r="I183" s="323"/>
      <c r="J183" s="323"/>
      <c r="K183" s="323"/>
      <c r="L183" s="323"/>
      <c r="M183" s="323"/>
      <c r="N183" s="323"/>
      <c r="O183" s="324"/>
      <c r="P183" s="319"/>
      <c r="Q183" s="319"/>
      <c r="R183" s="320"/>
      <c r="S183" s="320"/>
      <c r="T183" s="320"/>
      <c r="U183" s="320"/>
      <c r="V183" s="320"/>
      <c r="W183" s="320"/>
    </row>
    <row r="184" spans="1:23" ht="138" customHeight="1">
      <c r="A184" s="321" t="s">
        <v>142</v>
      </c>
      <c r="B184" s="321"/>
      <c r="C184" s="322"/>
      <c r="D184" s="323"/>
      <c r="E184" s="324"/>
      <c r="F184" s="325" t="s">
        <v>20</v>
      </c>
      <c r="G184" s="326"/>
      <c r="H184" s="322"/>
      <c r="I184" s="323"/>
      <c r="J184" s="323"/>
      <c r="K184" s="323"/>
      <c r="L184" s="323"/>
      <c r="M184" s="323"/>
      <c r="N184" s="323"/>
      <c r="O184" s="324"/>
      <c r="P184" s="319"/>
      <c r="Q184" s="319"/>
      <c r="R184" s="320"/>
      <c r="S184" s="320"/>
      <c r="T184" s="320"/>
      <c r="U184" s="320"/>
      <c r="V184" s="320"/>
      <c r="W184" s="320"/>
    </row>
  </sheetData>
  <mergeCells count="39">
    <mergeCell ref="A3:O3"/>
    <mergeCell ref="L1:O1"/>
    <mergeCell ref="A2:O2"/>
    <mergeCell ref="C182:E182"/>
    <mergeCell ref="C183:E183"/>
    <mergeCell ref="A4:B4"/>
    <mergeCell ref="C4:H4"/>
    <mergeCell ref="A5:B5"/>
    <mergeCell ref="C5:H5"/>
    <mergeCell ref="A8:B8"/>
    <mergeCell ref="A181:E181"/>
    <mergeCell ref="F181:O181"/>
    <mergeCell ref="F182:G182"/>
    <mergeCell ref="F183:G183"/>
    <mergeCell ref="H182:O182"/>
    <mergeCell ref="P181:W181"/>
    <mergeCell ref="I4:O6"/>
    <mergeCell ref="A6:B6"/>
    <mergeCell ref="C6:H6"/>
    <mergeCell ref="P183:Q183"/>
    <mergeCell ref="R183:W183"/>
    <mergeCell ref="A180:O180"/>
    <mergeCell ref="A182:B182"/>
    <mergeCell ref="A7:B7"/>
    <mergeCell ref="C7:H7"/>
    <mergeCell ref="M7:O7"/>
    <mergeCell ref="I7:L7"/>
    <mergeCell ref="A9:O9"/>
    <mergeCell ref="C8:O8"/>
    <mergeCell ref="P184:Q184"/>
    <mergeCell ref="R184:W184"/>
    <mergeCell ref="P182:Q182"/>
    <mergeCell ref="R182:W182"/>
    <mergeCell ref="A184:B184"/>
    <mergeCell ref="A183:B183"/>
    <mergeCell ref="C184:E184"/>
    <mergeCell ref="F184:G184"/>
    <mergeCell ref="H183:O183"/>
    <mergeCell ref="H184:O184"/>
  </mergeCells>
  <phoneticPr fontId="16" type="noConversion"/>
  <pageMargins left="0.27" right="0.16" top="0.77" bottom="0.16" header="0.17" footer="0.16"/>
  <pageSetup paperSize="9" scale="50" orientation="landscape" r:id="rId1"/>
  <headerFooter>
    <oddHeader>&amp;R&amp;"-,Bold"&amp;14&amp;P of &amp;N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652CE-F57A-495B-8C30-4F5FA623549C}">
  <sheetPr>
    <tabColor rgb="FF3366CC"/>
  </sheetPr>
  <dimension ref="A1:C174"/>
  <sheetViews>
    <sheetView view="pageBreakPreview" zoomScaleNormal="100" zoomScaleSheetLayoutView="100" workbookViewId="0">
      <pane xSplit="1" ySplit="3" topLeftCell="B160" activePane="bottomRight" state="frozen"/>
      <selection activeCell="A179" sqref="A11:XFD179"/>
      <selection pane="topRight" activeCell="A179" sqref="A11:XFD179"/>
      <selection pane="bottomLeft" activeCell="A179" sqref="A11:XFD179"/>
      <selection pane="bottomRight" activeCell="A179" sqref="A11:XFD179"/>
    </sheetView>
  </sheetViews>
  <sheetFormatPr defaultColWidth="9.109375" defaultRowHeight="13.8"/>
  <cols>
    <col min="1" max="1" width="9.109375" style="1"/>
    <col min="2" max="2" width="19.33203125" style="120" customWidth="1"/>
    <col min="3" max="3" width="25.88671875" style="1" customWidth="1"/>
    <col min="4" max="4" width="6.33203125" style="1" customWidth="1"/>
    <col min="5" max="16384" width="9.109375" style="1"/>
  </cols>
  <sheetData>
    <row r="1" spans="1:3" ht="15.6">
      <c r="A1" s="337" t="s">
        <v>82</v>
      </c>
      <c r="B1" s="337"/>
      <c r="C1" s="139" t="str">
        <f>KEY!C6</f>
        <v>SLTS/FN/26/AD/JAN/01</v>
      </c>
    </row>
    <row r="2" spans="1:3" ht="23.25" customHeight="1">
      <c r="A2" s="248" t="s">
        <v>122</v>
      </c>
      <c r="B2" s="248"/>
      <c r="C2" s="248"/>
    </row>
    <row r="3" spans="1:3" ht="15.6">
      <c r="A3" s="119" t="s">
        <v>55</v>
      </c>
      <c r="B3" s="119" t="s">
        <v>121</v>
      </c>
      <c r="C3" s="119" t="s">
        <v>104</v>
      </c>
    </row>
    <row r="4" spans="1:3">
      <c r="A4" s="83">
        <v>1</v>
      </c>
      <c r="B4" s="83">
        <f>BOM!C6</f>
        <v>252053154</v>
      </c>
      <c r="C4" s="126">
        <f>BOM!F6</f>
        <v>107</v>
      </c>
    </row>
    <row r="5" spans="1:3">
      <c r="A5" s="83">
        <v>2</v>
      </c>
      <c r="B5" s="83">
        <f>BOM!C7</f>
        <v>252229851</v>
      </c>
      <c r="C5" s="126">
        <f>BOM!F7</f>
        <v>162</v>
      </c>
    </row>
    <row r="6" spans="1:3">
      <c r="A6" s="83">
        <v>3</v>
      </c>
      <c r="B6" s="83">
        <f>BOM!C8</f>
        <v>252226763</v>
      </c>
      <c r="C6" s="126">
        <f>BOM!F8</f>
        <v>280</v>
      </c>
    </row>
    <row r="7" spans="1:3">
      <c r="A7" s="83">
        <v>4</v>
      </c>
      <c r="B7" s="83">
        <f>BOM!C9</f>
        <v>252230558</v>
      </c>
      <c r="C7" s="126">
        <f>BOM!F9</f>
        <v>181</v>
      </c>
    </row>
    <row r="8" spans="1:3">
      <c r="A8" s="83">
        <v>5</v>
      </c>
      <c r="B8" s="83">
        <f>BOM!C10</f>
        <v>252053856</v>
      </c>
      <c r="C8" s="126">
        <f>BOM!F10</f>
        <v>77</v>
      </c>
    </row>
    <row r="9" spans="1:3">
      <c r="A9" s="83">
        <v>6</v>
      </c>
      <c r="B9" s="83">
        <f>BOM!C11</f>
        <v>252262949</v>
      </c>
      <c r="C9" s="126">
        <f>BOM!F11</f>
        <v>261</v>
      </c>
    </row>
    <row r="10" spans="1:3">
      <c r="A10" s="83">
        <v>7</v>
      </c>
      <c r="B10" s="83">
        <f>BOM!C12</f>
        <v>252262959</v>
      </c>
      <c r="C10" s="126">
        <f>BOM!F12</f>
        <v>245</v>
      </c>
    </row>
    <row r="11" spans="1:3">
      <c r="A11" s="83">
        <v>8</v>
      </c>
      <c r="B11" s="83">
        <f>BOM!C13</f>
        <v>252262939</v>
      </c>
      <c r="C11" s="126">
        <f>BOM!F13</f>
        <v>251</v>
      </c>
    </row>
    <row r="12" spans="1:3">
      <c r="A12" s="83">
        <v>9</v>
      </c>
      <c r="B12" s="83">
        <f>BOM!C14</f>
        <v>252220004</v>
      </c>
      <c r="C12" s="126">
        <f>BOM!F14</f>
        <v>92</v>
      </c>
    </row>
    <row r="13" spans="1:3">
      <c r="A13" s="83">
        <v>10</v>
      </c>
      <c r="B13" s="83">
        <f>BOM!C15</f>
        <v>252262567</v>
      </c>
      <c r="C13" s="126">
        <f>BOM!F15</f>
        <v>113</v>
      </c>
    </row>
    <row r="14" spans="1:3">
      <c r="A14" s="83">
        <v>11</v>
      </c>
      <c r="B14" s="83">
        <f>BOM!C16</f>
        <v>252054066</v>
      </c>
      <c r="C14" s="126">
        <f>BOM!F16</f>
        <v>102</v>
      </c>
    </row>
    <row r="15" spans="1:3">
      <c r="A15" s="83">
        <v>12</v>
      </c>
      <c r="B15" s="83">
        <f>BOM!C17</f>
        <v>252229970</v>
      </c>
      <c r="C15" s="126">
        <f>BOM!F17</f>
        <v>172</v>
      </c>
    </row>
    <row r="16" spans="1:3">
      <c r="A16" s="83">
        <v>13</v>
      </c>
      <c r="B16" s="83">
        <f>BOM!C18</f>
        <v>252229861</v>
      </c>
      <c r="C16" s="126">
        <f>BOM!F18</f>
        <v>315</v>
      </c>
    </row>
    <row r="17" spans="1:3">
      <c r="A17" s="83">
        <v>14</v>
      </c>
      <c r="B17" s="83">
        <f>BOM!C19</f>
        <v>252230010</v>
      </c>
      <c r="C17" s="126">
        <f>BOM!F19</f>
        <v>403</v>
      </c>
    </row>
    <row r="18" spans="1:3">
      <c r="A18" s="83">
        <v>15</v>
      </c>
      <c r="B18" s="83">
        <f>BOM!C20</f>
        <v>252262168</v>
      </c>
      <c r="C18" s="126">
        <f>BOM!F20</f>
        <v>93</v>
      </c>
    </row>
    <row r="19" spans="1:3">
      <c r="A19" s="83">
        <v>16</v>
      </c>
      <c r="B19" s="83">
        <f>BOM!C21</f>
        <v>252260763</v>
      </c>
      <c r="C19" s="126">
        <f>BOM!F21</f>
        <v>224</v>
      </c>
    </row>
    <row r="20" spans="1:3">
      <c r="A20" s="83">
        <v>17</v>
      </c>
      <c r="B20" s="83">
        <f>BOM!C22</f>
        <v>252230990</v>
      </c>
      <c r="C20" s="126">
        <f>BOM!F22</f>
        <v>76</v>
      </c>
    </row>
    <row r="21" spans="1:3">
      <c r="A21" s="83">
        <v>18</v>
      </c>
      <c r="B21" s="83">
        <f>BOM!C23</f>
        <v>252262484</v>
      </c>
      <c r="C21" s="126">
        <f>BOM!F23</f>
        <v>135</v>
      </c>
    </row>
    <row r="22" spans="1:3">
      <c r="A22" s="83">
        <v>19</v>
      </c>
      <c r="B22" s="83">
        <f>BOM!C24</f>
        <v>252230588</v>
      </c>
      <c r="C22" s="126">
        <f>BOM!F24</f>
        <v>250</v>
      </c>
    </row>
    <row r="23" spans="1:3">
      <c r="A23" s="83">
        <v>20</v>
      </c>
      <c r="B23" s="83">
        <f>BOM!C25</f>
        <v>252235757</v>
      </c>
      <c r="C23" s="126">
        <f>BOM!F25</f>
        <v>161</v>
      </c>
    </row>
    <row r="24" spans="1:3">
      <c r="A24" s="83">
        <v>21</v>
      </c>
      <c r="B24" s="83">
        <f>BOM!C26</f>
        <v>252054726</v>
      </c>
      <c r="C24" s="126">
        <f>BOM!F26</f>
        <v>35</v>
      </c>
    </row>
    <row r="25" spans="1:3">
      <c r="A25" s="83">
        <v>22</v>
      </c>
      <c r="B25" s="83">
        <f>BOM!C27</f>
        <v>252262205</v>
      </c>
      <c r="C25" s="126">
        <f>BOM!F27</f>
        <v>372</v>
      </c>
    </row>
    <row r="26" spans="1:3">
      <c r="A26" s="83">
        <v>23</v>
      </c>
      <c r="B26" s="83">
        <f>BOM!C28</f>
        <v>252228805</v>
      </c>
      <c r="C26" s="126">
        <f>BOM!F28</f>
        <v>43</v>
      </c>
    </row>
    <row r="27" spans="1:3">
      <c r="A27" s="83">
        <v>24</v>
      </c>
      <c r="B27" s="83">
        <f>BOM!C29</f>
        <v>252227519</v>
      </c>
      <c r="C27" s="126">
        <f>BOM!F29</f>
        <v>54</v>
      </c>
    </row>
    <row r="28" spans="1:3">
      <c r="A28" s="83">
        <v>25</v>
      </c>
      <c r="B28" s="83">
        <f>BOM!C30</f>
        <v>252229874</v>
      </c>
      <c r="C28" s="126">
        <f>BOM!F30</f>
        <v>308</v>
      </c>
    </row>
    <row r="29" spans="1:3">
      <c r="A29" s="83">
        <v>26</v>
      </c>
      <c r="B29" s="83">
        <f>BOM!C31</f>
        <v>252229873</v>
      </c>
      <c r="C29" s="126">
        <f>BOM!F31</f>
        <v>253</v>
      </c>
    </row>
    <row r="30" spans="1:3">
      <c r="A30" s="83">
        <v>27</v>
      </c>
      <c r="B30" s="83">
        <f>BOM!C32</f>
        <v>252229872</v>
      </c>
      <c r="C30" s="126">
        <f>BOM!F32</f>
        <v>151</v>
      </c>
    </row>
    <row r="31" spans="1:3">
      <c r="A31" s="83">
        <v>28</v>
      </c>
      <c r="B31" s="83">
        <f>BOM!C33</f>
        <v>252229359</v>
      </c>
      <c r="C31" s="126">
        <f>BOM!F33</f>
        <v>99</v>
      </c>
    </row>
    <row r="32" spans="1:3">
      <c r="A32" s="83">
        <v>29</v>
      </c>
      <c r="B32" s="83">
        <f>BOM!C34</f>
        <v>252229982</v>
      </c>
      <c r="C32" s="126">
        <f>BOM!F34</f>
        <v>89</v>
      </c>
    </row>
    <row r="33" spans="1:3">
      <c r="A33" s="83">
        <v>30</v>
      </c>
      <c r="B33" s="83">
        <f>BOM!C35</f>
        <v>252262610</v>
      </c>
      <c r="C33" s="126">
        <f>BOM!F35</f>
        <v>333</v>
      </c>
    </row>
    <row r="34" spans="1:3">
      <c r="A34" s="83">
        <v>31</v>
      </c>
      <c r="B34" s="83">
        <f>BOM!C36</f>
        <v>252236784</v>
      </c>
      <c r="C34" s="126">
        <f>BOM!F36</f>
        <v>62</v>
      </c>
    </row>
    <row r="35" spans="1:3">
      <c r="A35" s="83">
        <v>32</v>
      </c>
      <c r="B35" s="83">
        <f>BOM!C37</f>
        <v>252230810</v>
      </c>
      <c r="C35" s="126">
        <f>BOM!F37</f>
        <v>220</v>
      </c>
    </row>
    <row r="36" spans="1:3">
      <c r="A36" s="83">
        <v>33</v>
      </c>
      <c r="B36" s="83">
        <f>BOM!C38</f>
        <v>252228615</v>
      </c>
      <c r="C36" s="126">
        <f>BOM!F38</f>
        <v>61</v>
      </c>
    </row>
    <row r="37" spans="1:3">
      <c r="A37" s="83">
        <v>34</v>
      </c>
      <c r="B37" s="83">
        <f>BOM!C39</f>
        <v>252298758</v>
      </c>
      <c r="C37" s="126">
        <f>BOM!F39</f>
        <v>48</v>
      </c>
    </row>
    <row r="38" spans="1:3">
      <c r="A38" s="83">
        <v>35</v>
      </c>
      <c r="B38" s="83">
        <f>BOM!C40</f>
        <v>252298756</v>
      </c>
      <c r="C38" s="126">
        <f>BOM!F40</f>
        <v>47</v>
      </c>
    </row>
    <row r="39" spans="1:3">
      <c r="A39" s="83">
        <v>36</v>
      </c>
      <c r="B39" s="83">
        <f>BOM!C41</f>
        <v>252056583</v>
      </c>
      <c r="C39" s="126">
        <f>BOM!F41</f>
        <v>269</v>
      </c>
    </row>
    <row r="40" spans="1:3">
      <c r="A40" s="83">
        <v>37</v>
      </c>
      <c r="B40" s="83">
        <f>BOM!C42</f>
        <v>252262299</v>
      </c>
      <c r="C40" s="126">
        <f>BOM!F42</f>
        <v>159</v>
      </c>
    </row>
    <row r="41" spans="1:3">
      <c r="A41" s="83">
        <v>38</v>
      </c>
      <c r="B41" s="83">
        <f>BOM!C43</f>
        <v>252221374</v>
      </c>
      <c r="C41" s="126">
        <f>BOM!F43</f>
        <v>79</v>
      </c>
    </row>
    <row r="42" spans="1:3">
      <c r="A42" s="83">
        <v>39</v>
      </c>
      <c r="B42" s="83">
        <f>BOM!C44</f>
        <v>252229895</v>
      </c>
      <c r="C42" s="126">
        <f>BOM!F44</f>
        <v>103</v>
      </c>
    </row>
    <row r="43" spans="1:3">
      <c r="A43" s="83">
        <v>40</v>
      </c>
      <c r="B43" s="83">
        <f>BOM!C45</f>
        <v>252229938</v>
      </c>
      <c r="C43" s="126">
        <f>BOM!F45</f>
        <v>89</v>
      </c>
    </row>
    <row r="44" spans="1:3">
      <c r="A44" s="83">
        <v>41</v>
      </c>
      <c r="B44" s="83">
        <f>BOM!C46</f>
        <v>252229936</v>
      </c>
      <c r="C44" s="126">
        <f>BOM!F46</f>
        <v>271</v>
      </c>
    </row>
    <row r="45" spans="1:3">
      <c r="A45" s="83">
        <v>42</v>
      </c>
      <c r="B45" s="83">
        <f>BOM!C47</f>
        <v>252230620</v>
      </c>
      <c r="C45" s="126">
        <f>BOM!F47</f>
        <v>123</v>
      </c>
    </row>
    <row r="46" spans="1:3">
      <c r="A46" s="83">
        <v>43</v>
      </c>
      <c r="B46" s="83">
        <f>BOM!C48</f>
        <v>252262344</v>
      </c>
      <c r="C46" s="126">
        <f>BOM!F48</f>
        <v>177</v>
      </c>
    </row>
    <row r="47" spans="1:3">
      <c r="A47" s="83">
        <v>44</v>
      </c>
      <c r="B47" s="83">
        <f>BOM!C49</f>
        <v>252121876</v>
      </c>
      <c r="C47" s="126">
        <f>BOM!F49</f>
        <v>199</v>
      </c>
    </row>
    <row r="48" spans="1:3">
      <c r="A48" s="83">
        <v>45</v>
      </c>
      <c r="B48" s="83">
        <f>BOM!C50</f>
        <v>252229916</v>
      </c>
      <c r="C48" s="126">
        <f>BOM!F50</f>
        <v>337</v>
      </c>
    </row>
    <row r="49" spans="1:3">
      <c r="A49" s="83">
        <v>46</v>
      </c>
      <c r="B49" s="83">
        <f>BOM!C51</f>
        <v>252051941</v>
      </c>
      <c r="C49" s="126">
        <f>BOM!F51</f>
        <v>50</v>
      </c>
    </row>
    <row r="50" spans="1:3">
      <c r="A50" s="83">
        <v>47</v>
      </c>
      <c r="B50" s="83">
        <f>BOM!C52</f>
        <v>252230602</v>
      </c>
      <c r="C50" s="126">
        <f>BOM!F52</f>
        <v>451</v>
      </c>
    </row>
    <row r="51" spans="1:3">
      <c r="A51" s="83">
        <v>48</v>
      </c>
      <c r="B51" s="83">
        <f>BOM!C53</f>
        <v>252229846</v>
      </c>
      <c r="C51" s="126">
        <f>BOM!F53</f>
        <v>67</v>
      </c>
    </row>
    <row r="52" spans="1:3">
      <c r="A52" s="83">
        <v>49</v>
      </c>
      <c r="B52" s="83">
        <f>BOM!C54</f>
        <v>252226000</v>
      </c>
      <c r="C52" s="126">
        <f>BOM!F54</f>
        <v>75</v>
      </c>
    </row>
    <row r="53" spans="1:3">
      <c r="A53" s="83">
        <v>50</v>
      </c>
      <c r="B53" s="83">
        <f>BOM!C55</f>
        <v>252230899</v>
      </c>
      <c r="C53" s="126">
        <f>BOM!F55</f>
        <v>80</v>
      </c>
    </row>
    <row r="54" spans="1:3">
      <c r="A54" s="83">
        <v>51</v>
      </c>
      <c r="B54" s="83">
        <f>BOM!C56</f>
        <v>252234111</v>
      </c>
      <c r="C54" s="126">
        <f>BOM!F56</f>
        <v>39</v>
      </c>
    </row>
    <row r="55" spans="1:3">
      <c r="A55" s="83">
        <v>52</v>
      </c>
      <c r="B55" s="83">
        <f>BOM!C57</f>
        <v>252229883</v>
      </c>
      <c r="C55" s="126">
        <f>BOM!F57</f>
        <v>64</v>
      </c>
    </row>
    <row r="56" spans="1:3">
      <c r="A56" s="83">
        <v>53</v>
      </c>
      <c r="B56" s="83">
        <f>BOM!C58</f>
        <v>252281075</v>
      </c>
      <c r="C56" s="126">
        <f>BOM!F58</f>
        <v>81</v>
      </c>
    </row>
    <row r="57" spans="1:3">
      <c r="A57" s="83">
        <v>54</v>
      </c>
      <c r="B57" s="83">
        <f>BOM!C59</f>
        <v>252262877</v>
      </c>
      <c r="C57" s="126">
        <f>BOM!F59</f>
        <v>407</v>
      </c>
    </row>
    <row r="58" spans="1:3">
      <c r="A58" s="83">
        <v>55</v>
      </c>
      <c r="B58" s="83">
        <f>BOM!C60</f>
        <v>252262866</v>
      </c>
      <c r="C58" s="126">
        <f>BOM!F60</f>
        <v>450</v>
      </c>
    </row>
    <row r="59" spans="1:3">
      <c r="A59" s="83">
        <v>56</v>
      </c>
      <c r="B59" s="83">
        <f>BOM!C61</f>
        <v>252262966</v>
      </c>
      <c r="C59" s="126">
        <f>BOM!F61</f>
        <v>430</v>
      </c>
    </row>
    <row r="60" spans="1:3">
      <c r="A60" s="83">
        <v>57</v>
      </c>
      <c r="B60" s="83">
        <f>BOM!C62</f>
        <v>252262977</v>
      </c>
      <c r="C60" s="126">
        <f>BOM!F62</f>
        <v>405</v>
      </c>
    </row>
    <row r="61" spans="1:3">
      <c r="A61" s="83">
        <v>58</v>
      </c>
      <c r="B61" s="83">
        <f>BOM!C63</f>
        <v>252272103</v>
      </c>
      <c r="C61" s="126">
        <f>BOM!F63</f>
        <v>330</v>
      </c>
    </row>
    <row r="62" spans="1:3">
      <c r="A62" s="83">
        <v>59</v>
      </c>
      <c r="B62" s="83">
        <f>BOM!C64</f>
        <v>252272101</v>
      </c>
      <c r="C62" s="126">
        <f>BOM!F64</f>
        <v>370</v>
      </c>
    </row>
    <row r="63" spans="1:3">
      <c r="A63" s="83">
        <v>60</v>
      </c>
      <c r="B63" s="83">
        <f>BOM!C65</f>
        <v>252272100</v>
      </c>
      <c r="C63" s="126">
        <f>BOM!F65</f>
        <v>359</v>
      </c>
    </row>
    <row r="64" spans="1:3">
      <c r="A64" s="83">
        <v>61</v>
      </c>
      <c r="B64" s="83">
        <f>BOM!C66</f>
        <v>252228603</v>
      </c>
      <c r="C64" s="126">
        <f>BOM!F66</f>
        <v>45</v>
      </c>
    </row>
    <row r="65" spans="1:3">
      <c r="A65" s="83">
        <v>62</v>
      </c>
      <c r="B65" s="83">
        <f>BOM!C67</f>
        <v>252229926</v>
      </c>
      <c r="C65" s="126">
        <f>BOM!F67</f>
        <v>205</v>
      </c>
    </row>
    <row r="66" spans="1:3">
      <c r="A66" s="83">
        <v>63</v>
      </c>
      <c r="B66" s="83">
        <f>BOM!C68</f>
        <v>252229928</v>
      </c>
      <c r="C66" s="126">
        <f>BOM!F68</f>
        <v>552</v>
      </c>
    </row>
    <row r="67" spans="1:3">
      <c r="A67" s="83">
        <v>64</v>
      </c>
      <c r="B67" s="83">
        <f>BOM!C69</f>
        <v>252272210</v>
      </c>
      <c r="C67" s="126">
        <f>BOM!F69</f>
        <v>103</v>
      </c>
    </row>
    <row r="68" spans="1:3">
      <c r="A68" s="83">
        <v>65</v>
      </c>
      <c r="B68" s="83">
        <f>BOM!C70</f>
        <v>252228151</v>
      </c>
      <c r="C68" s="126">
        <f>BOM!F70</f>
        <v>96</v>
      </c>
    </row>
    <row r="69" spans="1:3">
      <c r="A69" s="83">
        <v>66</v>
      </c>
      <c r="B69" s="83">
        <f>BOM!C71</f>
        <v>252220004</v>
      </c>
      <c r="C69" s="126">
        <f>BOM!F71</f>
        <v>118</v>
      </c>
    </row>
    <row r="70" spans="1:3">
      <c r="A70" s="83">
        <v>67</v>
      </c>
      <c r="B70" s="83">
        <f>BOM!C72</f>
        <v>252230569</v>
      </c>
      <c r="C70" s="126">
        <f>BOM!F72</f>
        <v>214</v>
      </c>
    </row>
    <row r="71" spans="1:3">
      <c r="A71" s="83">
        <v>68</v>
      </c>
      <c r="B71" s="83">
        <f>BOM!C73</f>
        <v>252262563</v>
      </c>
      <c r="C71" s="126">
        <f>BOM!F73</f>
        <v>192</v>
      </c>
    </row>
    <row r="72" spans="1:3">
      <c r="A72" s="83">
        <v>69</v>
      </c>
      <c r="B72" s="83">
        <f>BOM!C74</f>
        <v>252234982</v>
      </c>
      <c r="C72" s="126">
        <f>BOM!F74</f>
        <v>90</v>
      </c>
    </row>
    <row r="73" spans="1:3">
      <c r="A73" s="83">
        <v>70</v>
      </c>
      <c r="B73" s="83">
        <f>BOM!C75</f>
        <v>252230021</v>
      </c>
      <c r="C73" s="126">
        <f>BOM!F75</f>
        <v>133</v>
      </c>
    </row>
    <row r="74" spans="1:3">
      <c r="A74" s="83">
        <v>71</v>
      </c>
      <c r="B74" s="83">
        <f>BOM!C76</f>
        <v>252237638</v>
      </c>
      <c r="C74" s="126">
        <f>BOM!F76</f>
        <v>374</v>
      </c>
    </row>
    <row r="75" spans="1:3">
      <c r="A75" s="83">
        <v>72</v>
      </c>
      <c r="B75" s="83">
        <f>BOM!C77</f>
        <v>252229975</v>
      </c>
      <c r="C75" s="126">
        <f>BOM!F77</f>
        <v>74</v>
      </c>
    </row>
    <row r="76" spans="1:3">
      <c r="A76" s="83">
        <v>73</v>
      </c>
      <c r="B76" s="83">
        <f>BOM!C78</f>
        <v>252235484</v>
      </c>
      <c r="C76" s="126">
        <f>BOM!F78</f>
        <v>134</v>
      </c>
    </row>
    <row r="77" spans="1:3">
      <c r="A77" s="83">
        <v>74</v>
      </c>
      <c r="B77" s="83">
        <f>BOM!C79</f>
        <v>252228861</v>
      </c>
      <c r="C77" s="126">
        <f>BOM!F79</f>
        <v>270</v>
      </c>
    </row>
    <row r="78" spans="1:3">
      <c r="A78" s="83">
        <v>75</v>
      </c>
      <c r="B78" s="83">
        <f>BOM!C80</f>
        <v>252229967</v>
      </c>
      <c r="C78" s="126">
        <f>BOM!F80</f>
        <v>178</v>
      </c>
    </row>
    <row r="79" spans="1:3">
      <c r="A79" s="83">
        <v>76</v>
      </c>
      <c r="B79" s="83">
        <f>BOM!C81</f>
        <v>252229968</v>
      </c>
      <c r="C79" s="126">
        <f>BOM!F81</f>
        <v>178</v>
      </c>
    </row>
    <row r="80" spans="1:3">
      <c r="A80" s="83">
        <v>77</v>
      </c>
      <c r="B80" s="83">
        <f>BOM!C82</f>
        <v>252272424</v>
      </c>
      <c r="C80" s="126">
        <f>BOM!F82</f>
        <v>181</v>
      </c>
    </row>
    <row r="81" spans="1:3">
      <c r="A81" s="83">
        <v>78</v>
      </c>
      <c r="B81" s="83">
        <f>BOM!C83</f>
        <v>252229640</v>
      </c>
      <c r="C81" s="126">
        <f>BOM!F83</f>
        <v>107</v>
      </c>
    </row>
    <row r="82" spans="1:3">
      <c r="A82" s="83">
        <v>79</v>
      </c>
      <c r="B82" s="83">
        <f>BOM!C84</f>
        <v>252056587</v>
      </c>
      <c r="C82" s="126">
        <f>BOM!F84</f>
        <v>267</v>
      </c>
    </row>
    <row r="83" spans="1:3">
      <c r="A83" s="83">
        <v>80</v>
      </c>
      <c r="B83" s="83">
        <f>BOM!C85</f>
        <v>252229927</v>
      </c>
      <c r="C83" s="126">
        <f>BOM!F85</f>
        <v>247</v>
      </c>
    </row>
    <row r="84" spans="1:3">
      <c r="A84" s="83">
        <v>81</v>
      </c>
      <c r="B84" s="83">
        <f>BOM!C86</f>
        <v>252223301</v>
      </c>
      <c r="C84" s="126">
        <f>BOM!F86</f>
        <v>491</v>
      </c>
    </row>
    <row r="85" spans="1:3">
      <c r="A85" s="83">
        <v>82</v>
      </c>
      <c r="B85" s="83">
        <f>BOM!C87</f>
        <v>252222798</v>
      </c>
      <c r="C85" s="126">
        <f>BOM!F87</f>
        <v>146</v>
      </c>
    </row>
    <row r="86" spans="1:3">
      <c r="A86" s="83">
        <v>83</v>
      </c>
      <c r="B86" s="83">
        <f>BOM!C88</f>
        <v>252229974</v>
      </c>
      <c r="C86" s="126">
        <f>BOM!F88</f>
        <v>67</v>
      </c>
    </row>
    <row r="87" spans="1:3">
      <c r="A87" s="83">
        <v>84</v>
      </c>
      <c r="B87" s="83">
        <f>BOM!C89</f>
        <v>252298003</v>
      </c>
      <c r="C87" s="126">
        <f>BOM!F89</f>
        <v>91</v>
      </c>
    </row>
    <row r="88" spans="1:3">
      <c r="A88" s="83">
        <v>85</v>
      </c>
      <c r="B88" s="83">
        <f>BOM!C90</f>
        <v>252229964</v>
      </c>
      <c r="C88" s="126">
        <f>BOM!F90</f>
        <v>230</v>
      </c>
    </row>
    <row r="89" spans="1:3">
      <c r="A89" s="83">
        <v>86</v>
      </c>
      <c r="B89" s="83">
        <f>BOM!C91</f>
        <v>252230583</v>
      </c>
      <c r="C89" s="126">
        <f>BOM!F91</f>
        <v>72</v>
      </c>
    </row>
    <row r="90" spans="1:3">
      <c r="A90" s="83">
        <v>87</v>
      </c>
      <c r="B90" s="83">
        <f>BOM!C92</f>
        <v>252221957</v>
      </c>
      <c r="C90" s="126">
        <f>BOM!F92</f>
        <v>497</v>
      </c>
    </row>
    <row r="91" spans="1:3">
      <c r="A91" s="83">
        <v>88</v>
      </c>
      <c r="B91" s="83">
        <f>BOM!C93</f>
        <v>252272666</v>
      </c>
      <c r="C91" s="126">
        <f>BOM!F93</f>
        <v>199</v>
      </c>
    </row>
    <row r="92" spans="1:3">
      <c r="A92" s="83">
        <v>89</v>
      </c>
      <c r="B92" s="83">
        <f>BOM!C94</f>
        <v>252229971</v>
      </c>
      <c r="C92" s="126">
        <f>BOM!F94</f>
        <v>83</v>
      </c>
    </row>
    <row r="93" spans="1:3">
      <c r="A93" s="83">
        <v>90</v>
      </c>
      <c r="B93" s="83">
        <f>BOM!C95</f>
        <v>252227866</v>
      </c>
      <c r="C93" s="126">
        <f>BOM!F95</f>
        <v>127</v>
      </c>
    </row>
    <row r="94" spans="1:3">
      <c r="A94" s="83">
        <v>91</v>
      </c>
      <c r="B94" s="83">
        <f>BOM!C96</f>
        <v>252230622</v>
      </c>
      <c r="C94" s="126">
        <f>BOM!F96</f>
        <v>142</v>
      </c>
    </row>
    <row r="95" spans="1:3">
      <c r="A95" s="83">
        <v>92</v>
      </c>
      <c r="B95" s="83">
        <f>BOM!C97</f>
        <v>252229983</v>
      </c>
      <c r="C95" s="126">
        <f>BOM!F97</f>
        <v>131</v>
      </c>
    </row>
    <row r="96" spans="1:3">
      <c r="A96" s="83">
        <v>93</v>
      </c>
      <c r="B96" s="83">
        <f>BOM!C98</f>
        <v>252229862</v>
      </c>
      <c r="C96" s="126">
        <f>BOM!F98</f>
        <v>150</v>
      </c>
    </row>
    <row r="97" spans="1:3">
      <c r="A97" s="83">
        <v>94</v>
      </c>
      <c r="B97" s="83">
        <f>BOM!C99</f>
        <v>252229884</v>
      </c>
      <c r="C97" s="126">
        <f>BOM!F99</f>
        <v>506</v>
      </c>
    </row>
    <row r="98" spans="1:3">
      <c r="A98" s="83">
        <v>95</v>
      </c>
      <c r="B98" s="83">
        <f>BOM!C100</f>
        <v>252229885</v>
      </c>
      <c r="C98" s="126">
        <f>BOM!F100</f>
        <v>271</v>
      </c>
    </row>
    <row r="99" spans="1:3">
      <c r="A99" s="83">
        <v>96</v>
      </c>
      <c r="B99" s="83">
        <f>BOM!C101</f>
        <v>252249194</v>
      </c>
      <c r="C99" s="126">
        <f>BOM!F101</f>
        <v>355</v>
      </c>
    </row>
    <row r="100" spans="1:3">
      <c r="A100" s="83">
        <v>97</v>
      </c>
      <c r="B100" s="83">
        <f>BOM!C102</f>
        <v>252249083</v>
      </c>
      <c r="C100" s="126">
        <f>BOM!F102</f>
        <v>374</v>
      </c>
    </row>
    <row r="101" spans="1:3">
      <c r="A101" s="83">
        <v>98</v>
      </c>
      <c r="B101" s="83">
        <f>BOM!C103</f>
        <v>252272225</v>
      </c>
      <c r="C101" s="126">
        <f>BOM!F103</f>
        <v>222</v>
      </c>
    </row>
    <row r="102" spans="1:3">
      <c r="A102" s="83">
        <v>99</v>
      </c>
      <c r="B102" s="83">
        <f>BOM!C104</f>
        <v>252249825</v>
      </c>
      <c r="C102" s="126">
        <f>BOM!F104</f>
        <v>547</v>
      </c>
    </row>
    <row r="103" spans="1:3">
      <c r="A103" s="83">
        <v>100</v>
      </c>
      <c r="B103" s="83">
        <f>BOM!C105</f>
        <v>252249928</v>
      </c>
      <c r="C103" s="126">
        <f>BOM!F105</f>
        <v>176</v>
      </c>
    </row>
    <row r="104" spans="1:3">
      <c r="A104" s="83">
        <v>101</v>
      </c>
      <c r="B104" s="83">
        <f>BOM!C106</f>
        <v>252249525</v>
      </c>
      <c r="C104" s="126">
        <f>BOM!F106</f>
        <v>170</v>
      </c>
    </row>
    <row r="105" spans="1:3">
      <c r="A105" s="83">
        <v>102</v>
      </c>
      <c r="B105" s="83">
        <f>BOM!C107</f>
        <v>252281234</v>
      </c>
      <c r="C105" s="126">
        <f>BOM!F107</f>
        <v>270</v>
      </c>
    </row>
    <row r="106" spans="1:3">
      <c r="A106" s="83">
        <v>103</v>
      </c>
      <c r="B106" s="83">
        <f>BOM!C108</f>
        <v>252281154</v>
      </c>
      <c r="C106" s="126">
        <f>BOM!F108</f>
        <v>120</v>
      </c>
    </row>
    <row r="107" spans="1:3">
      <c r="A107" s="83">
        <v>104</v>
      </c>
      <c r="B107" s="83">
        <f>BOM!C109</f>
        <v>252281282</v>
      </c>
      <c r="C107" s="126">
        <f>BOM!F109</f>
        <v>241</v>
      </c>
    </row>
    <row r="108" spans="1:3">
      <c r="A108" s="83">
        <v>105</v>
      </c>
      <c r="B108" s="83">
        <f>BOM!C110</f>
        <v>252281170</v>
      </c>
      <c r="C108" s="126">
        <f>BOM!F110</f>
        <v>108</v>
      </c>
    </row>
    <row r="109" spans="1:3">
      <c r="A109" s="83">
        <v>106</v>
      </c>
      <c r="B109" s="83">
        <f>BOM!C111</f>
        <v>252281283</v>
      </c>
      <c r="C109" s="126">
        <f>BOM!F111</f>
        <v>64</v>
      </c>
    </row>
    <row r="110" spans="1:3">
      <c r="A110" s="83">
        <v>107</v>
      </c>
      <c r="B110" s="83">
        <f>BOM!C112</f>
        <v>252281158</v>
      </c>
      <c r="C110" s="126">
        <f>BOM!F112</f>
        <v>169</v>
      </c>
    </row>
    <row r="111" spans="1:3">
      <c r="A111" s="83">
        <v>108</v>
      </c>
      <c r="B111" s="83">
        <f>BOM!C113</f>
        <v>252249562</v>
      </c>
      <c r="C111" s="126">
        <f>BOM!F113</f>
        <v>283</v>
      </c>
    </row>
    <row r="112" spans="1:3">
      <c r="A112" s="83">
        <v>109</v>
      </c>
      <c r="B112" s="83">
        <f>BOM!C114</f>
        <v>252272333</v>
      </c>
      <c r="C112" s="126">
        <f>BOM!F114</f>
        <v>465</v>
      </c>
    </row>
    <row r="113" spans="1:3">
      <c r="A113" s="83">
        <v>110</v>
      </c>
      <c r="B113" s="83">
        <f>BOM!C115</f>
        <v>252229946</v>
      </c>
      <c r="C113" s="126">
        <f>BOM!F115</f>
        <v>444</v>
      </c>
    </row>
    <row r="114" spans="1:3">
      <c r="A114" s="83">
        <v>111</v>
      </c>
      <c r="B114" s="83">
        <f>BOM!C116</f>
        <v>252269088</v>
      </c>
      <c r="C114" s="126">
        <f>BOM!F116</f>
        <v>74</v>
      </c>
    </row>
    <row r="115" spans="1:3">
      <c r="A115" s="83">
        <v>112</v>
      </c>
      <c r="B115" s="83">
        <f>BOM!C117</f>
        <v>252269543</v>
      </c>
      <c r="C115" s="126">
        <f>BOM!F117</f>
        <v>94</v>
      </c>
    </row>
    <row r="116" spans="1:3">
      <c r="A116" s="83">
        <v>113</v>
      </c>
      <c r="B116" s="83">
        <f>BOM!C118</f>
        <v>252229893</v>
      </c>
      <c r="C116" s="126">
        <f>BOM!F118</f>
        <v>622</v>
      </c>
    </row>
    <row r="117" spans="1:3">
      <c r="A117" s="83">
        <v>114</v>
      </c>
      <c r="B117" s="83">
        <f>BOM!C119</f>
        <v>252265858</v>
      </c>
      <c r="C117" s="126">
        <f>BOM!F119</f>
        <v>122</v>
      </c>
    </row>
    <row r="118" spans="1:3">
      <c r="A118" s="83">
        <v>115</v>
      </c>
      <c r="B118" s="83">
        <f>BOM!C120</f>
        <v>252229906</v>
      </c>
      <c r="C118" s="126">
        <f>BOM!F120</f>
        <v>29</v>
      </c>
    </row>
    <row r="119" spans="1:3">
      <c r="A119" s="83">
        <v>116</v>
      </c>
      <c r="B119" s="83">
        <f>BOM!C121</f>
        <v>252052662</v>
      </c>
      <c r="C119" s="126">
        <f>BOM!F121</f>
        <v>250</v>
      </c>
    </row>
    <row r="120" spans="1:3">
      <c r="A120" s="83">
        <v>117</v>
      </c>
      <c r="B120" s="83">
        <f>BOM!C122</f>
        <v>252262350</v>
      </c>
      <c r="C120" s="126">
        <f>BOM!F122</f>
        <v>340</v>
      </c>
    </row>
    <row r="121" spans="1:3">
      <c r="A121" s="83">
        <v>118</v>
      </c>
      <c r="B121" s="83">
        <f>BOM!C123</f>
        <v>252230557</v>
      </c>
      <c r="C121" s="126">
        <f>BOM!F123</f>
        <v>410</v>
      </c>
    </row>
    <row r="122" spans="1:3">
      <c r="A122" s="83">
        <v>119</v>
      </c>
      <c r="B122" s="83">
        <f>BOM!C124</f>
        <v>252230581</v>
      </c>
      <c r="C122" s="126">
        <f>BOM!F124</f>
        <v>500</v>
      </c>
    </row>
    <row r="123" spans="1:3">
      <c r="A123" s="83">
        <v>120</v>
      </c>
      <c r="B123" s="83">
        <f>BOM!C125</f>
        <v>252229949</v>
      </c>
      <c r="C123" s="126">
        <f>BOM!F125</f>
        <v>81</v>
      </c>
    </row>
    <row r="124" spans="1:3">
      <c r="A124" s="83">
        <v>121</v>
      </c>
      <c r="B124" s="83">
        <f>BOM!C126</f>
        <v>252230733</v>
      </c>
      <c r="C124" s="126">
        <f>BOM!F126</f>
        <v>209</v>
      </c>
    </row>
    <row r="125" spans="1:3">
      <c r="A125" s="83">
        <v>122</v>
      </c>
      <c r="B125" s="83">
        <f>BOM!C127</f>
        <v>252230587</v>
      </c>
      <c r="C125" s="126">
        <f>BOM!F127</f>
        <v>33</v>
      </c>
    </row>
    <row r="126" spans="1:3">
      <c r="A126" s="83">
        <v>123</v>
      </c>
      <c r="B126" s="83">
        <f>BOM!C128</f>
        <v>252229362</v>
      </c>
      <c r="C126" s="126">
        <f>BOM!F128</f>
        <v>543</v>
      </c>
    </row>
    <row r="127" spans="1:3">
      <c r="A127" s="83">
        <v>124</v>
      </c>
      <c r="B127" s="83">
        <f>BOM!C129</f>
        <v>252055151</v>
      </c>
      <c r="C127" s="126">
        <f>BOM!F129</f>
        <v>115</v>
      </c>
    </row>
    <row r="128" spans="1:3">
      <c r="A128" s="83">
        <v>125</v>
      </c>
      <c r="B128" s="83">
        <f>BOM!C130</f>
        <v>252229843</v>
      </c>
      <c r="C128" s="126">
        <f>BOM!F130</f>
        <v>480</v>
      </c>
    </row>
    <row r="129" spans="1:3">
      <c r="A129" s="83">
        <v>126</v>
      </c>
      <c r="B129" s="83">
        <f>BOM!C131</f>
        <v>252266370</v>
      </c>
      <c r="C129" s="126">
        <f>BOM!F131</f>
        <v>73</v>
      </c>
    </row>
    <row r="130" spans="1:3">
      <c r="A130" s="83">
        <v>127</v>
      </c>
      <c r="B130" s="83">
        <f>BOM!C132</f>
        <v>252229887</v>
      </c>
      <c r="C130" s="126">
        <f>BOM!F132</f>
        <v>349</v>
      </c>
    </row>
    <row r="131" spans="1:3">
      <c r="A131" s="83">
        <v>128</v>
      </c>
      <c r="B131" s="83">
        <f>BOM!C133</f>
        <v>252229986</v>
      </c>
      <c r="C131" s="126">
        <f>BOM!F133</f>
        <v>161</v>
      </c>
    </row>
    <row r="132" spans="1:3">
      <c r="A132" s="83">
        <v>129</v>
      </c>
      <c r="B132" s="83">
        <f>BOM!C134</f>
        <v>252056948</v>
      </c>
      <c r="C132" s="126">
        <f>BOM!F134</f>
        <v>145</v>
      </c>
    </row>
    <row r="133" spans="1:3">
      <c r="A133" s="83">
        <v>130</v>
      </c>
      <c r="B133" s="83">
        <f>BOM!C135</f>
        <v>252262173</v>
      </c>
      <c r="C133" s="126">
        <f>BOM!F135</f>
        <v>469</v>
      </c>
    </row>
    <row r="134" spans="1:3">
      <c r="A134" s="83">
        <v>131</v>
      </c>
      <c r="B134" s="83">
        <f>BOM!C136</f>
        <v>252262234</v>
      </c>
      <c r="C134" s="126">
        <f>BOM!F136</f>
        <v>216</v>
      </c>
    </row>
    <row r="135" spans="1:3">
      <c r="A135" s="83">
        <v>132</v>
      </c>
      <c r="B135" s="83">
        <f>BOM!C137</f>
        <v>252262505</v>
      </c>
      <c r="C135" s="126">
        <f>BOM!F137</f>
        <v>664</v>
      </c>
    </row>
    <row r="136" spans="1:3">
      <c r="A136" s="83">
        <v>133</v>
      </c>
      <c r="B136" s="83">
        <f>BOM!C138</f>
        <v>252245745</v>
      </c>
      <c r="C136" s="126">
        <f>BOM!F138</f>
        <v>214</v>
      </c>
    </row>
    <row r="137" spans="1:3">
      <c r="A137" s="83">
        <v>134</v>
      </c>
      <c r="B137" s="83">
        <f>BOM!C139</f>
        <v>252229957</v>
      </c>
      <c r="C137" s="126">
        <f>BOM!F139</f>
        <v>86</v>
      </c>
    </row>
    <row r="138" spans="1:3">
      <c r="A138" s="83">
        <v>135</v>
      </c>
      <c r="B138" s="83">
        <f>BOM!C140</f>
        <v>252272669</v>
      </c>
      <c r="C138" s="126">
        <f>BOM!F140</f>
        <v>81</v>
      </c>
    </row>
    <row r="139" spans="1:3">
      <c r="A139" s="83">
        <v>136</v>
      </c>
      <c r="B139" s="83">
        <f>BOM!C141</f>
        <v>252262565</v>
      </c>
      <c r="C139" s="126">
        <f>BOM!F141</f>
        <v>49</v>
      </c>
    </row>
    <row r="140" spans="1:3">
      <c r="A140" s="83">
        <v>137</v>
      </c>
      <c r="B140" s="83">
        <f>BOM!C142</f>
        <v>252262327</v>
      </c>
      <c r="C140" s="126">
        <f>BOM!F142</f>
        <v>111</v>
      </c>
    </row>
    <row r="141" spans="1:3">
      <c r="A141" s="83">
        <v>138</v>
      </c>
      <c r="B141" s="83">
        <f>BOM!C143</f>
        <v>252262831</v>
      </c>
      <c r="C141" s="126">
        <f>BOM!F143</f>
        <v>115</v>
      </c>
    </row>
    <row r="142" spans="1:3">
      <c r="A142" s="83">
        <v>139</v>
      </c>
      <c r="B142" s="83">
        <f>BOM!C144</f>
        <v>252230585</v>
      </c>
      <c r="C142" s="126">
        <f>BOM!F144</f>
        <v>250</v>
      </c>
    </row>
    <row r="143" spans="1:3">
      <c r="A143" s="83">
        <v>140</v>
      </c>
      <c r="B143" s="83">
        <f>BOM!C145</f>
        <v>252230596</v>
      </c>
      <c r="C143" s="126">
        <f>BOM!F145</f>
        <v>500</v>
      </c>
    </row>
    <row r="144" spans="1:3">
      <c r="A144" s="83">
        <v>141</v>
      </c>
      <c r="B144" s="83">
        <f>BOM!C146</f>
        <v>252272444</v>
      </c>
      <c r="C144" s="126">
        <f>BOM!F146</f>
        <v>293</v>
      </c>
    </row>
    <row r="145" spans="1:3">
      <c r="A145" s="83">
        <v>142</v>
      </c>
      <c r="B145" s="83">
        <f>BOM!C147</f>
        <v>252257246</v>
      </c>
      <c r="C145" s="126">
        <f>BOM!F147</f>
        <v>409</v>
      </c>
    </row>
    <row r="146" spans="1:3">
      <c r="A146" s="83">
        <v>143</v>
      </c>
      <c r="B146" s="83">
        <f>BOM!C148</f>
        <v>252262926</v>
      </c>
      <c r="C146" s="126">
        <f>BOM!F148</f>
        <v>50</v>
      </c>
    </row>
    <row r="147" spans="1:3">
      <c r="A147" s="83">
        <v>144</v>
      </c>
      <c r="B147" s="83">
        <f>BOM!C149</f>
        <v>252250436</v>
      </c>
      <c r="C147" s="126">
        <f>BOM!F149</f>
        <v>573</v>
      </c>
    </row>
    <row r="148" spans="1:3">
      <c r="A148" s="83">
        <v>145</v>
      </c>
      <c r="B148" s="83">
        <f>BOM!C150</f>
        <v>252229932</v>
      </c>
      <c r="C148" s="126">
        <f>BOM!F150</f>
        <v>316</v>
      </c>
    </row>
    <row r="149" spans="1:3">
      <c r="A149" s="83">
        <v>146</v>
      </c>
      <c r="B149" s="83">
        <f>BOM!C151</f>
        <v>252229853</v>
      </c>
      <c r="C149" s="126">
        <f>BOM!F151</f>
        <v>372</v>
      </c>
    </row>
    <row r="150" spans="1:3">
      <c r="A150" s="83">
        <v>147</v>
      </c>
      <c r="B150" s="83">
        <f>BOM!C152</f>
        <v>252229934</v>
      </c>
      <c r="C150" s="126">
        <f>BOM!F152</f>
        <v>271</v>
      </c>
    </row>
    <row r="151" spans="1:3">
      <c r="A151" s="83">
        <v>148</v>
      </c>
      <c r="B151" s="83">
        <f>BOM!C153</f>
        <v>252250223</v>
      </c>
      <c r="C151" s="126">
        <f>BOM!F153</f>
        <v>345</v>
      </c>
    </row>
    <row r="152" spans="1:3">
      <c r="A152" s="83">
        <v>149</v>
      </c>
      <c r="B152" s="83">
        <f>BOM!C154</f>
        <v>252262156</v>
      </c>
      <c r="C152" s="126">
        <f>BOM!F154</f>
        <v>260</v>
      </c>
    </row>
    <row r="153" spans="1:3">
      <c r="A153" s="83">
        <v>150</v>
      </c>
      <c r="B153" s="83">
        <f>BOM!C155</f>
        <v>252230563</v>
      </c>
      <c r="C153" s="126">
        <f>BOM!F155</f>
        <v>134</v>
      </c>
    </row>
    <row r="154" spans="1:3">
      <c r="A154" s="83">
        <v>151</v>
      </c>
      <c r="B154" s="83">
        <f>BOM!C156</f>
        <v>252276894</v>
      </c>
      <c r="C154" s="126">
        <f>BOM!F156</f>
        <v>139</v>
      </c>
    </row>
    <row r="155" spans="1:3">
      <c r="A155" s="83">
        <v>152</v>
      </c>
      <c r="B155" s="83">
        <f>BOM!C157</f>
        <v>252276554</v>
      </c>
      <c r="C155" s="126">
        <f>BOM!F157</f>
        <v>91</v>
      </c>
    </row>
    <row r="156" spans="1:3">
      <c r="A156" s="83">
        <v>153</v>
      </c>
      <c r="B156" s="83">
        <f>BOM!C158</f>
        <v>252229937</v>
      </c>
      <c r="C156" s="126">
        <f>BOM!F158</f>
        <v>165</v>
      </c>
    </row>
    <row r="157" spans="1:3">
      <c r="A157" s="83">
        <v>154</v>
      </c>
      <c r="B157" s="83">
        <f>BOM!C159</f>
        <v>252262284</v>
      </c>
      <c r="C157" s="126">
        <f>BOM!F159</f>
        <v>88</v>
      </c>
    </row>
    <row r="158" spans="1:3">
      <c r="A158" s="83">
        <v>155</v>
      </c>
      <c r="B158" s="83">
        <f>BOM!C160</f>
        <v>252051956</v>
      </c>
      <c r="C158" s="126">
        <f>BOM!F160</f>
        <v>39</v>
      </c>
    </row>
    <row r="159" spans="1:3">
      <c r="A159" s="83">
        <v>156</v>
      </c>
      <c r="B159" s="83">
        <f>BOM!C161</f>
        <v>252229980</v>
      </c>
      <c r="C159" s="126">
        <f>BOM!F161</f>
        <v>361</v>
      </c>
    </row>
    <row r="160" spans="1:3">
      <c r="A160" s="83">
        <v>157</v>
      </c>
      <c r="B160" s="83">
        <f>BOM!C162</f>
        <v>252276429</v>
      </c>
      <c r="C160" s="126">
        <f>BOM!F162</f>
        <v>93</v>
      </c>
    </row>
    <row r="161" spans="1:3">
      <c r="A161" s="83">
        <v>158</v>
      </c>
      <c r="B161" s="83">
        <f>BOM!C163</f>
        <v>252229945</v>
      </c>
      <c r="C161" s="126">
        <f>BOM!F163</f>
        <v>194</v>
      </c>
    </row>
    <row r="162" spans="1:3">
      <c r="A162" s="83">
        <v>159</v>
      </c>
      <c r="B162" s="83">
        <f>BOM!C164</f>
        <v>252272026</v>
      </c>
      <c r="C162" s="126">
        <f>BOM!F164</f>
        <v>157</v>
      </c>
    </row>
    <row r="163" spans="1:3">
      <c r="A163" s="83">
        <v>160</v>
      </c>
      <c r="B163" s="83">
        <f>BOM!C165</f>
        <v>252229918</v>
      </c>
      <c r="C163" s="126">
        <f>BOM!F165</f>
        <v>201</v>
      </c>
    </row>
    <row r="164" spans="1:3">
      <c r="A164" s="83">
        <v>161</v>
      </c>
      <c r="B164" s="83">
        <f>BOM!C166</f>
        <v>252230572</v>
      </c>
      <c r="C164" s="126">
        <f>BOM!F166</f>
        <v>102</v>
      </c>
    </row>
    <row r="165" spans="1:3">
      <c r="A165" s="83">
        <v>162</v>
      </c>
      <c r="B165" s="83">
        <f>BOM!C167</f>
        <v>252230579</v>
      </c>
      <c r="C165" s="126">
        <f>BOM!F167</f>
        <v>326</v>
      </c>
    </row>
    <row r="166" spans="1:3">
      <c r="A166" s="83">
        <v>163</v>
      </c>
      <c r="B166" s="83">
        <f>BOM!C168</f>
        <v>252275296</v>
      </c>
      <c r="C166" s="126">
        <f>BOM!F168</f>
        <v>206</v>
      </c>
    </row>
    <row r="167" spans="1:3">
      <c r="A167" s="83">
        <v>164</v>
      </c>
      <c r="B167" s="83">
        <f>BOM!C169</f>
        <v>252272021</v>
      </c>
      <c r="C167" s="126">
        <f>BOM!F169</f>
        <v>62</v>
      </c>
    </row>
    <row r="168" spans="1:3">
      <c r="A168" s="83">
        <v>165</v>
      </c>
      <c r="B168" s="83">
        <f>BOM!C170</f>
        <v>252230690</v>
      </c>
      <c r="C168" s="126">
        <f>BOM!F170</f>
        <v>46</v>
      </c>
    </row>
    <row r="169" spans="1:3">
      <c r="A169" s="83">
        <v>166</v>
      </c>
      <c r="B169" s="83">
        <f>BOM!C171</f>
        <v>252230576</v>
      </c>
      <c r="C169" s="126">
        <f>BOM!F171</f>
        <v>217</v>
      </c>
    </row>
    <row r="170" spans="1:3">
      <c r="A170" s="83">
        <v>167</v>
      </c>
      <c r="B170" s="83">
        <f>BOM!C172</f>
        <v>252229956</v>
      </c>
      <c r="C170" s="126">
        <f>BOM!F172</f>
        <v>388</v>
      </c>
    </row>
    <row r="171" spans="1:3">
      <c r="A171" s="83">
        <v>168</v>
      </c>
      <c r="B171" s="83">
        <f>BOM!C173</f>
        <v>252229953</v>
      </c>
      <c r="C171" s="126">
        <f>BOM!F173</f>
        <v>92</v>
      </c>
    </row>
    <row r="172" spans="1:3">
      <c r="A172" s="83">
        <v>169</v>
      </c>
      <c r="B172" s="83">
        <f>BOM!C174</f>
        <v>252230574</v>
      </c>
      <c r="C172" s="126">
        <f>BOM!F174</f>
        <v>137</v>
      </c>
    </row>
    <row r="173" spans="1:3" ht="14.4" thickBot="1">
      <c r="A173" s="120"/>
      <c r="C173" s="136">
        <f>SUM(C4:C172)</f>
        <v>35820</v>
      </c>
    </row>
    <row r="174" spans="1:3" ht="14.4" thickTop="1"/>
  </sheetData>
  <mergeCells count="2">
    <mergeCell ref="A2:C2"/>
    <mergeCell ref="A1:B1"/>
  </mergeCells>
  <pageMargins left="1.86" right="0.7" top="0.87" bottom="0.59" header="0.3" footer="0.17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1B718-E6B3-476A-9765-02C8C06155C3}">
  <sheetPr codeName="Sheet50">
    <tabColor theme="6" tint="0.39997558519241921"/>
  </sheetPr>
  <dimension ref="A1:O56"/>
  <sheetViews>
    <sheetView tabSelected="1" view="pageBreakPreview" zoomScale="70" zoomScaleNormal="100" zoomScaleSheetLayoutView="70" workbookViewId="0">
      <pane xSplit="4" ySplit="7" topLeftCell="E44" activePane="bottomRight" state="frozen"/>
      <selection activeCell="A179" sqref="A11:XFD179"/>
      <selection pane="topRight" activeCell="A179" sqref="A11:XFD179"/>
      <selection pane="bottomLeft" activeCell="A179" sqref="A11:XFD179"/>
      <selection pane="bottomRight" activeCell="H49" sqref="H49:I49"/>
    </sheetView>
  </sheetViews>
  <sheetFormatPr defaultColWidth="9.109375" defaultRowHeight="13.2"/>
  <cols>
    <col min="1" max="1" width="6.5546875" style="85" customWidth="1"/>
    <col min="2" max="2" width="20.109375" style="85" customWidth="1"/>
    <col min="3" max="3" width="8.33203125" style="85" customWidth="1"/>
    <col min="4" max="4" width="14.33203125" style="86" customWidth="1"/>
    <col min="5" max="5" width="14" style="85" customWidth="1"/>
    <col min="6" max="6" width="48.33203125" style="85" customWidth="1"/>
    <col min="7" max="7" width="51.44140625" style="85" customWidth="1"/>
    <col min="8" max="8" width="20.44140625" style="85" customWidth="1"/>
    <col min="9" max="9" width="31.44140625" style="85" customWidth="1"/>
    <col min="10" max="10" width="2.5546875" style="85" customWidth="1"/>
    <col min="11" max="14" width="9.109375" style="85"/>
    <col min="15" max="15" width="23.44140625" style="85" customWidth="1"/>
    <col min="16" max="16384" width="9.109375" style="85"/>
  </cols>
  <sheetData>
    <row r="1" spans="1:15" ht="47.25" customHeight="1"/>
    <row r="2" spans="1:15" ht="27" customHeight="1">
      <c r="A2" s="282" t="s">
        <v>0</v>
      </c>
      <c r="B2" s="282"/>
      <c r="C2" s="246" t="str">
        <f>KEY!C2</f>
        <v>FTTH &amp; PeoTV Connections 2026</v>
      </c>
      <c r="D2" s="246"/>
      <c r="E2" s="246"/>
      <c r="F2" s="246"/>
      <c r="G2" s="246"/>
      <c r="H2" s="248" t="s">
        <v>12</v>
      </c>
      <c r="I2" s="248"/>
    </row>
    <row r="3" spans="1:15" ht="15" customHeight="1">
      <c r="A3" s="282" t="s">
        <v>1</v>
      </c>
      <c r="B3" s="282"/>
      <c r="C3" s="329" t="str">
        <f>KEY!C4</f>
        <v>L/0733/2025</v>
      </c>
      <c r="D3" s="329"/>
      <c r="E3" s="329"/>
      <c r="F3" s="329"/>
      <c r="G3" s="72" t="s">
        <v>62</v>
      </c>
      <c r="H3" s="248"/>
      <c r="I3" s="248"/>
    </row>
    <row r="4" spans="1:15" ht="15" customHeight="1">
      <c r="A4" s="282" t="s">
        <v>2</v>
      </c>
      <c r="B4" s="282"/>
      <c r="C4" s="329" t="str">
        <f>KEY!C5</f>
        <v>Anuradhapura</v>
      </c>
      <c r="D4" s="329"/>
      <c r="E4" s="329"/>
      <c r="F4" s="329"/>
      <c r="G4" s="329"/>
      <c r="H4" s="248"/>
      <c r="I4" s="248"/>
    </row>
    <row r="5" spans="1:15" ht="15" customHeight="1">
      <c r="A5" s="282" t="s">
        <v>59</v>
      </c>
      <c r="B5" s="282"/>
      <c r="C5" s="342" t="str">
        <f>KEY!C6</f>
        <v>SLTS/FN/26/AD/JAN/01</v>
      </c>
      <c r="D5" s="342"/>
      <c r="E5" s="342"/>
      <c r="F5" s="342"/>
      <c r="G5" s="342"/>
      <c r="H5" s="71" t="str">
        <f>KEY!I10</f>
        <v>From: 1-Jan-2026</v>
      </c>
      <c r="I5" s="87" t="str">
        <f>KEY!J10</f>
        <v>To: 31-Jan-2026</v>
      </c>
    </row>
    <row r="6" spans="1:15" ht="15" customHeight="1">
      <c r="A6" s="344"/>
      <c r="B6" s="344"/>
      <c r="C6" s="344"/>
      <c r="D6" s="344"/>
      <c r="E6" s="344"/>
      <c r="F6" s="344"/>
      <c r="G6" s="344"/>
      <c r="H6" s="344"/>
      <c r="I6" s="344"/>
    </row>
    <row r="7" spans="1:15" s="15" customFormat="1" ht="45.75" customHeight="1">
      <c r="A7" s="26" t="s">
        <v>55</v>
      </c>
      <c r="B7" s="74" t="s">
        <v>83</v>
      </c>
      <c r="C7" s="74" t="s">
        <v>11</v>
      </c>
      <c r="D7" s="74" t="s">
        <v>13</v>
      </c>
      <c r="E7" s="74" t="s">
        <v>8</v>
      </c>
      <c r="F7" s="74" t="s">
        <v>74</v>
      </c>
      <c r="G7" s="74" t="s">
        <v>75</v>
      </c>
      <c r="H7" s="343" t="s">
        <v>21</v>
      </c>
      <c r="I7" s="343"/>
      <c r="K7" s="97" t="s">
        <v>95</v>
      </c>
      <c r="L7" s="97" t="s">
        <v>96</v>
      </c>
      <c r="M7" s="97" t="s">
        <v>97</v>
      </c>
      <c r="N7" s="98" t="s">
        <v>57</v>
      </c>
      <c r="O7" s="99" t="s">
        <v>745</v>
      </c>
    </row>
    <row r="8" spans="1:15" s="15" customFormat="1" ht="19.2" customHeight="1">
      <c r="A8" s="73">
        <v>1</v>
      </c>
      <c r="B8" s="88">
        <v>252229851</v>
      </c>
      <c r="C8" s="89">
        <v>42</v>
      </c>
      <c r="D8" s="88">
        <f>SUM(K8:M8)</f>
        <v>1</v>
      </c>
      <c r="E8" s="88" t="s">
        <v>159</v>
      </c>
      <c r="F8" s="88"/>
      <c r="G8" s="80" t="s">
        <v>788</v>
      </c>
      <c r="H8" s="246"/>
      <c r="I8" s="246"/>
      <c r="K8" s="91"/>
      <c r="L8" s="91">
        <v>1</v>
      </c>
      <c r="M8" s="91"/>
      <c r="N8" s="91"/>
      <c r="O8" s="91" t="s">
        <v>788</v>
      </c>
    </row>
    <row r="9" spans="1:15" s="15" customFormat="1" ht="19.5" customHeight="1">
      <c r="A9" s="73">
        <v>2</v>
      </c>
      <c r="B9" s="88">
        <v>252229861</v>
      </c>
      <c r="C9" s="89">
        <v>5</v>
      </c>
      <c r="D9" s="88">
        <f t="shared" ref="D9:D19" si="0">SUM(K9:M9)</f>
        <v>1</v>
      </c>
      <c r="E9" s="88" t="s">
        <v>159</v>
      </c>
      <c r="F9" s="88"/>
      <c r="G9" s="80" t="s">
        <v>789</v>
      </c>
      <c r="H9" s="246"/>
      <c r="I9" s="246"/>
      <c r="K9" s="91"/>
      <c r="L9" s="91">
        <v>1</v>
      </c>
      <c r="M9" s="91"/>
      <c r="N9" s="91"/>
      <c r="O9" s="91" t="s">
        <v>789</v>
      </c>
    </row>
    <row r="10" spans="1:15" s="15" customFormat="1" ht="19.5" customHeight="1">
      <c r="A10" s="73">
        <v>3</v>
      </c>
      <c r="B10" s="88">
        <v>252230588</v>
      </c>
      <c r="C10" s="88">
        <v>43</v>
      </c>
      <c r="D10" s="88">
        <f t="shared" si="0"/>
        <v>2</v>
      </c>
      <c r="E10" s="90" t="s">
        <v>159</v>
      </c>
      <c r="F10" s="80"/>
      <c r="G10" s="73" t="s">
        <v>746</v>
      </c>
      <c r="H10" s="246"/>
      <c r="I10" s="246"/>
      <c r="K10" s="91"/>
      <c r="L10" s="91">
        <v>2</v>
      </c>
      <c r="M10" s="91"/>
      <c r="N10" s="91"/>
      <c r="O10" s="91" t="s">
        <v>746</v>
      </c>
    </row>
    <row r="11" spans="1:15" s="15" customFormat="1" ht="19.5" customHeight="1">
      <c r="A11" s="73">
        <v>4</v>
      </c>
      <c r="B11" s="88">
        <v>252262949</v>
      </c>
      <c r="C11" s="89">
        <v>43</v>
      </c>
      <c r="D11" s="88">
        <f t="shared" si="0"/>
        <v>1</v>
      </c>
      <c r="E11" s="88" t="s">
        <v>159</v>
      </c>
      <c r="F11" s="88"/>
      <c r="G11" s="80" t="s">
        <v>747</v>
      </c>
      <c r="H11" s="246"/>
      <c r="I11" s="246"/>
      <c r="K11" s="91"/>
      <c r="L11" s="91">
        <v>1</v>
      </c>
      <c r="M11" s="91"/>
      <c r="N11" s="91"/>
      <c r="O11" s="91" t="s">
        <v>747</v>
      </c>
    </row>
    <row r="12" spans="1:15" s="15" customFormat="1" ht="19.5" customHeight="1">
      <c r="A12" s="73">
        <v>5</v>
      </c>
      <c r="B12" s="88">
        <v>252262939</v>
      </c>
      <c r="C12" s="89">
        <v>43</v>
      </c>
      <c r="D12" s="88">
        <f t="shared" si="0"/>
        <v>2</v>
      </c>
      <c r="E12" s="88" t="s">
        <v>159</v>
      </c>
      <c r="F12" s="88"/>
      <c r="G12" s="80" t="s">
        <v>748</v>
      </c>
      <c r="H12" s="246"/>
      <c r="I12" s="246"/>
      <c r="K12" s="91"/>
      <c r="L12" s="91">
        <v>2</v>
      </c>
      <c r="M12" s="91"/>
      <c r="N12" s="91"/>
      <c r="O12" s="91" t="s">
        <v>748</v>
      </c>
    </row>
    <row r="13" spans="1:15" s="15" customFormat="1" ht="19.5" customHeight="1">
      <c r="A13" s="73">
        <v>6</v>
      </c>
      <c r="B13" s="88">
        <v>252229873</v>
      </c>
      <c r="C13" s="88">
        <v>20</v>
      </c>
      <c r="D13" s="88">
        <f t="shared" si="0"/>
        <v>2</v>
      </c>
      <c r="E13" s="90" t="s">
        <v>159</v>
      </c>
      <c r="F13" s="80"/>
      <c r="G13" s="73" t="s">
        <v>749</v>
      </c>
      <c r="H13" s="246"/>
      <c r="I13" s="246"/>
      <c r="K13" s="91"/>
      <c r="L13" s="91">
        <v>2</v>
      </c>
      <c r="M13" s="91"/>
      <c r="N13" s="91"/>
      <c r="O13" s="91" t="s">
        <v>749</v>
      </c>
    </row>
    <row r="14" spans="1:15" s="15" customFormat="1" ht="19.5" customHeight="1">
      <c r="A14" s="73">
        <v>7</v>
      </c>
      <c r="B14" s="88">
        <v>252229872</v>
      </c>
      <c r="C14" s="89">
        <v>20</v>
      </c>
      <c r="D14" s="88">
        <f t="shared" si="0"/>
        <v>1</v>
      </c>
      <c r="E14" s="88" t="s">
        <v>159</v>
      </c>
      <c r="F14" s="80" t="s">
        <v>750</v>
      </c>
      <c r="G14" s="91"/>
      <c r="H14" s="246"/>
      <c r="I14" s="246"/>
      <c r="K14" s="91">
        <v>1</v>
      </c>
      <c r="L14" s="91"/>
      <c r="M14" s="91"/>
      <c r="N14" s="91"/>
      <c r="O14" s="91" t="s">
        <v>750</v>
      </c>
    </row>
    <row r="15" spans="1:15" s="15" customFormat="1" ht="19.5" customHeight="1">
      <c r="A15" s="73">
        <v>8</v>
      </c>
      <c r="B15" s="88">
        <v>252229874</v>
      </c>
      <c r="C15" s="89">
        <v>20</v>
      </c>
      <c r="D15" s="88">
        <f t="shared" si="0"/>
        <v>2</v>
      </c>
      <c r="E15" s="88" t="s">
        <v>159</v>
      </c>
      <c r="F15" s="88"/>
      <c r="G15" s="80" t="s">
        <v>751</v>
      </c>
      <c r="H15" s="246"/>
      <c r="I15" s="246"/>
      <c r="K15" s="91"/>
      <c r="L15" s="91">
        <v>2</v>
      </c>
      <c r="M15" s="91"/>
      <c r="N15" s="91"/>
      <c r="O15" s="91" t="s">
        <v>751</v>
      </c>
    </row>
    <row r="16" spans="1:15" s="15" customFormat="1" ht="19.5" customHeight="1">
      <c r="A16" s="73">
        <v>9</v>
      </c>
      <c r="B16" s="88">
        <v>252229843</v>
      </c>
      <c r="C16" s="88">
        <v>5</v>
      </c>
      <c r="D16" s="88">
        <f t="shared" si="0"/>
        <v>1</v>
      </c>
      <c r="E16" s="90" t="s">
        <v>396</v>
      </c>
      <c r="F16" s="80"/>
      <c r="G16" s="73" t="s">
        <v>752</v>
      </c>
      <c r="H16" s="246"/>
      <c r="I16" s="246"/>
      <c r="K16" s="91"/>
      <c r="L16" s="91">
        <v>1</v>
      </c>
      <c r="M16" s="91"/>
      <c r="N16" s="91"/>
      <c r="O16" s="91" t="s">
        <v>752</v>
      </c>
    </row>
    <row r="17" spans="1:15" s="15" customFormat="1" ht="19.5" customHeight="1">
      <c r="A17" s="73">
        <v>10</v>
      </c>
      <c r="B17" s="88">
        <v>252266370</v>
      </c>
      <c r="C17" s="89">
        <v>28</v>
      </c>
      <c r="D17" s="88">
        <f t="shared" si="0"/>
        <v>1</v>
      </c>
      <c r="E17" s="88" t="s">
        <v>396</v>
      </c>
      <c r="F17" s="80" t="s">
        <v>753</v>
      </c>
      <c r="G17" s="91"/>
      <c r="H17" s="246"/>
      <c r="I17" s="246"/>
      <c r="K17" s="91">
        <v>1</v>
      </c>
      <c r="L17" s="91"/>
      <c r="M17" s="91"/>
      <c r="N17" s="91"/>
      <c r="O17" s="91" t="s">
        <v>753</v>
      </c>
    </row>
    <row r="18" spans="1:15" s="15" customFormat="1" ht="19.2" customHeight="1">
      <c r="A18" s="73">
        <v>11</v>
      </c>
      <c r="B18" s="88">
        <v>252262484</v>
      </c>
      <c r="C18" s="89">
        <v>14</v>
      </c>
      <c r="D18" s="88">
        <f t="shared" si="0"/>
        <v>1</v>
      </c>
      <c r="E18" s="88" t="s">
        <v>159</v>
      </c>
      <c r="F18" s="80"/>
      <c r="G18" s="80" t="s">
        <v>754</v>
      </c>
      <c r="H18" s="246"/>
      <c r="I18" s="246"/>
      <c r="K18" s="91"/>
      <c r="L18" s="91">
        <v>1</v>
      </c>
      <c r="M18" s="91"/>
      <c r="N18" s="91"/>
      <c r="O18" s="91" t="s">
        <v>754</v>
      </c>
    </row>
    <row r="19" spans="1:15" s="15" customFormat="1" ht="19.5" customHeight="1">
      <c r="A19" s="73">
        <v>12</v>
      </c>
      <c r="B19" s="88">
        <v>252262505</v>
      </c>
      <c r="C19" s="88">
        <v>6</v>
      </c>
      <c r="D19" s="88">
        <f t="shared" si="0"/>
        <v>2</v>
      </c>
      <c r="E19" s="90" t="s">
        <v>433</v>
      </c>
      <c r="F19" s="80"/>
      <c r="G19" s="73" t="s">
        <v>755</v>
      </c>
      <c r="H19" s="246"/>
      <c r="I19" s="246"/>
      <c r="K19" s="91"/>
      <c r="L19" s="91">
        <v>2</v>
      </c>
      <c r="M19" s="91"/>
      <c r="N19" s="91"/>
      <c r="O19" s="91" t="s">
        <v>755</v>
      </c>
    </row>
    <row r="20" spans="1:15" s="15" customFormat="1" ht="19.5" customHeight="1">
      <c r="A20" s="73">
        <v>13</v>
      </c>
      <c r="B20" s="88">
        <v>252235757</v>
      </c>
      <c r="C20" s="89">
        <v>1</v>
      </c>
      <c r="D20" s="88">
        <f>SUM(K20:M20)</f>
        <v>1</v>
      </c>
      <c r="E20" s="88" t="s">
        <v>159</v>
      </c>
      <c r="F20" s="88"/>
      <c r="G20" s="80" t="s">
        <v>756</v>
      </c>
      <c r="H20" s="246"/>
      <c r="I20" s="246"/>
      <c r="K20" s="91"/>
      <c r="L20" s="91">
        <v>1</v>
      </c>
      <c r="M20" s="91"/>
      <c r="N20" s="91"/>
      <c r="O20" s="91" t="s">
        <v>756</v>
      </c>
    </row>
    <row r="21" spans="1:15" s="15" customFormat="1" ht="19.5" customHeight="1">
      <c r="A21" s="73">
        <v>14</v>
      </c>
      <c r="B21" s="88">
        <v>252229884</v>
      </c>
      <c r="C21" s="89">
        <v>8</v>
      </c>
      <c r="D21" s="88">
        <f t="shared" ref="D21:D31" si="1">SUM(K21:M21)</f>
        <v>1</v>
      </c>
      <c r="E21" s="88" t="s">
        <v>440</v>
      </c>
      <c r="F21" s="88"/>
      <c r="G21" s="80" t="s">
        <v>757</v>
      </c>
      <c r="H21" s="246"/>
      <c r="I21" s="246"/>
      <c r="K21" s="91"/>
      <c r="L21" s="91">
        <v>1</v>
      </c>
      <c r="M21" s="91"/>
      <c r="N21" s="91"/>
      <c r="O21" s="91" t="s">
        <v>757</v>
      </c>
    </row>
    <row r="22" spans="1:15" s="15" customFormat="1" ht="19.5" customHeight="1">
      <c r="A22" s="73">
        <v>15</v>
      </c>
      <c r="B22" s="88">
        <v>252229980</v>
      </c>
      <c r="C22" s="88">
        <v>12</v>
      </c>
      <c r="D22" s="88">
        <f t="shared" si="1"/>
        <v>2</v>
      </c>
      <c r="E22" s="90" t="s">
        <v>444</v>
      </c>
      <c r="F22" s="80"/>
      <c r="G22" s="73" t="s">
        <v>758</v>
      </c>
      <c r="H22" s="246"/>
      <c r="I22" s="246"/>
      <c r="K22" s="91"/>
      <c r="L22" s="91">
        <v>2</v>
      </c>
      <c r="M22" s="91"/>
      <c r="N22" s="91"/>
      <c r="O22" s="91" t="s">
        <v>758</v>
      </c>
    </row>
    <row r="23" spans="1:15" s="15" customFormat="1" ht="19.5" customHeight="1">
      <c r="A23" s="73">
        <v>16</v>
      </c>
      <c r="B23" s="88">
        <v>252229916</v>
      </c>
      <c r="C23" s="89">
        <v>5</v>
      </c>
      <c r="D23" s="88">
        <f t="shared" si="1"/>
        <v>2</v>
      </c>
      <c r="E23" s="88" t="s">
        <v>159</v>
      </c>
      <c r="F23" s="88"/>
      <c r="G23" s="80" t="s">
        <v>759</v>
      </c>
      <c r="H23" s="246"/>
      <c r="I23" s="246"/>
      <c r="K23" s="91"/>
      <c r="L23" s="91">
        <v>2</v>
      </c>
      <c r="M23" s="91"/>
      <c r="N23" s="91"/>
      <c r="O23" s="91" t="s">
        <v>759</v>
      </c>
    </row>
    <row r="24" spans="1:15" s="15" customFormat="1" ht="19.5" customHeight="1">
      <c r="A24" s="73">
        <v>17</v>
      </c>
      <c r="B24" s="88">
        <v>252262205</v>
      </c>
      <c r="C24" s="89">
        <v>4</v>
      </c>
      <c r="D24" s="88">
        <f t="shared" si="1"/>
        <v>3</v>
      </c>
      <c r="E24" s="88" t="s">
        <v>159</v>
      </c>
      <c r="F24" s="88"/>
      <c r="G24" s="80" t="s">
        <v>760</v>
      </c>
      <c r="H24" s="246"/>
      <c r="I24" s="246"/>
      <c r="K24" s="91"/>
      <c r="L24" s="91">
        <v>3</v>
      </c>
      <c r="M24" s="91"/>
      <c r="N24" s="91"/>
      <c r="O24" s="91" t="s">
        <v>760</v>
      </c>
    </row>
    <row r="25" spans="1:15" s="15" customFormat="1" ht="19.5" customHeight="1">
      <c r="A25" s="73">
        <v>18</v>
      </c>
      <c r="B25" s="88">
        <v>252229893</v>
      </c>
      <c r="C25" s="88">
        <v>3</v>
      </c>
      <c r="D25" s="88">
        <f t="shared" si="1"/>
        <v>2</v>
      </c>
      <c r="E25" s="90" t="s">
        <v>404</v>
      </c>
      <c r="F25" s="80"/>
      <c r="G25" s="73" t="s">
        <v>761</v>
      </c>
      <c r="H25" s="246"/>
      <c r="I25" s="246"/>
      <c r="K25" s="91"/>
      <c r="L25" s="91">
        <v>2</v>
      </c>
      <c r="M25" s="91"/>
      <c r="N25" s="91"/>
      <c r="O25" s="91" t="s">
        <v>761</v>
      </c>
    </row>
    <row r="26" spans="1:15" s="15" customFormat="1" ht="19.5" customHeight="1">
      <c r="A26" s="73">
        <v>19</v>
      </c>
      <c r="B26" s="88">
        <v>252262173</v>
      </c>
      <c r="C26" s="89">
        <v>2</v>
      </c>
      <c r="D26" s="88">
        <f t="shared" si="1"/>
        <v>4</v>
      </c>
      <c r="E26" s="88" t="s">
        <v>396</v>
      </c>
      <c r="F26" s="88"/>
      <c r="G26" s="80" t="s">
        <v>762</v>
      </c>
      <c r="H26" s="246"/>
      <c r="I26" s="246"/>
      <c r="K26" s="91"/>
      <c r="L26" s="91">
        <v>4</v>
      </c>
      <c r="M26" s="91"/>
      <c r="N26" s="91"/>
      <c r="O26" s="91" t="s">
        <v>762</v>
      </c>
    </row>
    <row r="27" spans="1:15" s="15" customFormat="1" ht="19.5" customHeight="1">
      <c r="A27" s="73">
        <v>20</v>
      </c>
      <c r="B27" s="88">
        <v>252250223</v>
      </c>
      <c r="C27" s="89">
        <v>4</v>
      </c>
      <c r="D27" s="88">
        <f t="shared" si="1"/>
        <v>2</v>
      </c>
      <c r="E27" s="88" t="s">
        <v>581</v>
      </c>
      <c r="F27" s="88"/>
      <c r="G27" s="80" t="s">
        <v>763</v>
      </c>
      <c r="H27" s="246"/>
      <c r="I27" s="246"/>
      <c r="K27" s="91"/>
      <c r="L27" s="91">
        <v>2</v>
      </c>
      <c r="M27" s="91"/>
      <c r="N27" s="91"/>
      <c r="O27" s="91" t="s">
        <v>763</v>
      </c>
    </row>
    <row r="28" spans="1:15" s="15" customFormat="1" ht="19.5" customHeight="1">
      <c r="A28" s="73">
        <v>21</v>
      </c>
      <c r="B28" s="88">
        <v>252281234</v>
      </c>
      <c r="C28" s="88">
        <v>2</v>
      </c>
      <c r="D28" s="88">
        <f t="shared" si="1"/>
        <v>2</v>
      </c>
      <c r="E28" s="90" t="s">
        <v>440</v>
      </c>
      <c r="F28" s="80"/>
      <c r="G28" s="73" t="s">
        <v>764</v>
      </c>
      <c r="H28" s="246"/>
      <c r="I28" s="246"/>
      <c r="K28" s="91"/>
      <c r="L28" s="91">
        <v>2</v>
      </c>
      <c r="M28" s="91"/>
      <c r="N28" s="91"/>
      <c r="O28" s="91" t="s">
        <v>764</v>
      </c>
    </row>
    <row r="29" spans="1:15" s="15" customFormat="1" ht="19.5" customHeight="1">
      <c r="A29" s="73">
        <v>22</v>
      </c>
      <c r="B29" s="88">
        <v>252281158</v>
      </c>
      <c r="C29" s="89">
        <v>2</v>
      </c>
      <c r="D29" s="88">
        <f t="shared" si="1"/>
        <v>2</v>
      </c>
      <c r="E29" s="88" t="s">
        <v>440</v>
      </c>
      <c r="F29" s="88"/>
      <c r="G29" s="80" t="s">
        <v>765</v>
      </c>
      <c r="H29" s="246"/>
      <c r="I29" s="246"/>
      <c r="K29" s="91"/>
      <c r="L29" s="91">
        <v>2</v>
      </c>
      <c r="M29" s="91"/>
      <c r="N29" s="91"/>
      <c r="O29" s="91" t="s">
        <v>765</v>
      </c>
    </row>
    <row r="30" spans="1:15" s="15" customFormat="1" ht="19.5" customHeight="1">
      <c r="A30" s="73">
        <v>23</v>
      </c>
      <c r="B30" s="88">
        <v>252281282</v>
      </c>
      <c r="C30" s="89">
        <v>2</v>
      </c>
      <c r="D30" s="88">
        <f t="shared" si="1"/>
        <v>2</v>
      </c>
      <c r="E30" s="88" t="s">
        <v>440</v>
      </c>
      <c r="F30" s="88"/>
      <c r="G30" s="80" t="s">
        <v>766</v>
      </c>
      <c r="H30" s="246"/>
      <c r="I30" s="246"/>
      <c r="K30" s="91"/>
      <c r="L30" s="91">
        <v>2</v>
      </c>
      <c r="M30" s="91"/>
      <c r="N30" s="91"/>
      <c r="O30" s="91" t="s">
        <v>766</v>
      </c>
    </row>
    <row r="31" spans="1:15" s="15" customFormat="1" ht="19.5" customHeight="1">
      <c r="A31" s="73">
        <v>24</v>
      </c>
      <c r="B31" s="88">
        <v>252281154</v>
      </c>
      <c r="C31" s="88">
        <v>2</v>
      </c>
      <c r="D31" s="88">
        <f t="shared" si="1"/>
        <v>2</v>
      </c>
      <c r="E31" s="90" t="s">
        <v>440</v>
      </c>
      <c r="F31" s="80"/>
      <c r="G31" s="73" t="s">
        <v>767</v>
      </c>
      <c r="H31" s="246"/>
      <c r="I31" s="246"/>
      <c r="K31" s="91"/>
      <c r="L31" s="91">
        <v>2</v>
      </c>
      <c r="M31" s="91"/>
      <c r="N31" s="91"/>
      <c r="O31" s="91" t="s">
        <v>767</v>
      </c>
    </row>
    <row r="32" spans="1:15" s="15" customFormat="1" ht="19.2" customHeight="1">
      <c r="A32" s="73">
        <v>25</v>
      </c>
      <c r="B32" s="88">
        <v>252262565</v>
      </c>
      <c r="C32" s="89">
        <v>2</v>
      </c>
      <c r="D32" s="88">
        <f>SUM(K32:M32)</f>
        <v>1</v>
      </c>
      <c r="E32" s="88" t="s">
        <v>444</v>
      </c>
      <c r="F32" s="88"/>
      <c r="G32" s="80" t="s">
        <v>768</v>
      </c>
      <c r="H32" s="246"/>
      <c r="I32" s="246"/>
      <c r="K32" s="91"/>
      <c r="L32" s="91">
        <v>1</v>
      </c>
      <c r="M32" s="91"/>
      <c r="N32" s="91"/>
      <c r="O32" s="91" t="s">
        <v>768</v>
      </c>
    </row>
    <row r="33" spans="1:15" s="15" customFormat="1" ht="19.5" customHeight="1">
      <c r="A33" s="73">
        <v>26</v>
      </c>
      <c r="B33" s="88">
        <v>252262877</v>
      </c>
      <c r="C33" s="89">
        <v>35</v>
      </c>
      <c r="D33" s="88">
        <f t="shared" ref="D33:D43" si="2">SUM(K33:M33)</f>
        <v>2</v>
      </c>
      <c r="E33" s="88" t="s">
        <v>159</v>
      </c>
      <c r="F33" s="88"/>
      <c r="G33" s="80" t="s">
        <v>769</v>
      </c>
      <c r="H33" s="246"/>
      <c r="I33" s="246"/>
      <c r="K33" s="91"/>
      <c r="L33" s="91">
        <v>2</v>
      </c>
      <c r="M33" s="91"/>
      <c r="N33" s="91"/>
      <c r="O33" s="91" t="s">
        <v>769</v>
      </c>
    </row>
    <row r="34" spans="1:15" s="15" customFormat="1" ht="19.5" customHeight="1">
      <c r="A34" s="73">
        <v>27</v>
      </c>
      <c r="B34" s="88">
        <v>252262866</v>
      </c>
      <c r="C34" s="88">
        <v>37</v>
      </c>
      <c r="D34" s="88">
        <f t="shared" si="2"/>
        <v>2</v>
      </c>
      <c r="E34" s="90" t="s">
        <v>159</v>
      </c>
      <c r="F34" s="80"/>
      <c r="G34" s="73" t="s">
        <v>787</v>
      </c>
      <c r="H34" s="246" t="s">
        <v>786</v>
      </c>
      <c r="I34" s="246"/>
      <c r="K34" s="91"/>
      <c r="L34" s="91">
        <v>1</v>
      </c>
      <c r="M34" s="91">
        <v>1</v>
      </c>
      <c r="N34" s="91"/>
      <c r="O34" s="91" t="s">
        <v>770</v>
      </c>
    </row>
    <row r="35" spans="1:15" s="15" customFormat="1" ht="19.5" customHeight="1">
      <c r="A35" s="73">
        <v>28</v>
      </c>
      <c r="B35" s="88">
        <v>252230585</v>
      </c>
      <c r="C35" s="89">
        <v>2</v>
      </c>
      <c r="D35" s="88">
        <f t="shared" si="2"/>
        <v>1</v>
      </c>
      <c r="E35" s="88" t="s">
        <v>444</v>
      </c>
      <c r="F35" s="88"/>
      <c r="G35" s="80"/>
      <c r="H35" s="246" t="s">
        <v>771</v>
      </c>
      <c r="I35" s="246"/>
      <c r="K35" s="91"/>
      <c r="L35" s="91"/>
      <c r="M35" s="91">
        <v>1</v>
      </c>
      <c r="N35" s="91"/>
      <c r="O35" s="91" t="s">
        <v>771</v>
      </c>
    </row>
    <row r="36" spans="1:15" s="15" customFormat="1" ht="19.5" customHeight="1">
      <c r="A36" s="73">
        <v>29</v>
      </c>
      <c r="B36" s="88">
        <v>252229934</v>
      </c>
      <c r="C36" s="89">
        <v>4</v>
      </c>
      <c r="D36" s="88">
        <f t="shared" si="2"/>
        <v>2</v>
      </c>
      <c r="E36" s="88" t="s">
        <v>581</v>
      </c>
      <c r="F36" s="88"/>
      <c r="G36" s="80" t="s">
        <v>772</v>
      </c>
      <c r="H36" s="246"/>
      <c r="I36" s="246"/>
      <c r="K36" s="91"/>
      <c r="L36" s="91">
        <v>2</v>
      </c>
      <c r="M36" s="91"/>
      <c r="N36" s="91"/>
      <c r="O36" s="91" t="s">
        <v>772</v>
      </c>
    </row>
    <row r="37" spans="1:15" s="15" customFormat="1" ht="19.5" customHeight="1">
      <c r="A37" s="73">
        <v>30</v>
      </c>
      <c r="B37" s="88">
        <v>252229853</v>
      </c>
      <c r="C37" s="88">
        <v>4</v>
      </c>
      <c r="D37" s="88">
        <f t="shared" si="2"/>
        <v>2</v>
      </c>
      <c r="E37" s="90" t="s">
        <v>581</v>
      </c>
      <c r="F37" s="80"/>
      <c r="G37" s="73" t="s">
        <v>773</v>
      </c>
      <c r="H37" s="246"/>
      <c r="I37" s="246"/>
      <c r="K37" s="91"/>
      <c r="L37" s="91">
        <v>2</v>
      </c>
      <c r="M37" s="91"/>
      <c r="N37" s="91"/>
      <c r="O37" s="91" t="s">
        <v>773</v>
      </c>
    </row>
    <row r="38" spans="1:15" s="15" customFormat="1" ht="19.5" customHeight="1">
      <c r="A38" s="73">
        <v>31</v>
      </c>
      <c r="B38" s="88">
        <v>252229932</v>
      </c>
      <c r="C38" s="89">
        <v>4</v>
      </c>
      <c r="D38" s="88">
        <f t="shared" si="2"/>
        <v>2</v>
      </c>
      <c r="E38" s="88" t="s">
        <v>581</v>
      </c>
      <c r="F38" s="88"/>
      <c r="G38" s="80" t="s">
        <v>774</v>
      </c>
      <c r="H38" s="246"/>
      <c r="I38" s="246"/>
      <c r="K38" s="91"/>
      <c r="L38" s="91">
        <v>2</v>
      </c>
      <c r="M38" s="91"/>
      <c r="N38" s="91"/>
      <c r="O38" s="91" t="s">
        <v>774</v>
      </c>
    </row>
    <row r="39" spans="1:15" s="15" customFormat="1" ht="19.5" customHeight="1">
      <c r="A39" s="73">
        <v>32</v>
      </c>
      <c r="B39" s="88">
        <v>252229975</v>
      </c>
      <c r="C39" s="89">
        <v>19</v>
      </c>
      <c r="D39" s="88">
        <f t="shared" si="2"/>
        <v>1</v>
      </c>
      <c r="E39" s="88" t="s">
        <v>159</v>
      </c>
      <c r="F39" s="88"/>
      <c r="G39" s="80" t="s">
        <v>775</v>
      </c>
      <c r="H39" s="246"/>
      <c r="I39" s="246"/>
      <c r="K39" s="91"/>
      <c r="L39" s="91">
        <v>1</v>
      </c>
      <c r="M39" s="91"/>
      <c r="N39" s="91"/>
      <c r="O39" s="91" t="s">
        <v>775</v>
      </c>
    </row>
    <row r="40" spans="1:15" s="15" customFormat="1" ht="19.5" customHeight="1">
      <c r="A40" s="73">
        <v>33</v>
      </c>
      <c r="B40" s="88">
        <v>252229928</v>
      </c>
      <c r="C40" s="88">
        <v>2</v>
      </c>
      <c r="D40" s="88">
        <f t="shared" si="2"/>
        <v>1</v>
      </c>
      <c r="E40" s="90" t="s">
        <v>433</v>
      </c>
      <c r="F40" s="80"/>
      <c r="G40" s="73"/>
      <c r="H40" s="246" t="s">
        <v>776</v>
      </c>
      <c r="I40" s="246"/>
      <c r="K40" s="91"/>
      <c r="L40" s="91"/>
      <c r="M40" s="91">
        <v>1</v>
      </c>
      <c r="N40" s="91"/>
      <c r="O40" s="91" t="s">
        <v>776</v>
      </c>
    </row>
    <row r="41" spans="1:15" s="15" customFormat="1" ht="19.5" customHeight="1">
      <c r="A41" s="73">
        <v>34</v>
      </c>
      <c r="B41" s="88">
        <v>252230569</v>
      </c>
      <c r="C41" s="89">
        <v>21</v>
      </c>
      <c r="D41" s="88">
        <f t="shared" si="2"/>
        <v>2</v>
      </c>
      <c r="E41" s="88" t="s">
        <v>159</v>
      </c>
      <c r="F41" s="88"/>
      <c r="G41" s="80" t="s">
        <v>777</v>
      </c>
      <c r="H41" s="246"/>
      <c r="I41" s="246"/>
      <c r="K41" s="91"/>
      <c r="L41" s="91">
        <v>2</v>
      </c>
      <c r="M41" s="91"/>
      <c r="N41" s="91"/>
      <c r="O41" s="91" t="s">
        <v>777</v>
      </c>
    </row>
    <row r="42" spans="1:15" s="15" customFormat="1" ht="19.5" customHeight="1">
      <c r="A42" s="73">
        <v>35</v>
      </c>
      <c r="B42" s="88">
        <v>252229956</v>
      </c>
      <c r="C42" s="89">
        <v>11</v>
      </c>
      <c r="D42" s="88">
        <f t="shared" si="2"/>
        <v>2</v>
      </c>
      <c r="E42" s="88" t="s">
        <v>440</v>
      </c>
      <c r="F42" s="88"/>
      <c r="G42" s="80" t="s">
        <v>778</v>
      </c>
      <c r="H42" s="246"/>
      <c r="I42" s="246"/>
      <c r="K42" s="91"/>
      <c r="L42" s="91">
        <v>2</v>
      </c>
      <c r="M42" s="91"/>
      <c r="N42" s="91"/>
      <c r="O42" s="91" t="s">
        <v>778</v>
      </c>
    </row>
    <row r="43" spans="1:15" s="15" customFormat="1" ht="19.5" customHeight="1">
      <c r="A43" s="73">
        <v>36</v>
      </c>
      <c r="B43" s="88">
        <v>252272666</v>
      </c>
      <c r="C43" s="88">
        <v>8</v>
      </c>
      <c r="D43" s="88">
        <f t="shared" si="2"/>
        <v>1</v>
      </c>
      <c r="E43" s="90" t="s">
        <v>159</v>
      </c>
      <c r="F43" s="80"/>
      <c r="G43" s="73" t="s">
        <v>779</v>
      </c>
      <c r="H43" s="246"/>
      <c r="I43" s="246"/>
      <c r="K43" s="91"/>
      <c r="L43" s="91">
        <v>1</v>
      </c>
      <c r="M43" s="91"/>
      <c r="N43" s="91"/>
      <c r="O43" s="91" t="s">
        <v>779</v>
      </c>
    </row>
    <row r="44" spans="1:15" s="15" customFormat="1" ht="19.5" customHeight="1">
      <c r="A44" s="73">
        <v>37</v>
      </c>
      <c r="B44" s="88">
        <v>252262234</v>
      </c>
      <c r="C44" s="89">
        <v>2</v>
      </c>
      <c r="D44" s="88">
        <f>SUM(K44:M44)</f>
        <v>3</v>
      </c>
      <c r="E44" s="88" t="s">
        <v>396</v>
      </c>
      <c r="F44" s="88"/>
      <c r="G44" s="80" t="s">
        <v>780</v>
      </c>
      <c r="H44" s="246"/>
      <c r="I44" s="246"/>
      <c r="K44" s="91"/>
      <c r="L44" s="91">
        <v>3</v>
      </c>
      <c r="M44" s="91"/>
      <c r="N44" s="91"/>
      <c r="O44" s="91" t="s">
        <v>780</v>
      </c>
    </row>
    <row r="45" spans="1:15" s="15" customFormat="1" ht="19.5" customHeight="1">
      <c r="A45" s="73">
        <v>38</v>
      </c>
      <c r="B45" s="88">
        <v>252230622</v>
      </c>
      <c r="C45" s="89">
        <v>14</v>
      </c>
      <c r="D45" s="88">
        <f t="shared" ref="D45:D50" si="3">SUM(K45:M45)</f>
        <v>1</v>
      </c>
      <c r="E45" s="88" t="s">
        <v>159</v>
      </c>
      <c r="F45" s="88"/>
      <c r="G45" s="80" t="s">
        <v>781</v>
      </c>
      <c r="H45" s="246"/>
      <c r="I45" s="246"/>
      <c r="K45" s="91"/>
      <c r="L45" s="91">
        <v>1</v>
      </c>
      <c r="M45" s="91"/>
      <c r="N45" s="91"/>
      <c r="O45" s="91" t="s">
        <v>781</v>
      </c>
    </row>
    <row r="46" spans="1:15" s="15" customFormat="1" ht="19.5" customHeight="1">
      <c r="A46" s="73">
        <v>39</v>
      </c>
      <c r="B46" s="88">
        <v>252229946</v>
      </c>
      <c r="C46" s="88">
        <v>2</v>
      </c>
      <c r="D46" s="88">
        <f t="shared" si="3"/>
        <v>1</v>
      </c>
      <c r="E46" s="90" t="s">
        <v>725</v>
      </c>
      <c r="F46" s="80"/>
      <c r="G46" s="73" t="s">
        <v>782</v>
      </c>
      <c r="H46" s="246"/>
      <c r="I46" s="246"/>
      <c r="K46" s="91"/>
      <c r="L46" s="91">
        <v>1</v>
      </c>
      <c r="M46" s="91"/>
      <c r="N46" s="91"/>
      <c r="O46" s="91" t="s">
        <v>782</v>
      </c>
    </row>
    <row r="47" spans="1:15" s="15" customFormat="1" ht="19.5" customHeight="1">
      <c r="A47" s="73">
        <v>40</v>
      </c>
      <c r="B47" s="88">
        <v>252221957</v>
      </c>
      <c r="C47" s="89">
        <v>12</v>
      </c>
      <c r="D47" s="88">
        <f t="shared" si="3"/>
        <v>1</v>
      </c>
      <c r="E47" s="88" t="s">
        <v>159</v>
      </c>
      <c r="F47" s="88" t="s">
        <v>783</v>
      </c>
      <c r="G47" s="80"/>
      <c r="H47" s="246"/>
      <c r="I47" s="246"/>
      <c r="K47" s="91">
        <v>1</v>
      </c>
      <c r="L47" s="91"/>
      <c r="M47" s="91"/>
      <c r="N47" s="91"/>
      <c r="O47" s="91" t="s">
        <v>783</v>
      </c>
    </row>
    <row r="48" spans="1:15" s="15" customFormat="1" ht="19.5" customHeight="1">
      <c r="A48" s="73">
        <v>41</v>
      </c>
      <c r="B48" s="88">
        <v>252229983</v>
      </c>
      <c r="C48" s="89">
        <v>14</v>
      </c>
      <c r="D48" s="88">
        <f t="shared" si="3"/>
        <v>1</v>
      </c>
      <c r="E48" s="88" t="s">
        <v>159</v>
      </c>
      <c r="F48" s="88"/>
      <c r="G48" s="80" t="s">
        <v>790</v>
      </c>
      <c r="H48" s="246"/>
      <c r="I48" s="246"/>
      <c r="K48" s="91"/>
      <c r="L48" s="91">
        <v>1</v>
      </c>
      <c r="M48" s="91"/>
      <c r="N48" s="91"/>
      <c r="O48" s="91" t="s">
        <v>790</v>
      </c>
    </row>
    <row r="49" spans="1:15" s="15" customFormat="1" ht="19.5" customHeight="1">
      <c r="A49" s="73">
        <v>42</v>
      </c>
      <c r="B49" s="88">
        <v>252230576</v>
      </c>
      <c r="C49" s="88">
        <v>39</v>
      </c>
      <c r="D49" s="88">
        <f t="shared" si="3"/>
        <v>2</v>
      </c>
      <c r="E49" s="90" t="s">
        <v>418</v>
      </c>
      <c r="F49" s="80"/>
      <c r="G49" s="73" t="s">
        <v>784</v>
      </c>
      <c r="H49" s="246"/>
      <c r="I49" s="246"/>
      <c r="K49" s="91"/>
      <c r="L49" s="91">
        <v>2</v>
      </c>
      <c r="M49" s="91"/>
      <c r="N49" s="91"/>
      <c r="O49" s="91" t="s">
        <v>784</v>
      </c>
    </row>
    <row r="50" spans="1:15" s="15" customFormat="1" ht="19.5" customHeight="1">
      <c r="A50" s="73">
        <v>43</v>
      </c>
      <c r="B50" s="88">
        <v>252272333</v>
      </c>
      <c r="C50" s="89">
        <v>2</v>
      </c>
      <c r="D50" s="88">
        <f t="shared" si="3"/>
        <v>2</v>
      </c>
      <c r="E50" s="88" t="s">
        <v>725</v>
      </c>
      <c r="F50" s="88" t="s">
        <v>792</v>
      </c>
      <c r="G50" s="80"/>
      <c r="H50" s="246" t="s">
        <v>785</v>
      </c>
      <c r="I50" s="246"/>
      <c r="K50" s="91"/>
      <c r="L50" s="91">
        <v>1</v>
      </c>
      <c r="M50" s="91">
        <v>1</v>
      </c>
      <c r="N50" s="91"/>
      <c r="O50" s="91" t="s">
        <v>791</v>
      </c>
    </row>
    <row r="51" spans="1:15" s="15" customFormat="1" ht="18.600000000000001" thickBot="1">
      <c r="A51" s="338"/>
      <c r="B51" s="339"/>
      <c r="C51" s="340"/>
      <c r="D51" s="92">
        <f>SUM(D8:D50)</f>
        <v>72</v>
      </c>
      <c r="E51" s="93"/>
      <c r="F51" s="92">
        <f>BOM!G175</f>
        <v>4</v>
      </c>
      <c r="G51" s="92">
        <f>BOM!H175</f>
        <v>64</v>
      </c>
      <c r="H51" s="341">
        <f>BOM!I175</f>
        <v>4</v>
      </c>
      <c r="I51" s="341"/>
      <c r="K51" s="92">
        <f>SUM(K8:K50)</f>
        <v>3</v>
      </c>
      <c r="L51" s="92">
        <f t="shared" ref="L51:N51" si="4">SUM(L8:L50)</f>
        <v>65</v>
      </c>
      <c r="M51" s="92">
        <f t="shared" si="4"/>
        <v>4</v>
      </c>
      <c r="N51" s="92">
        <f t="shared" si="4"/>
        <v>0</v>
      </c>
      <c r="O51" s="92">
        <f>SUM(K51:N51)</f>
        <v>72</v>
      </c>
    </row>
    <row r="52" spans="1:15" s="15" customFormat="1" ht="15" customHeight="1" thickTop="1">
      <c r="A52" s="41"/>
      <c r="B52" s="41"/>
      <c r="C52" s="41"/>
      <c r="D52" s="41"/>
      <c r="E52" s="41"/>
      <c r="F52" s="41"/>
      <c r="G52" s="41"/>
      <c r="H52" s="41"/>
      <c r="I52" s="41"/>
    </row>
    <row r="53" spans="1:15" s="15" customFormat="1" ht="18">
      <c r="A53" s="94" t="s">
        <v>63</v>
      </c>
      <c r="B53" s="94"/>
      <c r="C53" s="94"/>
      <c r="D53" s="95"/>
      <c r="E53" s="94"/>
      <c r="F53" s="94"/>
      <c r="G53" s="94"/>
      <c r="H53" s="94"/>
      <c r="I53" s="94"/>
    </row>
    <row r="54" spans="1:15" s="15" customFormat="1" ht="18">
      <c r="A54" s="282" t="s">
        <v>64</v>
      </c>
      <c r="B54" s="282"/>
      <c r="C54" s="282"/>
      <c r="D54" s="282"/>
      <c r="E54" s="282"/>
      <c r="F54" s="282"/>
      <c r="G54" s="282"/>
      <c r="H54" s="282"/>
      <c r="I54" s="282"/>
    </row>
    <row r="55" spans="1:15" s="15" customFormat="1" ht="24" customHeight="1">
      <c r="A55" s="248" t="s">
        <v>141</v>
      </c>
      <c r="B55" s="248"/>
      <c r="C55" s="248"/>
      <c r="D55" s="248"/>
      <c r="E55" s="248" t="s">
        <v>22</v>
      </c>
      <c r="F55" s="248"/>
      <c r="G55" s="248"/>
      <c r="H55" s="248" t="s">
        <v>142</v>
      </c>
      <c r="I55" s="248"/>
    </row>
    <row r="56" spans="1:15" s="15" customFormat="1" ht="102.75" customHeight="1">
      <c r="A56" s="330"/>
      <c r="B56" s="330"/>
      <c r="C56" s="330"/>
      <c r="D56" s="330"/>
      <c r="E56" s="330"/>
      <c r="F56" s="330"/>
      <c r="G56" s="330"/>
      <c r="H56" s="330"/>
      <c r="I56" s="330"/>
    </row>
  </sheetData>
  <mergeCells count="63">
    <mergeCell ref="H42:I42"/>
    <mergeCell ref="H43:I43"/>
    <mergeCell ref="H37:I37"/>
    <mergeCell ref="H38:I38"/>
    <mergeCell ref="H39:I39"/>
    <mergeCell ref="H40:I40"/>
    <mergeCell ref="H41:I41"/>
    <mergeCell ref="A5:B5"/>
    <mergeCell ref="C5:G5"/>
    <mergeCell ref="H7:I7"/>
    <mergeCell ref="H50:I50"/>
    <mergeCell ref="H47:I47"/>
    <mergeCell ref="H48:I48"/>
    <mergeCell ref="H49:I49"/>
    <mergeCell ref="H44:I44"/>
    <mergeCell ref="H45:I45"/>
    <mergeCell ref="H46:I46"/>
    <mergeCell ref="A6:I6"/>
    <mergeCell ref="H32:I32"/>
    <mergeCell ref="H33:I33"/>
    <mergeCell ref="H34:I34"/>
    <mergeCell ref="H35:I35"/>
    <mergeCell ref="H36:I36"/>
    <mergeCell ref="A2:B2"/>
    <mergeCell ref="C2:G2"/>
    <mergeCell ref="H2:I4"/>
    <mergeCell ref="A3:B3"/>
    <mergeCell ref="C3:F3"/>
    <mergeCell ref="A4:B4"/>
    <mergeCell ref="C4:G4"/>
    <mergeCell ref="A56:D56"/>
    <mergeCell ref="E56:G56"/>
    <mergeCell ref="H56:I56"/>
    <mergeCell ref="A51:C51"/>
    <mergeCell ref="H51:I51"/>
    <mergeCell ref="A54:I54"/>
    <mergeCell ref="A55:D55"/>
    <mergeCell ref="E55:G55"/>
    <mergeCell ref="H55:I55"/>
    <mergeCell ref="H8:I8"/>
    <mergeCell ref="H9:I9"/>
    <mergeCell ref="H10:I10"/>
    <mergeCell ref="H11:I11"/>
    <mergeCell ref="H12:I12"/>
    <mergeCell ref="H13:I13"/>
    <mergeCell ref="H14:I14"/>
    <mergeCell ref="H15:I15"/>
    <mergeCell ref="H16:I16"/>
    <mergeCell ref="H17:I17"/>
    <mergeCell ref="H18:I18"/>
    <mergeCell ref="H19:I19"/>
    <mergeCell ref="H20:I20"/>
    <mergeCell ref="H21:I21"/>
    <mergeCell ref="H22:I22"/>
    <mergeCell ref="H28:I28"/>
    <mergeCell ref="H29:I29"/>
    <mergeCell ref="H30:I30"/>
    <mergeCell ref="H31:I31"/>
    <mergeCell ref="H23:I23"/>
    <mergeCell ref="H24:I24"/>
    <mergeCell ref="H25:I25"/>
    <mergeCell ref="H26:I26"/>
    <mergeCell ref="H27:I27"/>
  </mergeCells>
  <phoneticPr fontId="16" type="noConversion"/>
  <conditionalFormatting sqref="B48:B49">
    <cfRule type="duplicateValues" dxfId="111" priority="105"/>
    <cfRule type="duplicateValues" dxfId="110" priority="106"/>
    <cfRule type="duplicateValues" dxfId="109" priority="107"/>
    <cfRule type="duplicateValues" dxfId="108" priority="108"/>
  </conditionalFormatting>
  <conditionalFormatting sqref="B48:B49">
    <cfRule type="duplicateValues" dxfId="107" priority="109"/>
  </conditionalFormatting>
  <conditionalFormatting sqref="B48:B49">
    <cfRule type="duplicateValues" dxfId="106" priority="110"/>
    <cfRule type="duplicateValues" dxfId="105" priority="111"/>
    <cfRule type="duplicateValues" dxfId="104" priority="112"/>
  </conditionalFormatting>
  <conditionalFormatting sqref="B45:B46">
    <cfRule type="duplicateValues" dxfId="103" priority="97"/>
    <cfRule type="duplicateValues" dxfId="102" priority="98"/>
    <cfRule type="duplicateValues" dxfId="101" priority="99"/>
    <cfRule type="duplicateValues" dxfId="100" priority="100"/>
  </conditionalFormatting>
  <conditionalFormatting sqref="B45:B46">
    <cfRule type="duplicateValues" dxfId="99" priority="101"/>
  </conditionalFormatting>
  <conditionalFormatting sqref="B45:B46">
    <cfRule type="duplicateValues" dxfId="98" priority="102"/>
    <cfRule type="duplicateValues" dxfId="97" priority="103"/>
    <cfRule type="duplicateValues" dxfId="96" priority="104"/>
  </conditionalFormatting>
  <conditionalFormatting sqref="B42:B43">
    <cfRule type="duplicateValues" dxfId="95" priority="89"/>
    <cfRule type="duplicateValues" dxfId="94" priority="90"/>
    <cfRule type="duplicateValues" dxfId="93" priority="91"/>
    <cfRule type="duplicateValues" dxfId="92" priority="92"/>
  </conditionalFormatting>
  <conditionalFormatting sqref="B42:B43">
    <cfRule type="duplicateValues" dxfId="91" priority="93"/>
  </conditionalFormatting>
  <conditionalFormatting sqref="B42:B43">
    <cfRule type="duplicateValues" dxfId="90" priority="94"/>
    <cfRule type="duplicateValues" dxfId="89" priority="95"/>
    <cfRule type="duplicateValues" dxfId="88" priority="96"/>
  </conditionalFormatting>
  <conditionalFormatting sqref="B39:B40">
    <cfRule type="duplicateValues" dxfId="87" priority="81"/>
    <cfRule type="duplicateValues" dxfId="86" priority="82"/>
    <cfRule type="duplicateValues" dxfId="85" priority="83"/>
    <cfRule type="duplicateValues" dxfId="84" priority="84"/>
  </conditionalFormatting>
  <conditionalFormatting sqref="B39:B40">
    <cfRule type="duplicateValues" dxfId="83" priority="85"/>
  </conditionalFormatting>
  <conditionalFormatting sqref="B39:B40">
    <cfRule type="duplicateValues" dxfId="82" priority="86"/>
    <cfRule type="duplicateValues" dxfId="81" priority="87"/>
    <cfRule type="duplicateValues" dxfId="80" priority="88"/>
  </conditionalFormatting>
  <conditionalFormatting sqref="B36:B37">
    <cfRule type="duplicateValues" dxfId="79" priority="73"/>
    <cfRule type="duplicateValues" dxfId="78" priority="74"/>
    <cfRule type="duplicateValues" dxfId="77" priority="75"/>
    <cfRule type="duplicateValues" dxfId="76" priority="76"/>
  </conditionalFormatting>
  <conditionalFormatting sqref="B36:B37">
    <cfRule type="duplicateValues" dxfId="75" priority="77"/>
  </conditionalFormatting>
  <conditionalFormatting sqref="B36:B37">
    <cfRule type="duplicateValues" dxfId="74" priority="78"/>
    <cfRule type="duplicateValues" dxfId="73" priority="79"/>
    <cfRule type="duplicateValues" dxfId="72" priority="80"/>
  </conditionalFormatting>
  <conditionalFormatting sqref="B33:B34">
    <cfRule type="duplicateValues" dxfId="71" priority="65"/>
    <cfRule type="duplicateValues" dxfId="70" priority="66"/>
    <cfRule type="duplicateValues" dxfId="69" priority="67"/>
    <cfRule type="duplicateValues" dxfId="68" priority="68"/>
  </conditionalFormatting>
  <conditionalFormatting sqref="B33:B34">
    <cfRule type="duplicateValues" dxfId="67" priority="69"/>
  </conditionalFormatting>
  <conditionalFormatting sqref="B33:B34">
    <cfRule type="duplicateValues" dxfId="66" priority="70"/>
    <cfRule type="duplicateValues" dxfId="65" priority="71"/>
    <cfRule type="duplicateValues" dxfId="64" priority="72"/>
  </conditionalFormatting>
  <conditionalFormatting sqref="B30:B31">
    <cfRule type="duplicateValues" dxfId="63" priority="57"/>
    <cfRule type="duplicateValues" dxfId="62" priority="58"/>
    <cfRule type="duplicateValues" dxfId="61" priority="59"/>
    <cfRule type="duplicateValues" dxfId="60" priority="60"/>
  </conditionalFormatting>
  <conditionalFormatting sqref="B30:B31">
    <cfRule type="duplicateValues" dxfId="59" priority="61"/>
  </conditionalFormatting>
  <conditionalFormatting sqref="B30:B31">
    <cfRule type="duplicateValues" dxfId="58" priority="62"/>
    <cfRule type="duplicateValues" dxfId="57" priority="63"/>
    <cfRule type="duplicateValues" dxfId="56" priority="64"/>
  </conditionalFormatting>
  <conditionalFormatting sqref="B27:B28">
    <cfRule type="duplicateValues" dxfId="55" priority="49"/>
    <cfRule type="duplicateValues" dxfId="54" priority="50"/>
    <cfRule type="duplicateValues" dxfId="53" priority="51"/>
    <cfRule type="duplicateValues" dxfId="52" priority="52"/>
  </conditionalFormatting>
  <conditionalFormatting sqref="B27:B28">
    <cfRule type="duplicateValues" dxfId="51" priority="53"/>
  </conditionalFormatting>
  <conditionalFormatting sqref="B27:B28">
    <cfRule type="duplicateValues" dxfId="50" priority="54"/>
    <cfRule type="duplicateValues" dxfId="49" priority="55"/>
    <cfRule type="duplicateValues" dxfId="48" priority="56"/>
  </conditionalFormatting>
  <conditionalFormatting sqref="B24:B25">
    <cfRule type="duplicateValues" dxfId="47" priority="41"/>
    <cfRule type="duplicateValues" dxfId="46" priority="42"/>
    <cfRule type="duplicateValues" dxfId="45" priority="43"/>
    <cfRule type="duplicateValues" dxfId="44" priority="44"/>
  </conditionalFormatting>
  <conditionalFormatting sqref="B24:B25">
    <cfRule type="duplicateValues" dxfId="43" priority="45"/>
  </conditionalFormatting>
  <conditionalFormatting sqref="B24:B25">
    <cfRule type="duplicateValues" dxfId="42" priority="46"/>
    <cfRule type="duplicateValues" dxfId="41" priority="47"/>
    <cfRule type="duplicateValues" dxfId="40" priority="48"/>
  </conditionalFormatting>
  <conditionalFormatting sqref="B21:B22">
    <cfRule type="duplicateValues" dxfId="39" priority="33"/>
    <cfRule type="duplicateValues" dxfId="38" priority="34"/>
    <cfRule type="duplicateValues" dxfId="37" priority="35"/>
    <cfRule type="duplicateValues" dxfId="36" priority="36"/>
  </conditionalFormatting>
  <conditionalFormatting sqref="B21:B22">
    <cfRule type="duplicateValues" dxfId="35" priority="37"/>
  </conditionalFormatting>
  <conditionalFormatting sqref="B21:B22">
    <cfRule type="duplicateValues" dxfId="34" priority="38"/>
    <cfRule type="duplicateValues" dxfId="33" priority="39"/>
    <cfRule type="duplicateValues" dxfId="32" priority="40"/>
  </conditionalFormatting>
  <conditionalFormatting sqref="B18:B19">
    <cfRule type="duplicateValues" dxfId="31" priority="25"/>
    <cfRule type="duplicateValues" dxfId="30" priority="26"/>
    <cfRule type="duplicateValues" dxfId="29" priority="27"/>
    <cfRule type="duplicateValues" dxfId="28" priority="28"/>
  </conditionalFormatting>
  <conditionalFormatting sqref="B18:B19">
    <cfRule type="duplicateValues" dxfId="27" priority="29"/>
  </conditionalFormatting>
  <conditionalFormatting sqref="B18:B19">
    <cfRule type="duplicateValues" dxfId="26" priority="30"/>
    <cfRule type="duplicateValues" dxfId="25" priority="31"/>
    <cfRule type="duplicateValues" dxfId="24" priority="32"/>
  </conditionalFormatting>
  <conditionalFormatting sqref="B15:B16">
    <cfRule type="duplicateValues" dxfId="23" priority="17"/>
    <cfRule type="duplicateValues" dxfId="22" priority="18"/>
    <cfRule type="duplicateValues" dxfId="21" priority="19"/>
    <cfRule type="duplicateValues" dxfId="20" priority="20"/>
  </conditionalFormatting>
  <conditionalFormatting sqref="B15:B16">
    <cfRule type="duplicateValues" dxfId="19" priority="21"/>
  </conditionalFormatting>
  <conditionalFormatting sqref="B15:B16">
    <cfRule type="duplicateValues" dxfId="18" priority="22"/>
    <cfRule type="duplicateValues" dxfId="17" priority="23"/>
    <cfRule type="duplicateValues" dxfId="16" priority="24"/>
  </conditionalFormatting>
  <conditionalFormatting sqref="B12:B13">
    <cfRule type="duplicateValues" dxfId="15" priority="9"/>
    <cfRule type="duplicateValues" dxfId="14" priority="10"/>
    <cfRule type="duplicateValues" dxfId="13" priority="11"/>
    <cfRule type="duplicateValues" dxfId="12" priority="12"/>
  </conditionalFormatting>
  <conditionalFormatting sqref="B12:B13">
    <cfRule type="duplicateValues" dxfId="11" priority="13"/>
  </conditionalFormatting>
  <conditionalFormatting sqref="B12:B13">
    <cfRule type="duplicateValues" dxfId="10" priority="14"/>
    <cfRule type="duplicateValues" dxfId="9" priority="15"/>
    <cfRule type="duplicateValues" dxfId="8" priority="16"/>
  </conditionalFormatting>
  <conditionalFormatting sqref="B9:B10">
    <cfRule type="duplicateValues" dxfId="7" priority="1"/>
    <cfRule type="duplicateValues" dxfId="6" priority="2"/>
    <cfRule type="duplicateValues" dxfId="5" priority="3"/>
    <cfRule type="duplicateValues" dxfId="4" priority="4"/>
  </conditionalFormatting>
  <conditionalFormatting sqref="B9:B10">
    <cfRule type="duplicateValues" dxfId="3" priority="5"/>
  </conditionalFormatting>
  <conditionalFormatting sqref="B9:B10">
    <cfRule type="duplicateValues" dxfId="2" priority="6"/>
    <cfRule type="duplicateValues" dxfId="1" priority="7"/>
    <cfRule type="duplicateValues" dxfId="0" priority="8"/>
  </conditionalFormatting>
  <pageMargins left="0.17" right="0.16" top="0.6" bottom="0.16" header="0.21" footer="0.16"/>
  <pageSetup paperSize="9" scale="6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11</vt:i4>
      </vt:variant>
    </vt:vector>
  </HeadingPairs>
  <TitlesOfParts>
    <vt:vector size="19" baseType="lpstr">
      <vt:lpstr>KEY</vt:lpstr>
      <vt:lpstr>COVER PAGE</vt:lpstr>
      <vt:lpstr>REF DOC</vt:lpstr>
      <vt:lpstr>SUMMARY</vt:lpstr>
      <vt:lpstr>BOM</vt:lpstr>
      <vt:lpstr>ALLOCATION</vt:lpstr>
      <vt:lpstr>FDW</vt:lpstr>
      <vt:lpstr>POLE SHEET</vt:lpstr>
      <vt:lpstr>ALLOCATION!Print_Area</vt:lpstr>
      <vt:lpstr>BOM!Print_Area</vt:lpstr>
      <vt:lpstr>'COVER PAGE'!Print_Area</vt:lpstr>
      <vt:lpstr>FDW!Print_Area</vt:lpstr>
      <vt:lpstr>'POLE SHEET'!Print_Area</vt:lpstr>
      <vt:lpstr>'REF DOC'!Print_Area</vt:lpstr>
      <vt:lpstr>SUMMARY!Print_Area</vt:lpstr>
      <vt:lpstr>ALLOCATION!Print_Titles</vt:lpstr>
      <vt:lpstr>BOM!Print_Titles</vt:lpstr>
      <vt:lpstr>FDW!Print_Titles</vt:lpstr>
      <vt:lpstr>'POLE SHEET'!Print_Titles</vt:lpstr>
    </vt:vector>
  </TitlesOfParts>
  <Company>ATSL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ATSL IT Systems</dc:creator>
  <cp:lastModifiedBy>Pavithra Madhushani</cp:lastModifiedBy>
  <cp:lastPrinted>2026-03-24T07:00:12Z</cp:lastPrinted>
  <dcterms:created xsi:type="dcterms:W3CDTF">2012-09-14T09:29:55Z</dcterms:created>
  <dcterms:modified xsi:type="dcterms:W3CDTF">2026-03-30T09:46:45Z</dcterms:modified>
</cp:coreProperties>
</file>