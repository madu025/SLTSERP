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ltelecomservices-my.sharepoint.com/personal/pavithra_slts_lk/Documents/Pavithra - Office/0-INVOICE FORMAT/1 -SLT FN FORMAT/NEW (FROM 11.05.2019)/2026/1.JAN FORMAT/1.SLTS-FN-26--JAN-01-INV 2026- Ishamp/"/>
    </mc:Choice>
  </mc:AlternateContent>
  <xr:revisionPtr revIDLastSave="157" documentId="13_ncr:1_{F654718E-A809-4866-972C-23205C94180E}" xr6:coauthVersionLast="47" xr6:coauthVersionMax="47" xr10:uidLastSave="{09418112-A161-4073-A4CE-843185BD0ACD}"/>
  <bookViews>
    <workbookView xWindow="-108" yWindow="-108" windowWidth="23256" windowHeight="12456" tabRatio="933" activeTab="3" xr2:uid="{00000000-000D-0000-FFFF-FFFF00000000}"/>
  </bookViews>
  <sheets>
    <sheet name="KEY" sheetId="422" r:id="rId1"/>
    <sheet name="COVER PAGE" sheetId="441" r:id="rId2"/>
    <sheet name="REF DOC" sheetId="411" r:id="rId3"/>
    <sheet name="SUMMARY" sheetId="454" r:id="rId4"/>
    <sheet name="BOM" sheetId="450" r:id="rId5"/>
    <sheet name="ALLOCATION" sheetId="443" r:id="rId6"/>
    <sheet name="FDW" sheetId="453" r:id="rId7"/>
    <sheet name="POLE SHEET" sheetId="440" r:id="rId8"/>
  </sheets>
  <functionGroups builtInGroupCount="19"/>
  <externalReferences>
    <externalReference r:id="rId9"/>
  </externalReferences>
  <definedNames>
    <definedName name="_1_4_2013" localSheetId="5">#REF!</definedName>
    <definedName name="_xlnm._FilterDatabase" localSheetId="4" hidden="1">BOM!$A$6:$AD$156</definedName>
    <definedName name="_xlnm.Print_Area" localSheetId="5">ALLOCATION!$A$1:$O$165</definedName>
    <definedName name="_xlnm.Print_Area" localSheetId="4">BOM!$A$1:$AD$163</definedName>
    <definedName name="_xlnm.Print_Area" localSheetId="1">'COVER PAGE'!$A$1:$N$48</definedName>
    <definedName name="_xlnm.Print_Area" localSheetId="6">FDW!$A$1:$D$155</definedName>
    <definedName name="_xlnm.Print_Area" localSheetId="7">'POLE SHEET'!$A$1:$I$37</definedName>
    <definedName name="_xlnm.Print_Area" localSheetId="2">'REF DOC'!$A$3:$H$53</definedName>
    <definedName name="_xlnm.Print_Area" localSheetId="3">SUMMARY!$A$1:$K$23</definedName>
    <definedName name="_xlnm.Print_Titles" localSheetId="5">ALLOCATION!$1:$10</definedName>
    <definedName name="_xlnm.Print_Titles" localSheetId="4">BOM!$1:$5</definedName>
    <definedName name="_xlnm.Print_Titles" localSheetId="6">FDW!$1:$3</definedName>
    <definedName name="_xlnm.Print_Titles" localSheetId="7">'POLE SHEET'!$1:$7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9" i="411" l="1"/>
  <c r="F9" i="454"/>
  <c r="J9" i="454" s="1"/>
  <c r="J6" i="454"/>
  <c r="J5" i="454"/>
  <c r="I5" i="454"/>
  <c r="D6" i="454"/>
  <c r="D5" i="454"/>
  <c r="D4" i="454"/>
  <c r="D3" i="454"/>
  <c r="D2" i="454"/>
  <c r="D1" i="454"/>
  <c r="J13" i="454"/>
  <c r="J10" i="454" l="1"/>
  <c r="I10" i="454"/>
  <c r="J12" i="454" s="1"/>
  <c r="J7" i="422"/>
  <c r="J14" i="454" l="1"/>
  <c r="J15" i="454" s="1"/>
  <c r="J16" i="454" s="1"/>
  <c r="J17" i="454" s="1"/>
  <c r="J18" i="454" s="1"/>
  <c r="C5" i="453"/>
  <c r="C6" i="453"/>
  <c r="C7" i="453"/>
  <c r="C8" i="453"/>
  <c r="C9" i="453"/>
  <c r="C10" i="453"/>
  <c r="C11" i="453"/>
  <c r="C12" i="453"/>
  <c r="C13" i="453"/>
  <c r="C14" i="453"/>
  <c r="C15" i="453"/>
  <c r="C16" i="453"/>
  <c r="C17" i="453"/>
  <c r="C18" i="453"/>
  <c r="C19" i="453"/>
  <c r="C20" i="453"/>
  <c r="C21" i="453"/>
  <c r="C22" i="453"/>
  <c r="C23" i="453"/>
  <c r="C24" i="453"/>
  <c r="C25" i="453"/>
  <c r="C26" i="453"/>
  <c r="C27" i="453"/>
  <c r="C28" i="453"/>
  <c r="C29" i="453"/>
  <c r="C30" i="453"/>
  <c r="C31" i="453"/>
  <c r="C32" i="453"/>
  <c r="C33" i="453"/>
  <c r="C34" i="453"/>
  <c r="C35" i="453"/>
  <c r="C36" i="453"/>
  <c r="C37" i="453"/>
  <c r="C38" i="453"/>
  <c r="C39" i="453"/>
  <c r="C40" i="453"/>
  <c r="C41" i="453"/>
  <c r="C42" i="453"/>
  <c r="C43" i="453"/>
  <c r="C44" i="453"/>
  <c r="C45" i="453"/>
  <c r="C46" i="453"/>
  <c r="C47" i="453"/>
  <c r="C48" i="453"/>
  <c r="C49" i="453"/>
  <c r="C50" i="453"/>
  <c r="C51" i="453"/>
  <c r="C52" i="453"/>
  <c r="C53" i="453"/>
  <c r="C54" i="453"/>
  <c r="C55" i="453"/>
  <c r="C56" i="453"/>
  <c r="C57" i="453"/>
  <c r="C58" i="453"/>
  <c r="C59" i="453"/>
  <c r="C60" i="453"/>
  <c r="C61" i="453"/>
  <c r="C62" i="453"/>
  <c r="C63" i="453"/>
  <c r="C64" i="453"/>
  <c r="C65" i="453"/>
  <c r="C66" i="453"/>
  <c r="C67" i="453"/>
  <c r="C68" i="453"/>
  <c r="C69" i="453"/>
  <c r="C70" i="453"/>
  <c r="C71" i="453"/>
  <c r="C72" i="453"/>
  <c r="C73" i="453"/>
  <c r="C74" i="453"/>
  <c r="C75" i="453"/>
  <c r="C76" i="453"/>
  <c r="C77" i="453"/>
  <c r="C78" i="453"/>
  <c r="C79" i="453"/>
  <c r="C80" i="453"/>
  <c r="C81" i="453"/>
  <c r="C82" i="453"/>
  <c r="C83" i="453"/>
  <c r="C84" i="453"/>
  <c r="C85" i="453"/>
  <c r="C86" i="453"/>
  <c r="C87" i="453"/>
  <c r="C88" i="453"/>
  <c r="C89" i="453"/>
  <c r="C90" i="453"/>
  <c r="C91" i="453"/>
  <c r="C92" i="453"/>
  <c r="C93" i="453"/>
  <c r="C94" i="453"/>
  <c r="C95" i="453"/>
  <c r="C96" i="453"/>
  <c r="C97" i="453"/>
  <c r="C98" i="453"/>
  <c r="C99" i="453"/>
  <c r="C100" i="453"/>
  <c r="C101" i="453"/>
  <c r="C102" i="453"/>
  <c r="C103" i="453"/>
  <c r="C104" i="453"/>
  <c r="C105" i="453"/>
  <c r="C106" i="453"/>
  <c r="C107" i="453"/>
  <c r="C108" i="453"/>
  <c r="C109" i="453"/>
  <c r="C110" i="453"/>
  <c r="C111" i="453"/>
  <c r="C112" i="453"/>
  <c r="C113" i="453"/>
  <c r="C114" i="453"/>
  <c r="C115" i="453"/>
  <c r="C116" i="453"/>
  <c r="C117" i="453"/>
  <c r="C118" i="453"/>
  <c r="C119" i="453"/>
  <c r="C120" i="453"/>
  <c r="C121" i="453"/>
  <c r="C122" i="453"/>
  <c r="C123" i="453"/>
  <c r="C124" i="453"/>
  <c r="C125" i="453"/>
  <c r="C126" i="453"/>
  <c r="C127" i="453"/>
  <c r="C128" i="453"/>
  <c r="C129" i="453"/>
  <c r="C130" i="453"/>
  <c r="C131" i="453"/>
  <c r="C132" i="453"/>
  <c r="C133" i="453"/>
  <c r="C134" i="453"/>
  <c r="C135" i="453"/>
  <c r="C136" i="453"/>
  <c r="C137" i="453"/>
  <c r="C138" i="453"/>
  <c r="C139" i="453"/>
  <c r="C140" i="453"/>
  <c r="C141" i="453"/>
  <c r="C142" i="453"/>
  <c r="C143" i="453"/>
  <c r="C144" i="453"/>
  <c r="C145" i="453"/>
  <c r="C146" i="453"/>
  <c r="C147" i="453"/>
  <c r="C148" i="453"/>
  <c r="C149" i="453"/>
  <c r="C150" i="453"/>
  <c r="C151" i="453"/>
  <c r="C152" i="453"/>
  <c r="C153" i="453"/>
  <c r="C4" i="453"/>
  <c r="B5" i="453"/>
  <c r="B6" i="453"/>
  <c r="B7" i="453"/>
  <c r="B8" i="453"/>
  <c r="B9" i="453"/>
  <c r="B10" i="453"/>
  <c r="B11" i="453"/>
  <c r="B12" i="453"/>
  <c r="B13" i="453"/>
  <c r="B14" i="453"/>
  <c r="B15" i="453"/>
  <c r="B16" i="453"/>
  <c r="B17" i="453"/>
  <c r="B18" i="453"/>
  <c r="B19" i="453"/>
  <c r="B20" i="453"/>
  <c r="B21" i="453"/>
  <c r="B22" i="453"/>
  <c r="B23" i="453"/>
  <c r="B24" i="453"/>
  <c r="B25" i="453"/>
  <c r="B26" i="453"/>
  <c r="B27" i="453"/>
  <c r="B28" i="453"/>
  <c r="B29" i="453"/>
  <c r="B30" i="453"/>
  <c r="B31" i="453"/>
  <c r="B32" i="453"/>
  <c r="B33" i="453"/>
  <c r="B34" i="453"/>
  <c r="B35" i="453"/>
  <c r="B36" i="453"/>
  <c r="B37" i="453"/>
  <c r="B38" i="453"/>
  <c r="B39" i="453"/>
  <c r="B40" i="453"/>
  <c r="B41" i="453"/>
  <c r="B42" i="453"/>
  <c r="B43" i="453"/>
  <c r="B44" i="453"/>
  <c r="B45" i="453"/>
  <c r="B46" i="453"/>
  <c r="B47" i="453"/>
  <c r="B48" i="453"/>
  <c r="B49" i="453"/>
  <c r="B50" i="453"/>
  <c r="B51" i="453"/>
  <c r="B52" i="453"/>
  <c r="B53" i="453"/>
  <c r="B54" i="453"/>
  <c r="B55" i="453"/>
  <c r="B56" i="453"/>
  <c r="B57" i="453"/>
  <c r="B58" i="453"/>
  <c r="B59" i="453"/>
  <c r="B60" i="453"/>
  <c r="B61" i="453"/>
  <c r="B62" i="453"/>
  <c r="B63" i="453"/>
  <c r="B64" i="453"/>
  <c r="B65" i="453"/>
  <c r="B66" i="453"/>
  <c r="B67" i="453"/>
  <c r="B68" i="453"/>
  <c r="B69" i="453"/>
  <c r="B70" i="453"/>
  <c r="B71" i="453"/>
  <c r="B72" i="453"/>
  <c r="B73" i="453"/>
  <c r="B74" i="453"/>
  <c r="B75" i="453"/>
  <c r="B76" i="453"/>
  <c r="B77" i="453"/>
  <c r="B78" i="453"/>
  <c r="B79" i="453"/>
  <c r="B80" i="453"/>
  <c r="B81" i="453"/>
  <c r="B82" i="453"/>
  <c r="B83" i="453"/>
  <c r="B84" i="453"/>
  <c r="B85" i="453"/>
  <c r="B86" i="453"/>
  <c r="B87" i="453"/>
  <c r="B88" i="453"/>
  <c r="B89" i="453"/>
  <c r="B90" i="453"/>
  <c r="B91" i="453"/>
  <c r="B92" i="453"/>
  <c r="B93" i="453"/>
  <c r="B94" i="453"/>
  <c r="B95" i="453"/>
  <c r="B96" i="453"/>
  <c r="B97" i="453"/>
  <c r="B98" i="453"/>
  <c r="B99" i="453"/>
  <c r="B100" i="453"/>
  <c r="B101" i="453"/>
  <c r="B102" i="453"/>
  <c r="B103" i="453"/>
  <c r="B104" i="453"/>
  <c r="B105" i="453"/>
  <c r="B106" i="453"/>
  <c r="B107" i="453"/>
  <c r="B108" i="453"/>
  <c r="B109" i="453"/>
  <c r="B110" i="453"/>
  <c r="B111" i="453"/>
  <c r="B112" i="453"/>
  <c r="B113" i="453"/>
  <c r="B114" i="453"/>
  <c r="B115" i="453"/>
  <c r="B116" i="453"/>
  <c r="B117" i="453"/>
  <c r="B118" i="453"/>
  <c r="B119" i="453"/>
  <c r="B120" i="453"/>
  <c r="B121" i="453"/>
  <c r="B122" i="453"/>
  <c r="B123" i="453"/>
  <c r="B124" i="453"/>
  <c r="B125" i="453"/>
  <c r="B126" i="453"/>
  <c r="B127" i="453"/>
  <c r="B128" i="453"/>
  <c r="B129" i="453"/>
  <c r="B130" i="453"/>
  <c r="B131" i="453"/>
  <c r="B132" i="453"/>
  <c r="B133" i="453"/>
  <c r="B134" i="453"/>
  <c r="B135" i="453"/>
  <c r="B136" i="453"/>
  <c r="B137" i="453"/>
  <c r="B138" i="453"/>
  <c r="B139" i="453"/>
  <c r="B140" i="453"/>
  <c r="B141" i="453"/>
  <c r="B142" i="453"/>
  <c r="B143" i="453"/>
  <c r="B144" i="453"/>
  <c r="B145" i="453"/>
  <c r="B146" i="453"/>
  <c r="B147" i="453"/>
  <c r="B148" i="453"/>
  <c r="B149" i="453"/>
  <c r="B150" i="453"/>
  <c r="B151" i="453"/>
  <c r="B152" i="453"/>
  <c r="B153" i="453"/>
  <c r="B4" i="453"/>
  <c r="L32" i="440" l="1"/>
  <c r="M32" i="440"/>
  <c r="N32" i="440"/>
  <c r="K32" i="440"/>
  <c r="O32" i="440" s="1"/>
  <c r="D19" i="440"/>
  <c r="D18" i="440"/>
  <c r="D17" i="440"/>
  <c r="D16" i="440"/>
  <c r="D15" i="440"/>
  <c r="D14" i="440"/>
  <c r="D13" i="440"/>
  <c r="D12" i="440"/>
  <c r="D11" i="440"/>
  <c r="D10" i="440"/>
  <c r="D9" i="440"/>
  <c r="D8" i="440"/>
  <c r="L156" i="450"/>
  <c r="T156" i="450"/>
  <c r="S156" i="450"/>
  <c r="R156" i="450"/>
  <c r="Q156" i="450"/>
  <c r="P156" i="450"/>
  <c r="O156" i="450"/>
  <c r="N156" i="450"/>
  <c r="M156" i="450"/>
  <c r="K156" i="450"/>
  <c r="J156" i="450"/>
  <c r="I156" i="450"/>
  <c r="H32" i="440" s="1"/>
  <c r="H156" i="450"/>
  <c r="G32" i="440" s="1"/>
  <c r="G156" i="450"/>
  <c r="F32" i="440" s="1"/>
  <c r="C2" i="440"/>
  <c r="A6" i="411"/>
  <c r="C6" i="422" l="1"/>
  <c r="D7" i="422"/>
  <c r="C7" i="422"/>
  <c r="D6" i="422"/>
  <c r="C2" i="450" l="1"/>
  <c r="C1" i="453"/>
  <c r="C154" i="453"/>
  <c r="C5" i="440" l="1"/>
  <c r="C4" i="440"/>
  <c r="A4" i="450"/>
  <c r="C18" i="411"/>
  <c r="Z156" i="450" l="1"/>
  <c r="U156" i="450"/>
  <c r="V156" i="450"/>
  <c r="W156" i="450"/>
  <c r="X156" i="450"/>
  <c r="Y156" i="450"/>
  <c r="AA156" i="450"/>
  <c r="AB156" i="450"/>
  <c r="AC156" i="450"/>
  <c r="AD156" i="450"/>
  <c r="F156" i="450"/>
  <c r="D21" i="440" l="1"/>
  <c r="D22" i="440"/>
  <c r="D23" i="440"/>
  <c r="D24" i="440"/>
  <c r="D25" i="440"/>
  <c r="D26" i="440"/>
  <c r="D27" i="440"/>
  <c r="D28" i="440"/>
  <c r="D29" i="440"/>
  <c r="D30" i="440"/>
  <c r="D31" i="440"/>
  <c r="D20" i="440"/>
  <c r="D32" i="440" s="1"/>
  <c r="C7" i="443" l="1"/>
  <c r="J6" i="422" l="1"/>
  <c r="M7" i="443" l="1"/>
  <c r="C8" i="443"/>
  <c r="C6" i="443"/>
  <c r="C5" i="443"/>
  <c r="C4" i="443"/>
  <c r="I5" i="440" l="1"/>
  <c r="B23" i="441" l="1"/>
  <c r="H20" i="441"/>
  <c r="H16" i="441"/>
  <c r="B8" i="411"/>
  <c r="C3" i="440"/>
  <c r="H11" i="411" l="1"/>
  <c r="G9" i="411"/>
  <c r="G8" i="411"/>
  <c r="G11" i="411" l="1"/>
  <c r="H5" i="440"/>
  <c r="G6" i="422"/>
  <c r="I7" i="443" l="1"/>
  <c r="G10" i="411" l="1"/>
  <c r="H31" i="411"/>
  <c r="H32" i="411" s="1"/>
  <c r="H33" i="411" l="1"/>
  <c r="H34" i="411" s="1"/>
  <c r="H35" i="411" s="1"/>
  <c r="C36" i="411" a="1"/>
  <c r="C36" i="4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<sst xmlns="http://schemas.openxmlformats.org/spreadsheetml/2006/main" count="241" uniqueCount="167">
  <si>
    <t>Contract</t>
  </si>
  <si>
    <t>Tender No</t>
  </si>
  <si>
    <t>RTOM Area</t>
  </si>
  <si>
    <t>Unit</t>
  </si>
  <si>
    <t>Prepared By</t>
  </si>
  <si>
    <t>Checked By</t>
  </si>
  <si>
    <t>OPMC Manager</t>
  </si>
  <si>
    <t>EAE / AE / TTO</t>
  </si>
  <si>
    <t>Exchange</t>
  </si>
  <si>
    <t>PROVISIONAL ACCEPTANCE CERTIFICATE</t>
  </si>
  <si>
    <t>Address</t>
  </si>
  <si>
    <t>DP No</t>
  </si>
  <si>
    <t>NEW POLES INSTALLED</t>
  </si>
  <si>
    <t>Plant Unit</t>
  </si>
  <si>
    <t>Project No</t>
  </si>
  <si>
    <t>Project Manager</t>
  </si>
  <si>
    <t>Sri Lanka Telecom PLC</t>
  </si>
  <si>
    <t>Loop No</t>
  </si>
  <si>
    <t>CAB No</t>
  </si>
  <si>
    <t>Test No</t>
  </si>
  <si>
    <t>HP</t>
  </si>
  <si>
    <t>Pole Numbers 8.0m</t>
  </si>
  <si>
    <t>Checked by</t>
  </si>
  <si>
    <t>Rs.</t>
  </si>
  <si>
    <t>Date</t>
  </si>
  <si>
    <t>:</t>
  </si>
  <si>
    <t>Sri Lanka Telecom (Services) Limited</t>
  </si>
  <si>
    <t>Amount</t>
  </si>
  <si>
    <t>Recommended by</t>
  </si>
  <si>
    <t>Approved by</t>
  </si>
  <si>
    <t>INVOICE SUMMARY</t>
  </si>
  <si>
    <t>Description</t>
  </si>
  <si>
    <t xml:space="preserve">Amount </t>
  </si>
  <si>
    <t>Net Amount</t>
  </si>
  <si>
    <t>Sri Lanka Telecom</t>
  </si>
  <si>
    <t>Contract Name:</t>
  </si>
  <si>
    <t>Tender No:</t>
  </si>
  <si>
    <t xml:space="preserve">RTOM Area </t>
  </si>
  <si>
    <t>Period</t>
  </si>
  <si>
    <t>Customer Referance</t>
  </si>
  <si>
    <t>Contact</t>
  </si>
  <si>
    <t xml:space="preserve">           :</t>
  </si>
  <si>
    <t>Supplier</t>
  </si>
  <si>
    <t>Receipent</t>
  </si>
  <si>
    <t>V.A.T. Reg No</t>
  </si>
  <si>
    <t>134004169 7000</t>
  </si>
  <si>
    <t>294001727 7000</t>
  </si>
  <si>
    <t>Lotus Road, Colombo 01.</t>
  </si>
  <si>
    <t>Add/Deduct</t>
  </si>
  <si>
    <t>Net Payable</t>
  </si>
  <si>
    <t>Singed By:</t>
  </si>
  <si>
    <t>………………………………………………………</t>
  </si>
  <si>
    <t>(Project Manager)</t>
  </si>
  <si>
    <t>Seal:</t>
  </si>
  <si>
    <t>No of Connections</t>
  </si>
  <si>
    <t>S/N</t>
  </si>
  <si>
    <t xml:space="preserve">Amount in figures:  </t>
  </si>
  <si>
    <t>PLC-CON</t>
  </si>
  <si>
    <t>No: 148/15, Lesley Ranagala Mw,  Colombo 08</t>
  </si>
  <si>
    <t>Reference No</t>
  </si>
  <si>
    <t>REFERENCE DOCUMENT TO THE INVOICE</t>
  </si>
  <si>
    <t>Attachment: 3</t>
  </si>
  <si>
    <t xml:space="preserve">Agrement No:  </t>
  </si>
  <si>
    <t>We certify that the above Poles have been Installed according to the quality standards.</t>
  </si>
  <si>
    <t>Contractor Name: Sri Lanka Telecom ( Services) Limited</t>
  </si>
  <si>
    <t>RECEIVED INFORMATION</t>
  </si>
  <si>
    <t>NC &amp; FSP SECTION</t>
  </si>
  <si>
    <t>QA SECTION</t>
  </si>
  <si>
    <t>NC &amp; FSP Ref.  No:</t>
  </si>
  <si>
    <t xml:space="preserve">Project No: </t>
  </si>
  <si>
    <t>RTOM Area:</t>
  </si>
  <si>
    <t>Service Type:</t>
  </si>
  <si>
    <t>FTTH Connections</t>
  </si>
  <si>
    <t xml:space="preserve">Invoice Date </t>
  </si>
  <si>
    <t>Pole Numbers 5.6CE</t>
  </si>
  <si>
    <t>Pole Numbers 6.7CE</t>
  </si>
  <si>
    <t>Sri Lanka Telecom (Services) Ltd</t>
  </si>
  <si>
    <t>Invoice No</t>
  </si>
  <si>
    <t xml:space="preserve">Invoice Date: </t>
  </si>
  <si>
    <t>Gross Invoice Value:</t>
  </si>
  <si>
    <t>SSCL 2.5%</t>
  </si>
  <si>
    <t xml:space="preserve">Gross Invoice Value with SSCL 2.5% </t>
  </si>
  <si>
    <t xml:space="preserve">Reference No </t>
  </si>
  <si>
    <t>TP No</t>
  </si>
  <si>
    <t xml:space="preserve">Name </t>
  </si>
  <si>
    <t>RTOM</t>
  </si>
  <si>
    <t>EX Area (LEA)</t>
  </si>
  <si>
    <t>T.P</t>
  </si>
  <si>
    <t>Service order Type (Create, Migration,Modify)</t>
  </si>
  <si>
    <t>Customer Contact No (Mobile)</t>
  </si>
  <si>
    <t>S.O. Received Date</t>
  </si>
  <si>
    <t>Wired Date (Test Date)</t>
  </si>
  <si>
    <t>Remark</t>
  </si>
  <si>
    <t>Network Resource Allocation Report</t>
  </si>
  <si>
    <t>Mr. W.G.G Gunatunga</t>
  </si>
  <si>
    <t>PLC-5_6-CE</t>
  </si>
  <si>
    <t>PLC-6_7-CE</t>
  </si>
  <si>
    <t>PLC-8</t>
  </si>
  <si>
    <t>Pole No</t>
  </si>
  <si>
    <t>We certify that the above works have been completed according to the specifications and the quantities claimed are correct as per the contract</t>
  </si>
  <si>
    <t>Deduction</t>
  </si>
  <si>
    <t xml:space="preserve">BOM No </t>
  </si>
  <si>
    <t xml:space="preserve">SOD </t>
  </si>
  <si>
    <t>Circuit</t>
  </si>
  <si>
    <t>CONTRACTOR</t>
  </si>
  <si>
    <t>FTTH-DW (m)</t>
  </si>
  <si>
    <t>PL-C-5.6-CE (Pcs)</t>
  </si>
  <si>
    <t>PL-C-8 (Pcs)</t>
  </si>
  <si>
    <t>PLC-CON (Pcs)</t>
  </si>
  <si>
    <t>DW-LH (Nos.)</t>
  </si>
  <si>
    <t>FT-DP-VB-ID (Nos.)</t>
  </si>
  <si>
    <t>FT-DP-VP-ID (Nos.)</t>
  </si>
  <si>
    <t>FT-DP-V2P-ID (Nos.)</t>
  </si>
  <si>
    <t>FT-DP-V3P-ID (Nos.)</t>
  </si>
  <si>
    <t>FT-SP-PO-ID (Nos.)</t>
  </si>
  <si>
    <t>FT-3P-BP-ID (Nos.)</t>
  </si>
  <si>
    <t>FT-SP-VO-ID (Nos.)</t>
  </si>
  <si>
    <t>Gross Invoice Value after Deduction</t>
  </si>
  <si>
    <t>Gross Invoice Value After Deduction:</t>
  </si>
  <si>
    <t>VAT 18%</t>
  </si>
  <si>
    <t xml:space="preserve">VAT 18% </t>
  </si>
  <si>
    <t xml:space="preserve">SSCL 2.5% </t>
  </si>
  <si>
    <t>Total No of Connections</t>
  </si>
  <si>
    <t>TP Number</t>
  </si>
  <si>
    <t>FDW Details</t>
  </si>
  <si>
    <t>Total Amount</t>
  </si>
  <si>
    <t>SLTS</t>
  </si>
  <si>
    <t>FN</t>
  </si>
  <si>
    <t>Month</t>
  </si>
  <si>
    <t>Deputy General Manager [ DGM-ANP ]</t>
  </si>
  <si>
    <t>HOOK "C"</t>
  </si>
  <si>
    <t>BOLT &amp; NUT - L117 (6 1/2" x 1/2")</t>
  </si>
  <si>
    <t>PVC TWIN CABLE 1/10 (0.65 mm)</t>
  </si>
  <si>
    <t>STAPLE WIRE CABLE CLIP (4 mm)</t>
  </si>
  <si>
    <t>STAPLE WIRE CABLE CLIP (5 mm)</t>
  </si>
  <si>
    <t>PVC Casings (16 mm x 12.5 mm)</t>
  </si>
  <si>
    <t>PL-C6.7CE (Pcs)</t>
  </si>
  <si>
    <t xml:space="preserve">FT-3P-B2P-ID (Nos.) </t>
  </si>
  <si>
    <t>FAC-1 (Nos.)</t>
  </si>
  <si>
    <t>FWS-1 (Nos.)</t>
  </si>
  <si>
    <t>OSPACC018 (Nos.)</t>
  </si>
  <si>
    <t>SC-C5 (m)</t>
  </si>
  <si>
    <t>OSPACC011 (Nos.)</t>
  </si>
  <si>
    <t>DW-RT (Nos.)</t>
  </si>
  <si>
    <t>UTP-TER (Nos.)</t>
  </si>
  <si>
    <t>OSPWIR011 (m)</t>
  </si>
  <si>
    <t>OSPACC004 (Nos.)</t>
  </si>
  <si>
    <t>OSPACC005 (Nos.)</t>
  </si>
  <si>
    <t xml:space="preserve">OSPACC070 (m) </t>
  </si>
  <si>
    <t>Prepared by</t>
  </si>
  <si>
    <t>Certified by</t>
  </si>
  <si>
    <t>01</t>
  </si>
  <si>
    <t>L/0733/2025</t>
  </si>
  <si>
    <t>From: 1-Jan-2026</t>
  </si>
  <si>
    <t>To: 31-Jan-2026</t>
  </si>
  <si>
    <t>JAN</t>
  </si>
  <si>
    <t>FTTH &amp; PeoTV Connections 2026</t>
  </si>
  <si>
    <t>Designator</t>
  </si>
  <si>
    <t>SLTM-1</t>
  </si>
  <si>
    <t>Quantity</t>
  </si>
  <si>
    <t>Unit Rate</t>
  </si>
  <si>
    <t>Material</t>
  </si>
  <si>
    <t>Service</t>
  </si>
  <si>
    <t>Nos</t>
  </si>
  <si>
    <t>Model No</t>
  </si>
  <si>
    <t>1A</t>
  </si>
  <si>
    <t>FTTH Provisioning Service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</si>
</sst>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3" formatCode="_(* #,##0.00_);_(* \(#,##0.00\);_(* &quot;-&quot;??_);_(@_)"/>
    <numFmt numFmtId="164" formatCode="[$-409]d\-mmm\-yyyy;@"/>
    <numFmt numFmtId="165" formatCode="[$-409]d\-mmm\-yy;@"/>
    <numFmt numFmtId="166" formatCode="_(* #,##0_);_(* \(#,##0\);_(* &quot;-&quot;??_);_(@_)"/>
    <numFmt numFmtId="167" formatCode="[$-409]dd\-mmm\-yy;@"/>
    <numFmt numFmtId="168" formatCode="0.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indexed="8"/>
      <name val="Calibri"/>
      <family val="2"/>
      <charset val="134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36"/>
      <color theme="1"/>
      <name val="Times New Roman"/>
      <family val="1"/>
    </font>
    <font>
      <sz val="22"/>
      <color theme="1"/>
      <name val="Times New Roman"/>
      <family val="1"/>
    </font>
    <font>
      <sz val="24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2"/>
      <color theme="1"/>
      <name val="Times New Roman"/>
      <family val="1"/>
    </font>
    <font>
      <b/>
      <sz val="2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sz val="20"/>
      <color theme="1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4"/>
      <color indexed="8"/>
      <name val="Times New Roman"/>
      <family val="1"/>
    </font>
    <font>
      <sz val="14"/>
      <color rgb="FF000000"/>
      <name val="Times New Roman"/>
      <family val="1"/>
    </font>
    <font>
      <b/>
      <sz val="22"/>
      <color theme="1"/>
      <name val="Times New Roman"/>
      <family val="1"/>
    </font>
    <font>
      <sz val="11"/>
      <name val="Times New Roman"/>
      <family val="1"/>
    </font>
    <font>
      <i/>
      <sz val="14"/>
      <color theme="1"/>
      <name val="Times New Roman"/>
      <family val="1"/>
    </font>
    <font>
      <b/>
      <i/>
      <sz val="16"/>
      <name val="Times New Roman"/>
      <family val="1"/>
    </font>
    <font>
      <b/>
      <sz val="16"/>
      <name val="Times New Roman"/>
      <family val="1"/>
    </font>
    <font>
      <b/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u/>
      <sz val="16"/>
      <color theme="1"/>
      <name val="Times New Roman"/>
      <family val="1"/>
    </font>
    <font>
      <b/>
      <sz val="18"/>
      <name val="Times New Roman"/>
      <family val="1"/>
    </font>
    <font>
      <b/>
      <sz val="20"/>
      <name val="Times New Roman"/>
      <family val="1"/>
    </font>
    <font>
      <sz val="18"/>
      <color theme="1"/>
      <name val="Times New Roman"/>
      <family val="1"/>
    </font>
    <font>
      <b/>
      <i/>
      <sz val="18"/>
      <name val="Times New Roman"/>
      <family val="1"/>
    </font>
    <font>
      <sz val="18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FFFDFB"/>
      </patternFill>
    </fill>
    <fill>
      <patternFill patternType="solid">
        <fgColor rgb="FFFFFDFB"/>
        <bgColor rgb="FFFFFFFF"/>
      </patternFill>
    </fill>
    <fill>
      <patternFill patternType="solid">
        <fgColor theme="0"/>
        <bgColor rgb="FFFFFDFB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D99694"/>
        <bgColor rgb="FFFF99CC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5">
    <xf numFmtId="0" fontId="0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2" fillId="0" borderId="0"/>
    <xf numFmtId="164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/>
    <xf numFmtId="0" fontId="6" fillId="0" borderId="0">
      <alignment vertical="center"/>
    </xf>
    <xf numFmtId="0" fontId="1" fillId="0" borderId="0"/>
    <xf numFmtId="0" fontId="1" fillId="0" borderId="0"/>
    <xf numFmtId="0" fontId="1" fillId="0" borderId="0"/>
    <xf numFmtId="0" fontId="2" fillId="0" borderId="0">
      <alignment vertical="center"/>
    </xf>
    <xf numFmtId="0" fontId="17" fillId="0" borderId="0"/>
    <xf numFmtId="0" fontId="1" fillId="0" borderId="0"/>
  </cellStyleXfs>
  <cellXfs count="346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8" fillId="2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horizontal="right" vertical="center"/>
    </xf>
    <xf numFmtId="0" fontId="8" fillId="2" borderId="7" xfId="0" applyFont="1" applyFill="1" applyBorder="1" applyAlignment="1">
      <alignment vertical="center"/>
    </xf>
    <xf numFmtId="0" fontId="8" fillId="2" borderId="8" xfId="0" applyFont="1" applyFill="1" applyBorder="1" applyAlignment="1">
      <alignment vertical="center"/>
    </xf>
    <xf numFmtId="0" fontId="8" fillId="2" borderId="9" xfId="0" applyFont="1" applyFill="1" applyBorder="1" applyAlignment="1">
      <alignment vertical="center"/>
    </xf>
    <xf numFmtId="0" fontId="8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8" fillId="2" borderId="0" xfId="0" quotePrefix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64" fontId="8" fillId="2" borderId="0" xfId="0" applyNumberFormat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43" fontId="8" fillId="2" borderId="1" xfId="8" applyFont="1" applyFill="1" applyBorder="1" applyAlignment="1">
      <alignment vertical="center"/>
    </xf>
    <xf numFmtId="43" fontId="4" fillId="2" borderId="1" xfId="8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164" fontId="7" fillId="0" borderId="23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2" borderId="0" xfId="0" applyFont="1" applyFill="1"/>
    <xf numFmtId="43" fontId="22" fillId="2" borderId="0" xfId="0" applyNumberFormat="1" applyFont="1" applyFill="1" applyAlignment="1">
      <alignment horizontal="right" vertical="center"/>
    </xf>
    <xf numFmtId="0" fontId="7" fillId="2" borderId="0" xfId="0" applyFont="1" applyFill="1" applyAlignment="1">
      <alignment vertical="center"/>
    </xf>
    <xf numFmtId="166" fontId="21" fillId="2" borderId="0" xfId="8" applyNumberFormat="1" applyFont="1" applyFill="1" applyBorder="1" applyAlignment="1">
      <alignment vertical="center"/>
    </xf>
    <xf numFmtId="2" fontId="7" fillId="2" borderId="0" xfId="0" applyNumberFormat="1" applyFont="1" applyFill="1" applyAlignment="1">
      <alignment horizontal="center" vertical="center" wrapText="1"/>
    </xf>
    <xf numFmtId="0" fontId="21" fillId="2" borderId="0" xfId="0" applyFont="1" applyFill="1" applyAlignment="1">
      <alignment vertical="center"/>
    </xf>
    <xf numFmtId="0" fontId="21" fillId="2" borderId="0" xfId="0" applyFont="1" applyFill="1" applyAlignment="1">
      <alignment horizontal="left" vertical="center" wrapText="1"/>
    </xf>
    <xf numFmtId="43" fontId="22" fillId="2" borderId="0" xfId="0" applyNumberFormat="1" applyFont="1" applyFill="1" applyAlignment="1">
      <alignment horizontal="center" vertical="center"/>
    </xf>
    <xf numFmtId="166" fontId="23" fillId="2" borderId="0" xfId="8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wrapText="1"/>
    </xf>
    <xf numFmtId="0" fontId="3" fillId="0" borderId="0" xfId="0" applyFont="1"/>
    <xf numFmtId="0" fontId="18" fillId="0" borderId="21" xfId="25" applyFont="1" applyBorder="1" applyAlignment="1">
      <alignment horizontal="left" vertical="center"/>
    </xf>
    <xf numFmtId="0" fontId="18" fillId="0" borderId="19" xfId="25" applyFont="1" applyBorder="1" applyAlignment="1">
      <alignment horizontal="left"/>
    </xf>
    <xf numFmtId="0" fontId="7" fillId="0" borderId="26" xfId="25" applyFont="1" applyBorder="1" applyAlignment="1"/>
    <xf numFmtId="0" fontId="18" fillId="0" borderId="25" xfId="25" applyFont="1" applyBorder="1" applyAlignment="1">
      <alignment horizontal="center"/>
    </xf>
    <xf numFmtId="0" fontId="7" fillId="0" borderId="27" xfId="25" applyFont="1" applyBorder="1" applyAlignment="1"/>
    <xf numFmtId="0" fontId="18" fillId="0" borderId="28" xfId="25" applyFont="1" applyBorder="1" applyAlignment="1">
      <alignment horizontal="center"/>
    </xf>
    <xf numFmtId="0" fontId="18" fillId="0" borderId="30" xfId="25" applyFont="1" applyBorder="1" applyAlignment="1">
      <alignment horizontal="left"/>
    </xf>
    <xf numFmtId="0" fontId="25" fillId="0" borderId="31" xfId="25" applyFont="1" applyBorder="1" applyAlignment="1">
      <alignment horizontal="left"/>
    </xf>
    <xf numFmtId="0" fontId="18" fillId="0" borderId="32" xfId="25" applyFont="1" applyBorder="1" applyAlignment="1">
      <alignment horizontal="center"/>
    </xf>
    <xf numFmtId="0" fontId="18" fillId="0" borderId="33" xfId="25" applyFont="1" applyBorder="1" applyAlignment="1">
      <alignment horizontal="center"/>
    </xf>
    <xf numFmtId="0" fontId="7" fillId="2" borderId="1" xfId="0" applyFont="1" applyFill="1" applyBorder="1" applyAlignment="1">
      <alignment vertical="center" wrapText="1"/>
    </xf>
    <xf numFmtId="0" fontId="27" fillId="2" borderId="0" xfId="0" applyFont="1" applyFill="1" applyAlignment="1">
      <alignment vertical="center"/>
    </xf>
    <xf numFmtId="43" fontId="28" fillId="2" borderId="0" xfId="0" applyNumberFormat="1" applyFont="1" applyFill="1" applyAlignment="1">
      <alignment horizontal="center" vertical="center"/>
    </xf>
    <xf numFmtId="43" fontId="27" fillId="2" borderId="0" xfId="0" applyNumberFormat="1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28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9" fillId="2" borderId="1" xfId="3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0" fillId="0" borderId="1" xfId="32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" xfId="32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32" applyFont="1" applyBorder="1" applyAlignment="1">
      <alignment horizontal="center" vertical="center"/>
    </xf>
    <xf numFmtId="165" fontId="30" fillId="0" borderId="1" xfId="32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left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3" borderId="1" xfId="0" applyFont="1" applyFill="1" applyBorder="1" applyAlignment="1">
      <alignment horizontal="center" vertical="center" wrapText="1"/>
    </xf>
    <xf numFmtId="0" fontId="27" fillId="3" borderId="1" xfId="32" applyFont="1" applyFill="1" applyBorder="1" applyAlignment="1">
      <alignment horizontal="center" vertical="center" wrapText="1"/>
    </xf>
    <xf numFmtId="167" fontId="27" fillId="0" borderId="1" xfId="0" applyNumberFormat="1" applyFont="1" applyBorder="1" applyAlignment="1">
      <alignment horizontal="center" vertical="center" wrapText="1"/>
    </xf>
    <xf numFmtId="0" fontId="7" fillId="2" borderId="0" xfId="0" applyFont="1" applyFill="1" applyAlignment="1">
      <alignment vertical="center" wrapText="1"/>
    </xf>
    <xf numFmtId="0" fontId="18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32" applyFont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27" fillId="0" borderId="1" xfId="33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4" fillId="2" borderId="13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33" fillId="2" borderId="0" xfId="0" applyFont="1" applyFill="1" applyAlignment="1">
      <alignment vertical="center"/>
    </xf>
    <xf numFmtId="0" fontId="33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6" fillId="7" borderId="1" xfId="32" applyFont="1" applyFill="1" applyBorder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36" fillId="8" borderId="1" xfId="0" applyFont="1" applyFill="1" applyBorder="1" applyAlignment="1">
      <alignment horizontal="center" vertical="center" wrapText="1"/>
    </xf>
    <xf numFmtId="0" fontId="26" fillId="0" borderId="38" xfId="25" applyFont="1" applyBorder="1" applyAlignment="1"/>
    <xf numFmtId="0" fontId="18" fillId="0" borderId="33" xfId="0" applyFont="1" applyBorder="1"/>
    <xf numFmtId="0" fontId="9" fillId="2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5" fillId="2" borderId="1" xfId="34" applyFont="1" applyFill="1" applyBorder="1" applyAlignment="1">
      <alignment horizontal="center" vertical="center" wrapText="1"/>
    </xf>
    <xf numFmtId="0" fontId="5" fillId="2" borderId="11" xfId="34" applyFont="1" applyFill="1" applyBorder="1" applyAlignment="1">
      <alignment horizontal="center" vertical="center" wrapText="1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34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vertical="center" wrapText="1"/>
    </xf>
    <xf numFmtId="0" fontId="5" fillId="0" borderId="1" xfId="0" applyFont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5" fillId="2" borderId="1" xfId="34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6" fillId="2" borderId="1" xfId="32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 indent="1"/>
    </xf>
    <xf numFmtId="0" fontId="31" fillId="2" borderId="0" xfId="0" applyFont="1" applyFill="1" applyAlignment="1">
      <alignment horizontal="right" vertical="center" indent="1"/>
    </xf>
    <xf numFmtId="0" fontId="7" fillId="2" borderId="0" xfId="0" applyFont="1" applyFill="1" applyAlignment="1">
      <alignment horizontal="right" vertical="center" indent="1"/>
    </xf>
    <xf numFmtId="0" fontId="3" fillId="2" borderId="0" xfId="0" applyFont="1" applyFill="1" applyAlignment="1">
      <alignment horizontal="right" indent="1"/>
    </xf>
    <xf numFmtId="0" fontId="32" fillId="2" borderId="1" xfId="32" applyFont="1" applyFill="1" applyBorder="1" applyAlignment="1">
      <alignment horizontal="right" vertical="center" indent="1"/>
    </xf>
    <xf numFmtId="0" fontId="3" fillId="2" borderId="1" xfId="0" applyFont="1" applyFill="1" applyBorder="1" applyAlignment="1">
      <alignment horizontal="right" vertical="center" indent="1"/>
    </xf>
    <xf numFmtId="1" fontId="32" fillId="2" borderId="1" xfId="0" applyNumberFormat="1" applyFont="1" applyFill="1" applyBorder="1" applyAlignment="1">
      <alignment horizontal="right" vertical="center" indent="1"/>
    </xf>
    <xf numFmtId="0" fontId="32" fillId="5" borderId="1" xfId="32" applyFont="1" applyFill="1" applyBorder="1" applyAlignment="1">
      <alignment horizontal="right" vertical="center" indent="1"/>
    </xf>
    <xf numFmtId="0" fontId="32" fillId="2" borderId="1" xfId="0" applyFont="1" applyFill="1" applyBorder="1" applyAlignment="1">
      <alignment horizontal="right" vertical="center" indent="1"/>
    </xf>
    <xf numFmtId="0" fontId="32" fillId="2" borderId="1" xfId="0" applyFont="1" applyFill="1" applyBorder="1" applyAlignment="1">
      <alignment horizontal="right" vertical="center" wrapText="1" indent="1"/>
    </xf>
    <xf numFmtId="0" fontId="3" fillId="2" borderId="1" xfId="0" applyFont="1" applyFill="1" applyBorder="1" applyAlignment="1">
      <alignment horizontal="right" vertical="center" wrapText="1" indent="1"/>
    </xf>
    <xf numFmtId="0" fontId="3" fillId="2" borderId="11" xfId="0" applyFont="1" applyFill="1" applyBorder="1" applyAlignment="1">
      <alignment horizontal="right" vertical="center" indent="1"/>
    </xf>
    <xf numFmtId="0" fontId="7" fillId="2" borderId="1" xfId="0" applyFont="1" applyFill="1" applyBorder="1" applyAlignment="1">
      <alignment horizontal="right" vertical="center" indent="1"/>
    </xf>
    <xf numFmtId="0" fontId="18" fillId="2" borderId="40" xfId="0" applyFont="1" applyFill="1" applyBorder="1" applyAlignment="1">
      <alignment horizontal="right" vertical="center" wrapText="1" indent="1"/>
    </xf>
    <xf numFmtId="0" fontId="18" fillId="2" borderId="0" xfId="0" applyFont="1" applyFill="1" applyAlignment="1">
      <alignment horizontal="right" vertical="center" indent="1"/>
    </xf>
    <xf numFmtId="0" fontId="11" fillId="2" borderId="0" xfId="0" applyFont="1" applyFill="1" applyAlignment="1">
      <alignment horizontal="right" vertical="center" indent="1"/>
    </xf>
    <xf numFmtId="168" fontId="18" fillId="2" borderId="42" xfId="0" applyNumberFormat="1" applyFont="1" applyFill="1" applyBorder="1" applyAlignment="1">
      <alignment horizontal="right" vertical="center" wrapText="1" indent="1"/>
    </xf>
    <xf numFmtId="0" fontId="5" fillId="2" borderId="13" xfId="0" applyFont="1" applyFill="1" applyBorder="1" applyAlignment="1">
      <alignment horizontal="right" vertical="center" indent="1"/>
    </xf>
    <xf numFmtId="0" fontId="18" fillId="6" borderId="33" xfId="0" applyFont="1" applyFill="1" applyBorder="1" applyAlignment="1">
      <alignment horizontal="center" vertical="center"/>
    </xf>
    <xf numFmtId="0" fontId="18" fillId="6" borderId="20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43" fontId="9" fillId="2" borderId="11" xfId="8" applyFont="1" applyFill="1" applyBorder="1" applyAlignment="1">
      <alignment horizontal="center" vertical="center"/>
    </xf>
    <xf numFmtId="43" fontId="9" fillId="2" borderId="1" xfId="8" applyFont="1" applyFill="1" applyBorder="1" applyAlignment="1">
      <alignment horizontal="center" vertical="center"/>
    </xf>
    <xf numFmtId="43" fontId="35" fillId="2" borderId="1" xfId="0" applyNumberFormat="1" applyFont="1" applyFill="1" applyBorder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2" borderId="0" xfId="0" applyFont="1" applyFill="1"/>
    <xf numFmtId="0" fontId="7" fillId="2" borderId="5" xfId="0" applyFont="1" applyFill="1" applyBorder="1" applyAlignment="1">
      <alignment horizontal="center" vertical="center" wrapText="1"/>
    </xf>
    <xf numFmtId="2" fontId="7" fillId="2" borderId="12" xfId="0" applyNumberFormat="1" applyFont="1" applyFill="1" applyBorder="1" applyAlignment="1">
      <alignment horizontal="center" vertical="center" wrapText="1"/>
    </xf>
    <xf numFmtId="0" fontId="27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43" fontId="22" fillId="2" borderId="6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left" vertical="center"/>
    </xf>
    <xf numFmtId="0" fontId="8" fillId="2" borderId="15" xfId="0" applyFont="1" applyFill="1" applyBorder="1"/>
    <xf numFmtId="0" fontId="3" fillId="2" borderId="15" xfId="0" applyFont="1" applyFill="1" applyBorder="1"/>
    <xf numFmtId="0" fontId="9" fillId="2" borderId="11" xfId="0" applyFont="1" applyFill="1" applyBorder="1" applyAlignment="1">
      <alignment horizontal="center" vertical="center"/>
    </xf>
    <xf numFmtId="43" fontId="11" fillId="2" borderId="1" xfId="8" applyFont="1" applyFill="1" applyBorder="1" applyAlignment="1">
      <alignment horizontal="center" vertical="center"/>
    </xf>
    <xf numFmtId="43" fontId="42" fillId="2" borderId="14" xfId="8" applyFont="1" applyFill="1" applyBorder="1" applyAlignment="1">
      <alignment vertical="center"/>
    </xf>
    <xf numFmtId="43" fontId="45" fillId="2" borderId="1" xfId="0" applyNumberFormat="1" applyFont="1" applyFill="1" applyBorder="1" applyAlignment="1">
      <alignment horizontal="center" vertical="center"/>
    </xf>
    <xf numFmtId="43" fontId="41" fillId="2" borderId="1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1" fillId="2" borderId="2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 wrapText="1"/>
    </xf>
    <xf numFmtId="0" fontId="11" fillId="2" borderId="5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 wrapText="1"/>
    </xf>
    <xf numFmtId="0" fontId="11" fillId="2" borderId="6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vertical="center" wrapText="1"/>
    </xf>
    <xf numFmtId="0" fontId="11" fillId="2" borderId="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left" vertical="center" wrapText="1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164" fontId="11" fillId="2" borderId="1" xfId="0" applyNumberFormat="1" applyFont="1" applyFill="1" applyBorder="1" applyAlignment="1">
      <alignment horizontal="center" vertical="center"/>
    </xf>
    <xf numFmtId="0" fontId="44" fillId="2" borderId="11" xfId="0" applyFont="1" applyFill="1" applyBorder="1" applyAlignment="1">
      <alignment horizontal="left" vertical="center" wrapText="1" indent="1"/>
    </xf>
    <xf numFmtId="0" fontId="44" fillId="2" borderId="10" xfId="0" applyFont="1" applyFill="1" applyBorder="1" applyAlignment="1">
      <alignment horizontal="left" vertical="center" wrapText="1" indent="1"/>
    </xf>
    <xf numFmtId="0" fontId="44" fillId="2" borderId="12" xfId="0" applyFont="1" applyFill="1" applyBorder="1" applyAlignment="1">
      <alignment horizontal="left" vertical="center" wrapText="1" indent="1"/>
    </xf>
    <xf numFmtId="0" fontId="39" fillId="2" borderId="1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 wrapText="1"/>
    </xf>
    <xf numFmtId="0" fontId="11" fillId="2" borderId="43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/>
    </xf>
    <xf numFmtId="0" fontId="11" fillId="2" borderId="43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43" fontId="11" fillId="2" borderId="11" xfId="8" applyFont="1" applyFill="1" applyBorder="1" applyAlignment="1">
      <alignment horizontal="center" vertical="center"/>
    </xf>
    <xf numFmtId="43" fontId="11" fillId="2" borderId="12" xfId="8" applyFont="1" applyFill="1" applyBorder="1" applyAlignment="1">
      <alignment horizontal="center" vertical="center"/>
    </xf>
    <xf numFmtId="0" fontId="44" fillId="2" borderId="11" xfId="0" applyFont="1" applyFill="1" applyBorder="1" applyAlignment="1">
      <alignment horizontal="left" vertical="center" indent="1"/>
    </xf>
    <xf numFmtId="0" fontId="44" fillId="2" borderId="10" xfId="0" applyFont="1" applyFill="1" applyBorder="1" applyAlignment="1">
      <alignment horizontal="left" vertical="center" indent="1"/>
    </xf>
    <xf numFmtId="0" fontId="44" fillId="2" borderId="12" xfId="0" applyFont="1" applyFill="1" applyBorder="1" applyAlignment="1">
      <alignment horizontal="left" vertical="center" indent="1"/>
    </xf>
    <xf numFmtId="0" fontId="42" fillId="2" borderId="14" xfId="0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horizontal="center" vertical="center"/>
    </xf>
    <xf numFmtId="43" fontId="42" fillId="2" borderId="15" xfId="8" applyFont="1" applyFill="1" applyBorder="1" applyAlignment="1">
      <alignment horizontal="center" vertical="center"/>
    </xf>
    <xf numFmtId="43" fontId="42" fillId="2" borderId="20" xfId="8" applyFont="1" applyFill="1" applyBorder="1" applyAlignment="1">
      <alignment horizontal="center" vertical="center"/>
    </xf>
    <xf numFmtId="0" fontId="41" fillId="2" borderId="14" xfId="0" applyFont="1" applyFill="1" applyBorder="1" applyAlignment="1">
      <alignment horizontal="left" vertical="center" indent="1"/>
    </xf>
    <xf numFmtId="0" fontId="41" fillId="2" borderId="20" xfId="0" applyFont="1" applyFill="1" applyBorder="1" applyAlignment="1">
      <alignment horizontal="left" vertical="center" indent="1"/>
    </xf>
    <xf numFmtId="0" fontId="43" fillId="2" borderId="15" xfId="0" applyFont="1" applyFill="1" applyBorder="1" applyAlignment="1">
      <alignment horizontal="center"/>
    </xf>
    <xf numFmtId="0" fontId="28" fillId="2" borderId="15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41" fillId="2" borderId="15" xfId="0" applyFont="1" applyFill="1" applyBorder="1" applyAlignment="1">
      <alignment horizontal="center" vertical="center"/>
    </xf>
    <xf numFmtId="0" fontId="41" fillId="2" borderId="41" xfId="0" applyFont="1" applyFill="1" applyBorder="1" applyAlignment="1">
      <alignment horizontal="center" vertical="center"/>
    </xf>
    <xf numFmtId="0" fontId="24" fillId="0" borderId="26" xfId="25" applyFont="1" applyBorder="1" applyAlignment="1">
      <alignment horizontal="center" vertical="center"/>
    </xf>
    <xf numFmtId="0" fontId="24" fillId="0" borderId="24" xfId="25" applyFont="1" applyBorder="1" applyAlignment="1">
      <alignment horizontal="center" vertical="center"/>
    </xf>
    <xf numFmtId="0" fontId="24" fillId="0" borderId="25" xfId="25" applyFont="1" applyBorder="1" applyAlignment="1">
      <alignment horizontal="center" vertical="center"/>
    </xf>
    <xf numFmtId="0" fontId="24" fillId="0" borderId="0" xfId="25" applyFont="1" applyAlignment="1">
      <alignment horizontal="center" vertical="center"/>
    </xf>
    <xf numFmtId="0" fontId="24" fillId="0" borderId="28" xfId="25" applyFont="1" applyBorder="1" applyAlignment="1">
      <alignment horizontal="center" vertical="center"/>
    </xf>
    <xf numFmtId="0" fontId="24" fillId="0" borderId="8" xfId="25" applyFont="1" applyBorder="1" applyAlignment="1">
      <alignment horizontal="center" vertical="center"/>
    </xf>
    <xf numFmtId="0" fontId="24" fillId="0" borderId="29" xfId="25" applyFont="1" applyBorder="1" applyAlignment="1">
      <alignment horizontal="center" vertical="center"/>
    </xf>
    <xf numFmtId="0" fontId="18" fillId="6" borderId="21" xfId="25" applyFont="1" applyFill="1" applyBorder="1" applyAlignment="1">
      <alignment horizontal="left" vertical="center" wrapText="1"/>
    </xf>
    <xf numFmtId="0" fontId="18" fillId="6" borderId="16" xfId="25" applyFont="1" applyFill="1" applyBorder="1" applyAlignment="1">
      <alignment horizontal="left" vertical="center" wrapText="1"/>
    </xf>
    <xf numFmtId="0" fontId="18" fillId="6" borderId="19" xfId="25" applyFont="1" applyFill="1" applyBorder="1" applyAlignment="1">
      <alignment horizontal="left"/>
    </xf>
    <xf numFmtId="0" fontId="18" fillId="6" borderId="10" xfId="25" applyFont="1" applyFill="1" applyBorder="1" applyAlignment="1">
      <alignment horizontal="left"/>
    </xf>
    <xf numFmtId="0" fontId="18" fillId="0" borderId="14" xfId="25" applyFont="1" applyBorder="1" applyAlignment="1">
      <alignment horizontal="left" vertical="center" wrapText="1"/>
    </xf>
    <xf numFmtId="0" fontId="18" fillId="0" borderId="15" xfId="25" applyFont="1" applyBorder="1" applyAlignment="1">
      <alignment horizontal="left" vertical="center" wrapText="1"/>
    </xf>
    <xf numFmtId="0" fontId="18" fillId="0" borderId="24" xfId="25" applyFont="1" applyBorder="1" applyAlignment="1">
      <alignment horizontal="left" vertical="center" wrapText="1"/>
    </xf>
    <xf numFmtId="0" fontId="18" fillId="0" borderId="25" xfId="25" applyFont="1" applyBorder="1" applyAlignment="1">
      <alignment horizontal="left" vertical="center" wrapText="1"/>
    </xf>
    <xf numFmtId="0" fontId="18" fillId="0" borderId="30" xfId="25" applyFont="1" applyBorder="1" applyAlignment="1">
      <alignment horizontal="left"/>
    </xf>
    <xf numFmtId="0" fontId="18" fillId="0" borderId="3" xfId="25" applyFont="1" applyBorder="1" applyAlignment="1">
      <alignment horizontal="left"/>
    </xf>
    <xf numFmtId="0" fontId="18" fillId="0" borderId="36" xfId="0" applyFont="1" applyBorder="1" applyAlignment="1">
      <alignment horizontal="left"/>
    </xf>
    <xf numFmtId="0" fontId="18" fillId="0" borderId="39" xfId="0" applyFont="1" applyBorder="1" applyAlignment="1">
      <alignment horizontal="left"/>
    </xf>
    <xf numFmtId="0" fontId="18" fillId="0" borderId="37" xfId="0" applyFont="1" applyBorder="1" applyAlignment="1">
      <alignment horizontal="left"/>
    </xf>
    <xf numFmtId="0" fontId="18" fillId="0" borderId="26" xfId="25" applyFont="1" applyBorder="1" applyAlignment="1">
      <alignment horizontal="left" vertical="center"/>
    </xf>
    <xf numFmtId="0" fontId="18" fillId="0" borderId="31" xfId="25" applyFont="1" applyBorder="1" applyAlignment="1">
      <alignment horizontal="left" vertical="center"/>
    </xf>
    <xf numFmtId="0" fontId="18" fillId="0" borderId="25" xfId="25" applyFont="1" applyBorder="1" applyAlignment="1">
      <alignment horizontal="left" vertical="center"/>
    </xf>
    <xf numFmtId="0" fontId="18" fillId="0" borderId="27" xfId="25" applyFont="1" applyBorder="1" applyAlignment="1">
      <alignment horizontal="left" vertical="center"/>
    </xf>
    <xf numFmtId="0" fontId="18" fillId="0" borderId="28" xfId="25" applyFont="1" applyBorder="1" applyAlignment="1">
      <alignment horizontal="left" vertical="center"/>
    </xf>
    <xf numFmtId="0" fontId="18" fillId="0" borderId="19" xfId="25" applyFont="1" applyBorder="1" applyAlignment="1">
      <alignment horizontal="center"/>
    </xf>
    <xf numFmtId="0" fontId="18" fillId="0" borderId="10" xfId="25" applyFont="1" applyBorder="1" applyAlignment="1">
      <alignment horizontal="center"/>
    </xf>
    <xf numFmtId="0" fontId="18" fillId="0" borderId="12" xfId="25" applyFont="1" applyBorder="1" applyAlignment="1">
      <alignment horizontal="center"/>
    </xf>
    <xf numFmtId="0" fontId="18" fillId="0" borderId="11" xfId="25" applyFont="1" applyBorder="1" applyAlignment="1">
      <alignment horizontal="center"/>
    </xf>
    <xf numFmtId="0" fontId="18" fillId="0" borderId="22" xfId="25" applyFont="1" applyBorder="1" applyAlignment="1">
      <alignment horizontal="center"/>
    </xf>
    <xf numFmtId="164" fontId="18" fillId="0" borderId="17" xfId="25" applyNumberFormat="1" applyFont="1" applyBorder="1" applyAlignment="1">
      <alignment horizontal="center"/>
    </xf>
    <xf numFmtId="164" fontId="18" fillId="0" borderId="18" xfId="25" applyNumberFormat="1" applyFont="1" applyBorder="1" applyAlignment="1">
      <alignment horizontal="center"/>
    </xf>
    <xf numFmtId="164" fontId="18" fillId="0" borderId="34" xfId="25" applyNumberFormat="1" applyFont="1" applyBorder="1" applyAlignment="1">
      <alignment horizontal="center"/>
    </xf>
    <xf numFmtId="164" fontId="18" fillId="0" borderId="35" xfId="25" applyNumberFormat="1" applyFont="1" applyBorder="1" applyAlignment="1">
      <alignment horizontal="center"/>
    </xf>
    <xf numFmtId="0" fontId="38" fillId="2" borderId="2" xfId="0" applyFont="1" applyFill="1" applyBorder="1" applyAlignment="1">
      <alignment horizontal="center"/>
    </xf>
    <xf numFmtId="0" fontId="38" fillId="2" borderId="3" xfId="0" applyFont="1" applyFill="1" applyBorder="1" applyAlignment="1">
      <alignment horizontal="center"/>
    </xf>
    <xf numFmtId="0" fontId="38" fillId="2" borderId="4" xfId="0" applyFont="1" applyFill="1" applyBorder="1" applyAlignment="1">
      <alignment horizontal="center"/>
    </xf>
    <xf numFmtId="0" fontId="38" fillId="2" borderId="5" xfId="0" applyFont="1" applyFill="1" applyBorder="1" applyAlignment="1">
      <alignment horizontal="center"/>
    </xf>
    <xf numFmtId="0" fontId="38" fillId="2" borderId="0" xfId="0" applyFont="1" applyFill="1" applyAlignment="1">
      <alignment horizontal="center"/>
    </xf>
    <xf numFmtId="0" fontId="38" fillId="2" borderId="6" xfId="0" applyFont="1" applyFill="1" applyBorder="1" applyAlignment="1">
      <alignment horizontal="center"/>
    </xf>
    <xf numFmtId="0" fontId="38" fillId="2" borderId="7" xfId="0" applyFont="1" applyFill="1" applyBorder="1" applyAlignment="1">
      <alignment horizontal="center"/>
    </xf>
    <xf numFmtId="0" fontId="38" fillId="2" borderId="8" xfId="0" applyFont="1" applyFill="1" applyBorder="1" applyAlignment="1">
      <alignment horizontal="center"/>
    </xf>
    <xf numFmtId="0" fontId="38" fillId="2" borderId="9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7" fillId="2" borderId="2" xfId="0" applyFont="1" applyFill="1" applyBorder="1" applyAlignment="1">
      <alignment horizontal="center"/>
    </xf>
    <xf numFmtId="0" fontId="37" fillId="2" borderId="4" xfId="0" applyFont="1" applyFill="1" applyBorder="1" applyAlignment="1">
      <alignment horizontal="center"/>
    </xf>
    <xf numFmtId="0" fontId="37" fillId="2" borderId="5" xfId="0" applyFont="1" applyFill="1" applyBorder="1" applyAlignment="1">
      <alignment horizontal="center"/>
    </xf>
    <xf numFmtId="0" fontId="37" fillId="2" borderId="6" xfId="0" applyFont="1" applyFill="1" applyBorder="1" applyAlignment="1">
      <alignment horizontal="center"/>
    </xf>
    <xf numFmtId="0" fontId="37" fillId="2" borderId="7" xfId="0" applyFont="1" applyFill="1" applyBorder="1" applyAlignment="1">
      <alignment horizontal="center"/>
    </xf>
    <xf numFmtId="0" fontId="37" fillId="2" borderId="9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right" vertical="center" wrapText="1"/>
    </xf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35" fillId="2" borderId="1" xfId="0" applyFont="1" applyFill="1" applyBorder="1" applyAlignment="1">
      <alignment horizontal="center" vertical="center"/>
    </xf>
    <xf numFmtId="43" fontId="35" fillId="2" borderId="1" xfId="8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left" vertical="center" indent="1"/>
    </xf>
    <xf numFmtId="0" fontId="22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2" borderId="1" xfId="34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19" fillId="2" borderId="1" xfId="0" applyFont="1" applyFill="1" applyBorder="1" applyAlignment="1">
      <alignment horizontal="left" vertical="center" indent="1"/>
    </xf>
    <xf numFmtId="0" fontId="19" fillId="2" borderId="1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left" vertical="center" indent="1"/>
    </xf>
    <xf numFmtId="0" fontId="19" fillId="2" borderId="12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164" fontId="27" fillId="2" borderId="1" xfId="0" applyNumberFormat="1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right" vertical="center"/>
    </xf>
    <xf numFmtId="0" fontId="1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</cellXfs>
  <cellStyles count="35">
    <cellStyle name="Comma" xfId="8" builtinId="3"/>
    <cellStyle name="Comma 10" xfId="27" xr:uid="{00000000-0005-0000-0000-000001000000}"/>
    <cellStyle name="Comma 2" xfId="1" xr:uid="{00000000-0005-0000-0000-000002000000}"/>
    <cellStyle name="Comma 3" xfId="2" xr:uid="{00000000-0005-0000-0000-000003000000}"/>
    <cellStyle name="Comma 4" xfId="5" xr:uid="{00000000-0005-0000-0000-000004000000}"/>
    <cellStyle name="Comma 7" xfId="6" xr:uid="{00000000-0005-0000-0000-000005000000}"/>
    <cellStyle name="Comma 8" xfId="7" xr:uid="{00000000-0005-0000-0000-000006000000}"/>
    <cellStyle name="Input 2 5 2 2 3" xfId="33" xr:uid="{F9D459A1-4C20-45C3-854B-87300253A4BD}"/>
    <cellStyle name="Normal" xfId="0" builtinId="0"/>
    <cellStyle name="Normal 109" xfId="17" xr:uid="{00000000-0005-0000-0000-000008000000}"/>
    <cellStyle name="Normal 110" xfId="21" xr:uid="{00000000-0005-0000-0000-000009000000}"/>
    <cellStyle name="Normal 112" xfId="18" xr:uid="{00000000-0005-0000-0000-00000A000000}"/>
    <cellStyle name="Normal 114" xfId="22" xr:uid="{00000000-0005-0000-0000-00000B000000}"/>
    <cellStyle name="Normal 115" xfId="23" xr:uid="{00000000-0005-0000-0000-00000C000000}"/>
    <cellStyle name="Normal 117" xfId="24" xr:uid="{00000000-0005-0000-0000-00000D000000}"/>
    <cellStyle name="Normal 119" xfId="29" xr:uid="{00000000-0005-0000-0000-00000E000000}"/>
    <cellStyle name="Normal 15" xfId="30" xr:uid="{00000000-0005-0000-0000-00000F000000}"/>
    <cellStyle name="Normal 19" xfId="31" xr:uid="{00000000-0005-0000-0000-000010000000}"/>
    <cellStyle name="Normal 2" xfId="3" xr:uid="{00000000-0005-0000-0000-000011000000}"/>
    <cellStyle name="Normal 28" xfId="10" xr:uid="{00000000-0005-0000-0000-000012000000}"/>
    <cellStyle name="Normal 3" xfId="4" xr:uid="{00000000-0005-0000-0000-000013000000}"/>
    <cellStyle name="Normal 31" xfId="12" xr:uid="{00000000-0005-0000-0000-000014000000}"/>
    <cellStyle name="Normal 5" xfId="25" xr:uid="{00000000-0005-0000-0000-000015000000}"/>
    <cellStyle name="Normal 6" xfId="34" xr:uid="{C4EC7806-71E2-48D5-A7AA-AB43E2F19722}"/>
    <cellStyle name="Normal 60" xfId="9" xr:uid="{00000000-0005-0000-0000-000016000000}"/>
    <cellStyle name="Normal 63" xfId="14" xr:uid="{00000000-0005-0000-0000-000017000000}"/>
    <cellStyle name="Normal 64" xfId="20" xr:uid="{00000000-0005-0000-0000-000018000000}"/>
    <cellStyle name="Normal 7" xfId="26" xr:uid="{00000000-0005-0000-0000-000019000000}"/>
    <cellStyle name="Normal 72" xfId="11" xr:uid="{00000000-0005-0000-0000-00001A000000}"/>
    <cellStyle name="Normal 9" xfId="28" xr:uid="{00000000-0005-0000-0000-00001B000000}"/>
    <cellStyle name="Normal 93" xfId="19" xr:uid="{00000000-0005-0000-0000-00001C000000}"/>
    <cellStyle name="Normal 94" xfId="13" xr:uid="{00000000-0005-0000-0000-00001D000000}"/>
    <cellStyle name="Normal 96" xfId="15" xr:uid="{00000000-0005-0000-0000-00001E000000}"/>
    <cellStyle name="Normal 98" xfId="16" xr:uid="{00000000-0005-0000-0000-00001F000000}"/>
    <cellStyle name="Normal_Sheet1" xfId="32" xr:uid="{00000000-0005-0000-0000-000020000000}"/>
  </cellStyles>
  <dxfs count="8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  <color rgb="FF3366CC"/>
      <color rgb="FF00CC00"/>
      <color rgb="FFCC3300"/>
      <color rgb="FFFF3399"/>
      <color rgb="FF00FFFF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634</xdr:colOff>
      <xdr:row>1</xdr:row>
      <xdr:rowOff>19682</xdr:rowOff>
    </xdr:from>
    <xdr:to>
      <xdr:col>13</xdr:col>
      <xdr:colOff>66675</xdr:colOff>
      <xdr:row>47</xdr:row>
      <xdr:rowOff>15874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203834" y="197482"/>
          <a:ext cx="7863841" cy="10803892"/>
          <a:chOff x="57785" y="19684"/>
          <a:chExt cx="7060565" cy="9450020"/>
        </a:xfrm>
        <a:solidFill>
          <a:sysClr val="window" lastClr="FFFFFF"/>
        </a:solidFill>
      </xdr:grpSpPr>
      <xdr:sp macro="" textlink="">
        <xdr:nvSpPr>
          <xdr:cNvPr id="49" name="Shape 12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76560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0" name="Shape 13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57785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1" name="Shape 14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13358" y="3873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2" name="Shape 15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13358" y="71500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4">
            <a:solidFill>
              <a:srgbClr val="000000"/>
            </a:solidFill>
            <a:prstDash val="solid"/>
          </a:ln>
        </xdr:spPr>
      </xdr:sp>
      <xdr:sp macro="" textlink="">
        <xdr:nvSpPr>
          <xdr:cNvPr id="53" name="Shape 16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7099576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4" name="Shape 17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7062777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5" name="Shape 18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76560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6" name="Shape 19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08851" y="66928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7" name="Shape 20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7099576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8" name="Shape 21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7067283" y="66929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9" name="Shape 22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76560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0" name="Shape 23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7785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1" name="Shape 24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13358" y="945065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2" name="Shape 2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13358" y="9417888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63" name="Shape 2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7099576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4" name="Shape 27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7062777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</xdr:grpSp>
    <xdr:clientData/>
  </xdr:twoCellAnchor>
  <xdr:twoCellAnchor editAs="oneCell">
    <xdr:from>
      <xdr:col>1</xdr:col>
      <xdr:colOff>111125</xdr:colOff>
      <xdr:row>1</xdr:row>
      <xdr:rowOff>142874</xdr:rowOff>
    </xdr:from>
    <xdr:to>
      <xdr:col>5</xdr:col>
      <xdr:colOff>317500</xdr:colOff>
      <xdr:row>5</xdr:row>
      <xdr:rowOff>281958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333374"/>
          <a:ext cx="2365375" cy="9487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14</xdr:row>
      <xdr:rowOff>15679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0A5C07D-CFC5-46B8-BEF0-ED83579E1904}"/>
            </a:ext>
          </a:extLst>
        </xdr:cNvPr>
        <xdr:cNvSpPr/>
      </xdr:nvSpPr>
      <xdr:spPr>
        <a:xfrm>
          <a:off x="1592310" y="1306425"/>
          <a:ext cx="3600" cy="1608697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E1603741-6427-41A3-B200-4D29B0DA2A8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15DD1C10-C5C2-4061-B98A-0CC09BB5304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69F94402-A9C8-4D87-B153-540053B4DA17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7C619059-C745-4779-9840-06CDD4D88E6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3D1C6AC2-582F-4B0C-9D77-D28FB55C048A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id="{5C58C808-E442-4FF8-B9EB-3C19F5520A9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id="{084C9277-E562-4FF3-8245-0BBDFA69DD4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7CFEDBD0-F3EE-49DF-8FF2-27D3D33C846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3CE80AED-7372-4F89-8A72-8865B0D2E73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C32A6886-B2EE-41EB-8778-824B09EC16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0ABC6627-443E-49FB-815F-CBDB3D9A624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09A6DEEC-1ED7-4917-A3BF-F324C72D1FA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5BA47A3E-66C9-4A25-B839-11F22EBEA0C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71754905-26F6-4755-9732-8F55C2BA8BE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2C63B9C7-4920-4103-B484-22AD2F6EA775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C484ADED-7787-408E-B6B4-0EB7A448DD6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9" name="AutoShape 1">
          <a:extLst>
            <a:ext uri="{FF2B5EF4-FFF2-40B4-BE49-F238E27FC236}">
              <a16:creationId xmlns:a16="http://schemas.microsoft.com/office/drawing/2014/main" id="{E9B2CE68-A02C-4A67-A2E2-4A05D80FBB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0" name="AutoShape 1">
          <a:extLst>
            <a:ext uri="{FF2B5EF4-FFF2-40B4-BE49-F238E27FC236}">
              <a16:creationId xmlns:a16="http://schemas.microsoft.com/office/drawing/2014/main" id="{3AC61F7C-B064-4ECD-9310-03DC30B46B46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1" name="AutoShape 1">
          <a:extLst>
            <a:ext uri="{FF2B5EF4-FFF2-40B4-BE49-F238E27FC236}">
              <a16:creationId xmlns:a16="http://schemas.microsoft.com/office/drawing/2014/main" id="{7CE2F6C4-F31C-47E1-A653-5BC65FBB77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2" name="AutoShape 1">
          <a:extLst>
            <a:ext uri="{FF2B5EF4-FFF2-40B4-BE49-F238E27FC236}">
              <a16:creationId xmlns:a16="http://schemas.microsoft.com/office/drawing/2014/main" id="{47B1D8F6-BF5A-4A61-8AEB-9BFBFFE6F06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C49E6FB6-B87B-4958-8D92-D690B08023A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4" name="AutoShape 1">
          <a:extLst>
            <a:ext uri="{FF2B5EF4-FFF2-40B4-BE49-F238E27FC236}">
              <a16:creationId xmlns:a16="http://schemas.microsoft.com/office/drawing/2014/main" id="{261867E1-EE6C-458B-8E4B-AE10ED405C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5" name="AutoShape 1">
          <a:extLst>
            <a:ext uri="{FF2B5EF4-FFF2-40B4-BE49-F238E27FC236}">
              <a16:creationId xmlns:a16="http://schemas.microsoft.com/office/drawing/2014/main" id="{44F2121E-34F9-47A9-84AA-41B46E3E64E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6" name="AutoShape 1">
          <a:extLst>
            <a:ext uri="{FF2B5EF4-FFF2-40B4-BE49-F238E27FC236}">
              <a16:creationId xmlns:a16="http://schemas.microsoft.com/office/drawing/2014/main" id="{710B84F0-018F-4ECA-A374-6F43AA5BFE0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7" name="AutoShape 1">
          <a:extLst>
            <a:ext uri="{FF2B5EF4-FFF2-40B4-BE49-F238E27FC236}">
              <a16:creationId xmlns:a16="http://schemas.microsoft.com/office/drawing/2014/main" id="{3B9BD6E4-5D47-4DF2-9940-803340CEB65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8" name="AutoShape 1">
          <a:extLst>
            <a:ext uri="{FF2B5EF4-FFF2-40B4-BE49-F238E27FC236}">
              <a16:creationId xmlns:a16="http://schemas.microsoft.com/office/drawing/2014/main" id="{F9D3B7BC-97BE-48AB-83AE-48A35349D3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9" name="AutoShape 1">
          <a:extLst>
            <a:ext uri="{FF2B5EF4-FFF2-40B4-BE49-F238E27FC236}">
              <a16:creationId xmlns:a16="http://schemas.microsoft.com/office/drawing/2014/main" id="{1DAAB9CA-824F-46E5-8C04-83CDA2736974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4AB63973-9964-493E-AAE0-048FDC37F08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92308C69-3A0C-42F5-A649-EB91A3E63FA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EC07571A-9830-46B0-AD2A-03CDA5AACCA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EC0CF8F1-F901-4EB7-8A95-31FE931C34C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34" name="AutoShape 1">
          <a:extLst>
            <a:ext uri="{FF2B5EF4-FFF2-40B4-BE49-F238E27FC236}">
              <a16:creationId xmlns:a16="http://schemas.microsoft.com/office/drawing/2014/main" id="{544BD64B-50F2-4448-9BB1-BEEC0F103A2B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35" name="AutoShape 1">
          <a:extLst>
            <a:ext uri="{FF2B5EF4-FFF2-40B4-BE49-F238E27FC236}">
              <a16:creationId xmlns:a16="http://schemas.microsoft.com/office/drawing/2014/main" id="{4B4FBE08-6848-4254-A0B8-6ABE2DFA5553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6" name="AutoShape 1">
          <a:extLst>
            <a:ext uri="{FF2B5EF4-FFF2-40B4-BE49-F238E27FC236}">
              <a16:creationId xmlns:a16="http://schemas.microsoft.com/office/drawing/2014/main" id="{D688D55A-3809-4AFE-A3AB-1A5117EB0E2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7" name="AutoShape 1">
          <a:extLst>
            <a:ext uri="{FF2B5EF4-FFF2-40B4-BE49-F238E27FC236}">
              <a16:creationId xmlns:a16="http://schemas.microsoft.com/office/drawing/2014/main" id="{D35F0E75-19CF-4888-902F-EB2E10B111B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8" name="AutoShape 1">
          <a:extLst>
            <a:ext uri="{FF2B5EF4-FFF2-40B4-BE49-F238E27FC236}">
              <a16:creationId xmlns:a16="http://schemas.microsoft.com/office/drawing/2014/main" id="{28697FAD-07A2-4885-B033-0A87B601825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9" name="AutoShape 1">
          <a:extLst>
            <a:ext uri="{FF2B5EF4-FFF2-40B4-BE49-F238E27FC236}">
              <a16:creationId xmlns:a16="http://schemas.microsoft.com/office/drawing/2014/main" id="{3B70DD02-7F8E-4410-9CC8-64618D21607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0" name="AutoShape 1">
          <a:extLst>
            <a:ext uri="{FF2B5EF4-FFF2-40B4-BE49-F238E27FC236}">
              <a16:creationId xmlns:a16="http://schemas.microsoft.com/office/drawing/2014/main" id="{F5A40628-C848-4466-923C-E6FCCAA5842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1" name="AutoShape 1">
          <a:extLst>
            <a:ext uri="{FF2B5EF4-FFF2-40B4-BE49-F238E27FC236}">
              <a16:creationId xmlns:a16="http://schemas.microsoft.com/office/drawing/2014/main" id="{ADCD7AFC-9DB2-4F0B-8C3D-1180912774BC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2" name="AutoShape 1">
          <a:extLst>
            <a:ext uri="{FF2B5EF4-FFF2-40B4-BE49-F238E27FC236}">
              <a16:creationId xmlns:a16="http://schemas.microsoft.com/office/drawing/2014/main" id="{D721574D-8E5B-4A72-A57C-DC7D9F51FC9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3" name="AutoShape 1">
          <a:extLst>
            <a:ext uri="{FF2B5EF4-FFF2-40B4-BE49-F238E27FC236}">
              <a16:creationId xmlns:a16="http://schemas.microsoft.com/office/drawing/2014/main" id="{08D81B35-7B6C-48B4-9D76-EC279797D36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4" name="AutoShape 1">
          <a:extLst>
            <a:ext uri="{FF2B5EF4-FFF2-40B4-BE49-F238E27FC236}">
              <a16:creationId xmlns:a16="http://schemas.microsoft.com/office/drawing/2014/main" id="{25791CE6-9488-48FB-B278-31786DCEEB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5" name="AutoShape 1">
          <a:extLst>
            <a:ext uri="{FF2B5EF4-FFF2-40B4-BE49-F238E27FC236}">
              <a16:creationId xmlns:a16="http://schemas.microsoft.com/office/drawing/2014/main" id="{2EC33DA9-FF23-46B8-A3F9-9D1F351F9C1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6" name="AutoShape 1">
          <a:extLst>
            <a:ext uri="{FF2B5EF4-FFF2-40B4-BE49-F238E27FC236}">
              <a16:creationId xmlns:a16="http://schemas.microsoft.com/office/drawing/2014/main" id="{05CFCA3E-D15B-4F18-84D2-85DAE067770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7" name="AutoShape 1">
          <a:extLst>
            <a:ext uri="{FF2B5EF4-FFF2-40B4-BE49-F238E27FC236}">
              <a16:creationId xmlns:a16="http://schemas.microsoft.com/office/drawing/2014/main" id="{DB1DB04C-673F-4EC4-9E18-092EAEBED0D7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48" name="AutoShape 1">
          <a:extLst>
            <a:ext uri="{FF2B5EF4-FFF2-40B4-BE49-F238E27FC236}">
              <a16:creationId xmlns:a16="http://schemas.microsoft.com/office/drawing/2014/main" id="{55F17844-C990-486A-92A5-82399B29C74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49" name="AutoShape 1">
          <a:extLst>
            <a:ext uri="{FF2B5EF4-FFF2-40B4-BE49-F238E27FC236}">
              <a16:creationId xmlns:a16="http://schemas.microsoft.com/office/drawing/2014/main" id="{1F385083-AFD2-462D-A594-BD1168FBC62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0" name="AutoShape 1">
          <a:extLst>
            <a:ext uri="{FF2B5EF4-FFF2-40B4-BE49-F238E27FC236}">
              <a16:creationId xmlns:a16="http://schemas.microsoft.com/office/drawing/2014/main" id="{67A695B2-01D8-40B5-9140-F43B04E6BF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1" name="AutoShape 1">
          <a:extLst>
            <a:ext uri="{FF2B5EF4-FFF2-40B4-BE49-F238E27FC236}">
              <a16:creationId xmlns:a16="http://schemas.microsoft.com/office/drawing/2014/main" id="{0A7A857F-78C5-4976-B934-6D21F10A654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2" name="AutoShape 1">
          <a:extLst>
            <a:ext uri="{FF2B5EF4-FFF2-40B4-BE49-F238E27FC236}">
              <a16:creationId xmlns:a16="http://schemas.microsoft.com/office/drawing/2014/main" id="{D55A1ACD-7697-45AB-ACD1-79F919EEADF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3" name="AutoShape 1">
          <a:extLst>
            <a:ext uri="{FF2B5EF4-FFF2-40B4-BE49-F238E27FC236}">
              <a16:creationId xmlns:a16="http://schemas.microsoft.com/office/drawing/2014/main" id="{06D4E9D6-13D2-44CB-9DD4-D668E8B44F5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4" name="AutoShape 1">
          <a:extLst>
            <a:ext uri="{FF2B5EF4-FFF2-40B4-BE49-F238E27FC236}">
              <a16:creationId xmlns:a16="http://schemas.microsoft.com/office/drawing/2014/main" id="{78F11017-92C3-4E97-B16A-21D317DA3A6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5" name="AutoShape 1">
          <a:extLst>
            <a:ext uri="{FF2B5EF4-FFF2-40B4-BE49-F238E27FC236}">
              <a16:creationId xmlns:a16="http://schemas.microsoft.com/office/drawing/2014/main" id="{DBF34E4C-BFCD-4D65-A0E9-C68F28AAEBE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6" name="AutoShape 1">
          <a:extLst>
            <a:ext uri="{FF2B5EF4-FFF2-40B4-BE49-F238E27FC236}">
              <a16:creationId xmlns:a16="http://schemas.microsoft.com/office/drawing/2014/main" id="{9E7783E9-AB97-4B6E-9A3A-0F49C79BB12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7" name="AutoShape 1">
          <a:extLst>
            <a:ext uri="{FF2B5EF4-FFF2-40B4-BE49-F238E27FC236}">
              <a16:creationId xmlns:a16="http://schemas.microsoft.com/office/drawing/2014/main" id="{810F7BC4-0C34-4066-BB20-AE4B801A70B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8" name="AutoShape 1">
          <a:extLst>
            <a:ext uri="{FF2B5EF4-FFF2-40B4-BE49-F238E27FC236}">
              <a16:creationId xmlns:a16="http://schemas.microsoft.com/office/drawing/2014/main" id="{B264C11B-378A-4820-9FD4-AFE1137F3D7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9" name="AutoShape 1">
          <a:extLst>
            <a:ext uri="{FF2B5EF4-FFF2-40B4-BE49-F238E27FC236}">
              <a16:creationId xmlns:a16="http://schemas.microsoft.com/office/drawing/2014/main" id="{8213A182-4E5F-4517-8942-E5E93ECC14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0" name="AutoShape 1">
          <a:extLst>
            <a:ext uri="{FF2B5EF4-FFF2-40B4-BE49-F238E27FC236}">
              <a16:creationId xmlns:a16="http://schemas.microsoft.com/office/drawing/2014/main" id="{DBCED6CC-B2A8-40A8-B535-C0229B994F0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1" name="AutoShape 1">
          <a:extLst>
            <a:ext uri="{FF2B5EF4-FFF2-40B4-BE49-F238E27FC236}">
              <a16:creationId xmlns:a16="http://schemas.microsoft.com/office/drawing/2014/main" id="{04814B62-BD53-4AB3-B55F-5A1CB2CE6F6C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2" name="AutoShape 1">
          <a:extLst>
            <a:ext uri="{FF2B5EF4-FFF2-40B4-BE49-F238E27FC236}">
              <a16:creationId xmlns:a16="http://schemas.microsoft.com/office/drawing/2014/main" id="{9D301E98-AF8A-4EDA-AAA0-AE0089071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3" name="AutoShape 1">
          <a:extLst>
            <a:ext uri="{FF2B5EF4-FFF2-40B4-BE49-F238E27FC236}">
              <a16:creationId xmlns:a16="http://schemas.microsoft.com/office/drawing/2014/main" id="{74DB1F5F-9DF4-494B-8EBD-069861C0BDD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4" name="AutoShape 1">
          <a:extLst>
            <a:ext uri="{FF2B5EF4-FFF2-40B4-BE49-F238E27FC236}">
              <a16:creationId xmlns:a16="http://schemas.microsoft.com/office/drawing/2014/main" id="{0D9AE629-FE41-4A7B-B069-A3BC9391C01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5" name="AutoShape 1">
          <a:extLst>
            <a:ext uri="{FF2B5EF4-FFF2-40B4-BE49-F238E27FC236}">
              <a16:creationId xmlns:a16="http://schemas.microsoft.com/office/drawing/2014/main" id="{956F819E-C57D-40D1-815E-D28BB9C1956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6" name="AutoShape 1">
          <a:extLst>
            <a:ext uri="{FF2B5EF4-FFF2-40B4-BE49-F238E27FC236}">
              <a16:creationId xmlns:a16="http://schemas.microsoft.com/office/drawing/2014/main" id="{B01C0218-AF57-4D0E-9FA2-F9B9EC2B749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7" name="AutoShape 1">
          <a:extLst>
            <a:ext uri="{FF2B5EF4-FFF2-40B4-BE49-F238E27FC236}">
              <a16:creationId xmlns:a16="http://schemas.microsoft.com/office/drawing/2014/main" id="{DB49D68E-D125-41A6-9C23-DB0D44E6C9A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68" name="AutoShape 1">
          <a:extLst>
            <a:ext uri="{FF2B5EF4-FFF2-40B4-BE49-F238E27FC236}">
              <a16:creationId xmlns:a16="http://schemas.microsoft.com/office/drawing/2014/main" id="{4F78E9E2-ECC1-47B9-91E2-F343283B69CE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69" name="AutoShape 1">
          <a:extLst>
            <a:ext uri="{FF2B5EF4-FFF2-40B4-BE49-F238E27FC236}">
              <a16:creationId xmlns:a16="http://schemas.microsoft.com/office/drawing/2014/main" id="{5A6A7A36-34CE-4364-AE54-7AB29E8424EF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0" name="AutoShape 1">
          <a:extLst>
            <a:ext uri="{FF2B5EF4-FFF2-40B4-BE49-F238E27FC236}">
              <a16:creationId xmlns:a16="http://schemas.microsoft.com/office/drawing/2014/main" id="{EFFFE3FD-CAE4-4821-9C82-838031A07FA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1" name="AutoShape 1">
          <a:extLst>
            <a:ext uri="{FF2B5EF4-FFF2-40B4-BE49-F238E27FC236}">
              <a16:creationId xmlns:a16="http://schemas.microsoft.com/office/drawing/2014/main" id="{872BEA92-28A6-4CB6-B30A-B7CE30A8EAD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2" name="AutoShape 1">
          <a:extLst>
            <a:ext uri="{FF2B5EF4-FFF2-40B4-BE49-F238E27FC236}">
              <a16:creationId xmlns:a16="http://schemas.microsoft.com/office/drawing/2014/main" id="{61529A4D-95E7-4BDE-99F9-A7ECBB717FC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3" name="AutoShape 1">
          <a:extLst>
            <a:ext uri="{FF2B5EF4-FFF2-40B4-BE49-F238E27FC236}">
              <a16:creationId xmlns:a16="http://schemas.microsoft.com/office/drawing/2014/main" id="{4142D777-98C4-404A-897B-D5FD7AA5448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4" name="AutoShape 1">
          <a:extLst>
            <a:ext uri="{FF2B5EF4-FFF2-40B4-BE49-F238E27FC236}">
              <a16:creationId xmlns:a16="http://schemas.microsoft.com/office/drawing/2014/main" id="{62278631-3B85-4B8F-A9E8-657D866975D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5" name="AutoShape 1">
          <a:extLst>
            <a:ext uri="{FF2B5EF4-FFF2-40B4-BE49-F238E27FC236}">
              <a16:creationId xmlns:a16="http://schemas.microsoft.com/office/drawing/2014/main" id="{CBC4A570-153F-4023-B797-71136E07EBBD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6" name="AutoShape 1">
          <a:extLst>
            <a:ext uri="{FF2B5EF4-FFF2-40B4-BE49-F238E27FC236}">
              <a16:creationId xmlns:a16="http://schemas.microsoft.com/office/drawing/2014/main" id="{D60A2239-1DE0-48C6-8768-C922DC75A30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7" name="AutoShape 1">
          <a:extLst>
            <a:ext uri="{FF2B5EF4-FFF2-40B4-BE49-F238E27FC236}">
              <a16:creationId xmlns:a16="http://schemas.microsoft.com/office/drawing/2014/main" id="{8FA02FA8-DCE3-4EC8-8CDB-C377466508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78" name="AutoShape 1">
          <a:extLst>
            <a:ext uri="{FF2B5EF4-FFF2-40B4-BE49-F238E27FC236}">
              <a16:creationId xmlns:a16="http://schemas.microsoft.com/office/drawing/2014/main" id="{6453F64C-3857-4D40-A1C3-64C381D54C2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79" name="AutoShape 1">
          <a:extLst>
            <a:ext uri="{FF2B5EF4-FFF2-40B4-BE49-F238E27FC236}">
              <a16:creationId xmlns:a16="http://schemas.microsoft.com/office/drawing/2014/main" id="{CC7F36AA-B631-4D7F-9A70-B4317BBB39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0" name="AutoShape 1">
          <a:extLst>
            <a:ext uri="{FF2B5EF4-FFF2-40B4-BE49-F238E27FC236}">
              <a16:creationId xmlns:a16="http://schemas.microsoft.com/office/drawing/2014/main" id="{47B6E4C7-129C-4A74-88C8-7D144159C75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1" name="AutoShape 1">
          <a:extLst>
            <a:ext uri="{FF2B5EF4-FFF2-40B4-BE49-F238E27FC236}">
              <a16:creationId xmlns:a16="http://schemas.microsoft.com/office/drawing/2014/main" id="{026E323D-37CC-48F1-B716-9BE5ADCBB77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2" name="AutoShape 1">
          <a:extLst>
            <a:ext uri="{FF2B5EF4-FFF2-40B4-BE49-F238E27FC236}">
              <a16:creationId xmlns:a16="http://schemas.microsoft.com/office/drawing/2014/main" id="{C02CE3A6-31FC-4C73-AE91-41F98C05AB1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3" name="AutoShape 1">
          <a:extLst>
            <a:ext uri="{FF2B5EF4-FFF2-40B4-BE49-F238E27FC236}">
              <a16:creationId xmlns:a16="http://schemas.microsoft.com/office/drawing/2014/main" id="{2C30F14C-F559-4785-9BED-0D6CB963A5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4" name="AutoShape 1">
          <a:extLst>
            <a:ext uri="{FF2B5EF4-FFF2-40B4-BE49-F238E27FC236}">
              <a16:creationId xmlns:a16="http://schemas.microsoft.com/office/drawing/2014/main" id="{708FEBBB-494A-4E57-946D-661FC41147E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5" name="AutoShape 1">
          <a:extLst>
            <a:ext uri="{FF2B5EF4-FFF2-40B4-BE49-F238E27FC236}">
              <a16:creationId xmlns:a16="http://schemas.microsoft.com/office/drawing/2014/main" id="{F522D0CF-2FB8-4F7E-A339-E46F566548D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6" name="AutoShape 1">
          <a:extLst>
            <a:ext uri="{FF2B5EF4-FFF2-40B4-BE49-F238E27FC236}">
              <a16:creationId xmlns:a16="http://schemas.microsoft.com/office/drawing/2014/main" id="{6AB0B85B-156A-4B05-AB71-F9EE3FD461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7" name="AutoShape 1">
          <a:extLst>
            <a:ext uri="{FF2B5EF4-FFF2-40B4-BE49-F238E27FC236}">
              <a16:creationId xmlns:a16="http://schemas.microsoft.com/office/drawing/2014/main" id="{1A6ADA74-8CF9-4AD0-8593-F85C71180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8" name="AutoShape 1">
          <a:extLst>
            <a:ext uri="{FF2B5EF4-FFF2-40B4-BE49-F238E27FC236}">
              <a16:creationId xmlns:a16="http://schemas.microsoft.com/office/drawing/2014/main" id="{515C1FC6-FEC2-40A3-95FD-2248DFD1D73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9" name="AutoShape 1">
          <a:extLst>
            <a:ext uri="{FF2B5EF4-FFF2-40B4-BE49-F238E27FC236}">
              <a16:creationId xmlns:a16="http://schemas.microsoft.com/office/drawing/2014/main" id="{7477BC9D-084D-48A1-9FF6-2E569233598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0" name="AutoShape 1">
          <a:extLst>
            <a:ext uri="{FF2B5EF4-FFF2-40B4-BE49-F238E27FC236}">
              <a16:creationId xmlns:a16="http://schemas.microsoft.com/office/drawing/2014/main" id="{CD804BF4-C478-4C83-976D-8FF459AC046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1" name="AutoShape 1">
          <a:extLst>
            <a:ext uri="{FF2B5EF4-FFF2-40B4-BE49-F238E27FC236}">
              <a16:creationId xmlns:a16="http://schemas.microsoft.com/office/drawing/2014/main" id="{0A7C3CEC-F719-4DA9-996F-BC25BB7D84B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2" name="AutoShape 1">
          <a:extLst>
            <a:ext uri="{FF2B5EF4-FFF2-40B4-BE49-F238E27FC236}">
              <a16:creationId xmlns:a16="http://schemas.microsoft.com/office/drawing/2014/main" id="{07B66967-49F7-4655-9414-7C4689AC296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3" name="AutoShape 1">
          <a:extLst>
            <a:ext uri="{FF2B5EF4-FFF2-40B4-BE49-F238E27FC236}">
              <a16:creationId xmlns:a16="http://schemas.microsoft.com/office/drawing/2014/main" id="{06FD950E-0CD8-4687-B6D0-A3D1B21ACB8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4" name="AutoShape 1">
          <a:extLst>
            <a:ext uri="{FF2B5EF4-FFF2-40B4-BE49-F238E27FC236}">
              <a16:creationId xmlns:a16="http://schemas.microsoft.com/office/drawing/2014/main" id="{FE6EC261-C5C3-49BE-8EB4-5F460E9965E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5" name="AutoShape 1">
          <a:extLst>
            <a:ext uri="{FF2B5EF4-FFF2-40B4-BE49-F238E27FC236}">
              <a16:creationId xmlns:a16="http://schemas.microsoft.com/office/drawing/2014/main" id="{3016827A-447B-483A-8457-E3AA298E7CB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6" name="AutoShape 1">
          <a:extLst>
            <a:ext uri="{FF2B5EF4-FFF2-40B4-BE49-F238E27FC236}">
              <a16:creationId xmlns:a16="http://schemas.microsoft.com/office/drawing/2014/main" id="{4E11C1DF-A998-47DC-81ED-134DFF7C5E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7" name="AutoShape 1">
          <a:extLst>
            <a:ext uri="{FF2B5EF4-FFF2-40B4-BE49-F238E27FC236}">
              <a16:creationId xmlns:a16="http://schemas.microsoft.com/office/drawing/2014/main" id="{A27FA40E-97DD-4D9A-BFE7-6E543AECD51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8" name="AutoShape 1">
          <a:extLst>
            <a:ext uri="{FF2B5EF4-FFF2-40B4-BE49-F238E27FC236}">
              <a16:creationId xmlns:a16="http://schemas.microsoft.com/office/drawing/2014/main" id="{4DD7639A-F408-4981-9BE3-3B2368EFF6D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9" name="AutoShape 1">
          <a:extLst>
            <a:ext uri="{FF2B5EF4-FFF2-40B4-BE49-F238E27FC236}">
              <a16:creationId xmlns:a16="http://schemas.microsoft.com/office/drawing/2014/main" id="{13FD2871-FAD0-4AB0-8E7A-7EA93D01803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00" name="AutoShape 1">
          <a:extLst>
            <a:ext uri="{FF2B5EF4-FFF2-40B4-BE49-F238E27FC236}">
              <a16:creationId xmlns:a16="http://schemas.microsoft.com/office/drawing/2014/main" id="{78AC96E2-40C5-4839-B05D-8B80772A022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01" name="AutoShape 1">
          <a:extLst>
            <a:ext uri="{FF2B5EF4-FFF2-40B4-BE49-F238E27FC236}">
              <a16:creationId xmlns:a16="http://schemas.microsoft.com/office/drawing/2014/main" id="{171239A7-7E0E-4800-B443-ECF49A782F5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102" name="AutoShape 1">
          <a:extLst>
            <a:ext uri="{FF2B5EF4-FFF2-40B4-BE49-F238E27FC236}">
              <a16:creationId xmlns:a16="http://schemas.microsoft.com/office/drawing/2014/main" id="{E1E49FD8-B3FF-48D0-B7F6-CCC41D8AD45D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103" name="AutoShape 1">
          <a:extLst>
            <a:ext uri="{FF2B5EF4-FFF2-40B4-BE49-F238E27FC236}">
              <a16:creationId xmlns:a16="http://schemas.microsoft.com/office/drawing/2014/main" id="{91209008-18B3-414B-A025-01243480EBCA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4" name="AutoShape 1">
          <a:extLst>
            <a:ext uri="{FF2B5EF4-FFF2-40B4-BE49-F238E27FC236}">
              <a16:creationId xmlns:a16="http://schemas.microsoft.com/office/drawing/2014/main" id="{6C0D4978-5BF0-4B5E-9C18-1D558372D57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5" name="AutoShape 1">
          <a:extLst>
            <a:ext uri="{FF2B5EF4-FFF2-40B4-BE49-F238E27FC236}">
              <a16:creationId xmlns:a16="http://schemas.microsoft.com/office/drawing/2014/main" id="{44544237-83BB-4DAA-BEA0-168B1B79410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6" name="AutoShape 1">
          <a:extLst>
            <a:ext uri="{FF2B5EF4-FFF2-40B4-BE49-F238E27FC236}">
              <a16:creationId xmlns:a16="http://schemas.microsoft.com/office/drawing/2014/main" id="{3E6D8109-B819-440F-90F1-E9BE3EEBE6E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7" name="AutoShape 1">
          <a:extLst>
            <a:ext uri="{FF2B5EF4-FFF2-40B4-BE49-F238E27FC236}">
              <a16:creationId xmlns:a16="http://schemas.microsoft.com/office/drawing/2014/main" id="{CB1CE2C2-8CDD-42EE-A249-DCD73681796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8" name="AutoShape 1">
          <a:extLst>
            <a:ext uri="{FF2B5EF4-FFF2-40B4-BE49-F238E27FC236}">
              <a16:creationId xmlns:a16="http://schemas.microsoft.com/office/drawing/2014/main" id="{C810A83C-2206-47D5-A77D-5A7A53CF7F4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9" name="AutoShape 1">
          <a:extLst>
            <a:ext uri="{FF2B5EF4-FFF2-40B4-BE49-F238E27FC236}">
              <a16:creationId xmlns:a16="http://schemas.microsoft.com/office/drawing/2014/main" id="{D868FAC3-9080-4F04-A6ED-92ECA50A9F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10" name="AutoShape 1">
          <a:extLst>
            <a:ext uri="{FF2B5EF4-FFF2-40B4-BE49-F238E27FC236}">
              <a16:creationId xmlns:a16="http://schemas.microsoft.com/office/drawing/2014/main" id="{E08120BA-C70E-4447-8CE1-AC1943E240B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11" name="AutoShape 1">
          <a:extLst>
            <a:ext uri="{FF2B5EF4-FFF2-40B4-BE49-F238E27FC236}">
              <a16:creationId xmlns:a16="http://schemas.microsoft.com/office/drawing/2014/main" id="{1B8CF0C5-2D1B-46FB-8B3B-8CC72EFE6D9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2" name="AutoShape 1">
          <a:extLst>
            <a:ext uri="{FF2B5EF4-FFF2-40B4-BE49-F238E27FC236}">
              <a16:creationId xmlns:a16="http://schemas.microsoft.com/office/drawing/2014/main" id="{31F0E2D6-EE3B-45D0-A46B-4C06E3C6E27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3" name="AutoShape 1">
          <a:extLst>
            <a:ext uri="{FF2B5EF4-FFF2-40B4-BE49-F238E27FC236}">
              <a16:creationId xmlns:a16="http://schemas.microsoft.com/office/drawing/2014/main" id="{EF132E94-F627-4E79-B3D9-6DD64751ED2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4" name="AutoShape 1">
          <a:extLst>
            <a:ext uri="{FF2B5EF4-FFF2-40B4-BE49-F238E27FC236}">
              <a16:creationId xmlns:a16="http://schemas.microsoft.com/office/drawing/2014/main" id="{C8E435A8-C6DB-456E-A5BF-758F837893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5" name="AutoShape 1">
          <a:extLst>
            <a:ext uri="{FF2B5EF4-FFF2-40B4-BE49-F238E27FC236}">
              <a16:creationId xmlns:a16="http://schemas.microsoft.com/office/drawing/2014/main" id="{D383FB53-6E34-4A55-B1F0-EEF4221E641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6" name="AutoShape 1">
          <a:extLst>
            <a:ext uri="{FF2B5EF4-FFF2-40B4-BE49-F238E27FC236}">
              <a16:creationId xmlns:a16="http://schemas.microsoft.com/office/drawing/2014/main" id="{FD68F1E9-EB2A-41A3-A7E2-FF06CC70D12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7" name="AutoShape 1">
          <a:extLst>
            <a:ext uri="{FF2B5EF4-FFF2-40B4-BE49-F238E27FC236}">
              <a16:creationId xmlns:a16="http://schemas.microsoft.com/office/drawing/2014/main" id="{DD5DC9DE-CD57-49CA-8BBB-D72B1820B1E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8" name="AutoShape 1">
          <a:extLst>
            <a:ext uri="{FF2B5EF4-FFF2-40B4-BE49-F238E27FC236}">
              <a16:creationId xmlns:a16="http://schemas.microsoft.com/office/drawing/2014/main" id="{F2640246-5763-4738-BBC7-3FEE7EF89B3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9" name="AutoShape 1">
          <a:extLst>
            <a:ext uri="{FF2B5EF4-FFF2-40B4-BE49-F238E27FC236}">
              <a16:creationId xmlns:a16="http://schemas.microsoft.com/office/drawing/2014/main" id="{E874CA7F-1ED7-4AE7-A170-BA65E090F30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0" name="AutoShape 1">
          <a:extLst>
            <a:ext uri="{FF2B5EF4-FFF2-40B4-BE49-F238E27FC236}">
              <a16:creationId xmlns:a16="http://schemas.microsoft.com/office/drawing/2014/main" id="{F50B0F1D-4D50-4AD9-B610-078E38796E9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1" name="AutoShape 1">
          <a:extLst>
            <a:ext uri="{FF2B5EF4-FFF2-40B4-BE49-F238E27FC236}">
              <a16:creationId xmlns:a16="http://schemas.microsoft.com/office/drawing/2014/main" id="{CAA39B7A-A8F2-4095-9B36-AA15EB9F214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2" name="AutoShape 1">
          <a:extLst>
            <a:ext uri="{FF2B5EF4-FFF2-40B4-BE49-F238E27FC236}">
              <a16:creationId xmlns:a16="http://schemas.microsoft.com/office/drawing/2014/main" id="{435D4FD7-596B-4828-94F5-B1F19A691F9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3" name="AutoShape 1">
          <a:extLst>
            <a:ext uri="{FF2B5EF4-FFF2-40B4-BE49-F238E27FC236}">
              <a16:creationId xmlns:a16="http://schemas.microsoft.com/office/drawing/2014/main" id="{8731568A-CB7F-452A-B336-B74E10EEAA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4" name="AutoShape 1">
          <a:extLst>
            <a:ext uri="{FF2B5EF4-FFF2-40B4-BE49-F238E27FC236}">
              <a16:creationId xmlns:a16="http://schemas.microsoft.com/office/drawing/2014/main" id="{D953885D-D877-41A0-90EC-61D312058AB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5" name="AutoShape 1">
          <a:extLst>
            <a:ext uri="{FF2B5EF4-FFF2-40B4-BE49-F238E27FC236}">
              <a16:creationId xmlns:a16="http://schemas.microsoft.com/office/drawing/2014/main" id="{22832711-6A9A-46AB-97A6-F0B58B90AD9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6" name="AutoShape 1">
          <a:extLst>
            <a:ext uri="{FF2B5EF4-FFF2-40B4-BE49-F238E27FC236}">
              <a16:creationId xmlns:a16="http://schemas.microsoft.com/office/drawing/2014/main" id="{60D02ED5-C37C-449A-889B-ED0FAEF33E5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7" name="AutoShape 1">
          <a:extLst>
            <a:ext uri="{FF2B5EF4-FFF2-40B4-BE49-F238E27FC236}">
              <a16:creationId xmlns:a16="http://schemas.microsoft.com/office/drawing/2014/main" id="{7D851E90-FDB9-410A-BE6F-EABBF3F1BD1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8" name="AutoShape 1">
          <a:extLst>
            <a:ext uri="{FF2B5EF4-FFF2-40B4-BE49-F238E27FC236}">
              <a16:creationId xmlns:a16="http://schemas.microsoft.com/office/drawing/2014/main" id="{CB862CFC-03DA-4AF3-AF6D-FFEF4C5113B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9" name="AutoShape 1">
          <a:extLst>
            <a:ext uri="{FF2B5EF4-FFF2-40B4-BE49-F238E27FC236}">
              <a16:creationId xmlns:a16="http://schemas.microsoft.com/office/drawing/2014/main" id="{7579B8AC-ADAC-4B99-A6FA-3F4B1470361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30" name="AutoShape 1">
          <a:extLst>
            <a:ext uri="{FF2B5EF4-FFF2-40B4-BE49-F238E27FC236}">
              <a16:creationId xmlns:a16="http://schemas.microsoft.com/office/drawing/2014/main" id="{103FE80B-A9ED-4F06-B209-B659BAE7E64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31" name="AutoShape 1">
          <a:extLst>
            <a:ext uri="{FF2B5EF4-FFF2-40B4-BE49-F238E27FC236}">
              <a16:creationId xmlns:a16="http://schemas.microsoft.com/office/drawing/2014/main" id="{C2F9A04B-6E61-4F8D-934D-DDF82576202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2" name="AutoShape 1">
          <a:extLst>
            <a:ext uri="{FF2B5EF4-FFF2-40B4-BE49-F238E27FC236}">
              <a16:creationId xmlns:a16="http://schemas.microsoft.com/office/drawing/2014/main" id="{BEF97DF2-2136-47E7-87D1-F3523E796801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3" name="AutoShape 1">
          <a:extLst>
            <a:ext uri="{FF2B5EF4-FFF2-40B4-BE49-F238E27FC236}">
              <a16:creationId xmlns:a16="http://schemas.microsoft.com/office/drawing/2014/main" id="{706AFDFE-936D-4D45-8820-6C48ADBA0C6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4" name="AutoShape 1">
          <a:extLst>
            <a:ext uri="{FF2B5EF4-FFF2-40B4-BE49-F238E27FC236}">
              <a16:creationId xmlns:a16="http://schemas.microsoft.com/office/drawing/2014/main" id="{A935B8B6-F848-44FD-A34E-1310C4BAC58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5" name="AutoShape 1">
          <a:extLst>
            <a:ext uri="{FF2B5EF4-FFF2-40B4-BE49-F238E27FC236}">
              <a16:creationId xmlns:a16="http://schemas.microsoft.com/office/drawing/2014/main" id="{313B01F4-10F7-42C8-9E62-8B4E165D1846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36" name="AutoShape 1">
          <a:extLst>
            <a:ext uri="{FF2B5EF4-FFF2-40B4-BE49-F238E27FC236}">
              <a16:creationId xmlns:a16="http://schemas.microsoft.com/office/drawing/2014/main" id="{D8FF2E35-5277-478D-BDFF-C7A15488C9B9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</a:pPr>
          <a:endParaRPr lang="en-US" sz="1200" b="0" strike="noStrike" spc="-1">
            <a:latin typeface="Times New Roman"/>
          </a:endParaRPr>
        </a:p>
      </xdr:txBody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37" name="AutoShape 1">
          <a:extLst>
            <a:ext uri="{FF2B5EF4-FFF2-40B4-BE49-F238E27FC236}">
              <a16:creationId xmlns:a16="http://schemas.microsoft.com/office/drawing/2014/main" id="{3B20A4C6-2603-4CBF-A3E4-8065A35BC963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38" name="AutoShape 1">
          <a:extLst>
            <a:ext uri="{FF2B5EF4-FFF2-40B4-BE49-F238E27FC236}">
              <a16:creationId xmlns:a16="http://schemas.microsoft.com/office/drawing/2014/main" id="{6E6327A7-75FF-4AF0-A8B8-DD5869B8CA22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39" name="AutoShape 1">
          <a:extLst>
            <a:ext uri="{FF2B5EF4-FFF2-40B4-BE49-F238E27FC236}">
              <a16:creationId xmlns:a16="http://schemas.microsoft.com/office/drawing/2014/main" id="{BD7B1A56-0885-4C0D-9781-E4C17DF01522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40" name="AutoShape 1">
          <a:extLst>
            <a:ext uri="{FF2B5EF4-FFF2-40B4-BE49-F238E27FC236}">
              <a16:creationId xmlns:a16="http://schemas.microsoft.com/office/drawing/2014/main" id="{B32BC311-72F5-494D-921C-2A1B0DDB071D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41" name="AutoShape 1">
          <a:extLst>
            <a:ext uri="{FF2B5EF4-FFF2-40B4-BE49-F238E27FC236}">
              <a16:creationId xmlns:a16="http://schemas.microsoft.com/office/drawing/2014/main" id="{1BB3E200-21F3-434F-96B4-1EA7C5CFC25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42" name="AutoShape 1">
          <a:extLst>
            <a:ext uri="{FF2B5EF4-FFF2-40B4-BE49-F238E27FC236}">
              <a16:creationId xmlns:a16="http://schemas.microsoft.com/office/drawing/2014/main" id="{D0694DE6-2912-4462-BB73-0AC2F0516517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43" name="AutoShape 1">
          <a:extLst>
            <a:ext uri="{FF2B5EF4-FFF2-40B4-BE49-F238E27FC236}">
              <a16:creationId xmlns:a16="http://schemas.microsoft.com/office/drawing/2014/main" id="{83A04207-8515-47B9-AAA9-FA182756A404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44" name="AutoShape 1">
          <a:extLst>
            <a:ext uri="{FF2B5EF4-FFF2-40B4-BE49-F238E27FC236}">
              <a16:creationId xmlns:a16="http://schemas.microsoft.com/office/drawing/2014/main" id="{B8491B6E-9C05-4A40-9EEF-EDA1B28B9E6E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45" name="AutoShape 1">
          <a:extLst>
            <a:ext uri="{FF2B5EF4-FFF2-40B4-BE49-F238E27FC236}">
              <a16:creationId xmlns:a16="http://schemas.microsoft.com/office/drawing/2014/main" id="{2168F88E-1F0B-4614-AA3B-95175872298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46" name="AutoShape 1">
          <a:extLst>
            <a:ext uri="{FF2B5EF4-FFF2-40B4-BE49-F238E27FC236}">
              <a16:creationId xmlns:a16="http://schemas.microsoft.com/office/drawing/2014/main" id="{BD437CA5-E418-4DCC-81B1-5A8012DA30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47" name="AutoShape 1">
          <a:extLst>
            <a:ext uri="{FF2B5EF4-FFF2-40B4-BE49-F238E27FC236}">
              <a16:creationId xmlns:a16="http://schemas.microsoft.com/office/drawing/2014/main" id="{6396E378-BA5C-4C8A-BAE4-244AA70162D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48" name="AutoShape 1">
          <a:extLst>
            <a:ext uri="{FF2B5EF4-FFF2-40B4-BE49-F238E27FC236}">
              <a16:creationId xmlns:a16="http://schemas.microsoft.com/office/drawing/2014/main" id="{D05FF36F-E0F5-482D-8F48-D481D5F1257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49" name="AutoShape 1">
          <a:extLst>
            <a:ext uri="{FF2B5EF4-FFF2-40B4-BE49-F238E27FC236}">
              <a16:creationId xmlns:a16="http://schemas.microsoft.com/office/drawing/2014/main" id="{BC871C10-8E7F-4817-8040-ECDE2579488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0" name="AutoShape 1">
          <a:extLst>
            <a:ext uri="{FF2B5EF4-FFF2-40B4-BE49-F238E27FC236}">
              <a16:creationId xmlns:a16="http://schemas.microsoft.com/office/drawing/2014/main" id="{33B8A98E-CBD5-45A6-B05F-81BFA167FB7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1" name="AutoShape 1">
          <a:extLst>
            <a:ext uri="{FF2B5EF4-FFF2-40B4-BE49-F238E27FC236}">
              <a16:creationId xmlns:a16="http://schemas.microsoft.com/office/drawing/2014/main" id="{D41F1094-61AC-4E83-8287-7A021C59656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2" name="AutoShape 1">
          <a:extLst>
            <a:ext uri="{FF2B5EF4-FFF2-40B4-BE49-F238E27FC236}">
              <a16:creationId xmlns:a16="http://schemas.microsoft.com/office/drawing/2014/main" id="{571C0C8F-E14F-4B65-988A-F6CD1D407CA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3" name="AutoShape 1">
          <a:extLst>
            <a:ext uri="{FF2B5EF4-FFF2-40B4-BE49-F238E27FC236}">
              <a16:creationId xmlns:a16="http://schemas.microsoft.com/office/drawing/2014/main" id="{C767AC82-4488-4C82-9D92-FB63148DDA3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4" name="AutoShape 1">
          <a:extLst>
            <a:ext uri="{FF2B5EF4-FFF2-40B4-BE49-F238E27FC236}">
              <a16:creationId xmlns:a16="http://schemas.microsoft.com/office/drawing/2014/main" id="{BB533D8C-0533-4FDC-897B-D45F30C8D35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5" name="AutoShape 1">
          <a:extLst>
            <a:ext uri="{FF2B5EF4-FFF2-40B4-BE49-F238E27FC236}">
              <a16:creationId xmlns:a16="http://schemas.microsoft.com/office/drawing/2014/main" id="{679C92D8-2AFD-49E8-9049-744CE914C84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6" name="AutoShape 1">
          <a:extLst>
            <a:ext uri="{FF2B5EF4-FFF2-40B4-BE49-F238E27FC236}">
              <a16:creationId xmlns:a16="http://schemas.microsoft.com/office/drawing/2014/main" id="{6FE53059-201D-4CE7-BF3E-77F5326E0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7" name="AutoShape 1">
          <a:extLst>
            <a:ext uri="{FF2B5EF4-FFF2-40B4-BE49-F238E27FC236}">
              <a16:creationId xmlns:a16="http://schemas.microsoft.com/office/drawing/2014/main" id="{716C6FF9-94F2-45AD-AFE2-B738DDB0E24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8" name="AutoShape 1">
          <a:extLst>
            <a:ext uri="{FF2B5EF4-FFF2-40B4-BE49-F238E27FC236}">
              <a16:creationId xmlns:a16="http://schemas.microsoft.com/office/drawing/2014/main" id="{50C9DFFE-17AD-40D0-B311-41FF7D6BDBC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9" name="AutoShape 1">
          <a:extLst>
            <a:ext uri="{FF2B5EF4-FFF2-40B4-BE49-F238E27FC236}">
              <a16:creationId xmlns:a16="http://schemas.microsoft.com/office/drawing/2014/main" id="{9761FAFA-B435-4428-8874-169384C1276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0" name="AutoShape 1">
          <a:extLst>
            <a:ext uri="{FF2B5EF4-FFF2-40B4-BE49-F238E27FC236}">
              <a16:creationId xmlns:a16="http://schemas.microsoft.com/office/drawing/2014/main" id="{3E9CE7CB-E564-43FB-A20F-75C6AD2EFA0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1" name="AutoShape 1">
          <a:extLst>
            <a:ext uri="{FF2B5EF4-FFF2-40B4-BE49-F238E27FC236}">
              <a16:creationId xmlns:a16="http://schemas.microsoft.com/office/drawing/2014/main" id="{CEA14EAF-740E-4B5B-ADEE-0CD0ABB2DC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2" name="AutoShape 1">
          <a:extLst>
            <a:ext uri="{FF2B5EF4-FFF2-40B4-BE49-F238E27FC236}">
              <a16:creationId xmlns:a16="http://schemas.microsoft.com/office/drawing/2014/main" id="{7A63E80A-8577-4C5A-B613-D5629D33C81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3" name="AutoShape 1">
          <a:extLst>
            <a:ext uri="{FF2B5EF4-FFF2-40B4-BE49-F238E27FC236}">
              <a16:creationId xmlns:a16="http://schemas.microsoft.com/office/drawing/2014/main" id="{AA77B142-C968-4DFB-BCFD-992345D2B1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4" name="AutoShape 1">
          <a:extLst>
            <a:ext uri="{FF2B5EF4-FFF2-40B4-BE49-F238E27FC236}">
              <a16:creationId xmlns:a16="http://schemas.microsoft.com/office/drawing/2014/main" id="{7EB04718-26C2-42F2-A69F-BB4FCF4F3E0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5" name="AutoShape 1">
          <a:extLst>
            <a:ext uri="{FF2B5EF4-FFF2-40B4-BE49-F238E27FC236}">
              <a16:creationId xmlns:a16="http://schemas.microsoft.com/office/drawing/2014/main" id="{D6D298DF-72DD-4A7D-B383-6ACA8D18E4A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6" name="AutoShape 1">
          <a:extLst>
            <a:ext uri="{FF2B5EF4-FFF2-40B4-BE49-F238E27FC236}">
              <a16:creationId xmlns:a16="http://schemas.microsoft.com/office/drawing/2014/main" id="{376BD34C-812C-4278-9ED7-E2D33173B61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7" name="AutoShape 1">
          <a:extLst>
            <a:ext uri="{FF2B5EF4-FFF2-40B4-BE49-F238E27FC236}">
              <a16:creationId xmlns:a16="http://schemas.microsoft.com/office/drawing/2014/main" id="{CAA193BB-B2BB-49C6-99BF-21B874280F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8" name="AutoShape 1">
          <a:extLst>
            <a:ext uri="{FF2B5EF4-FFF2-40B4-BE49-F238E27FC236}">
              <a16:creationId xmlns:a16="http://schemas.microsoft.com/office/drawing/2014/main" id="{4FC5C3B2-5A00-402C-81D9-B87C2561F42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9" name="AutoShape 1">
          <a:extLst>
            <a:ext uri="{FF2B5EF4-FFF2-40B4-BE49-F238E27FC236}">
              <a16:creationId xmlns:a16="http://schemas.microsoft.com/office/drawing/2014/main" id="{DE302C57-8DEA-4215-B385-878D6521765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0" name="AutoShape 1">
          <a:extLst>
            <a:ext uri="{FF2B5EF4-FFF2-40B4-BE49-F238E27FC236}">
              <a16:creationId xmlns:a16="http://schemas.microsoft.com/office/drawing/2014/main" id="{35A7C839-7CEC-42BC-BDA6-0DDD67BF6B8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1" name="AutoShape 1">
          <a:extLst>
            <a:ext uri="{FF2B5EF4-FFF2-40B4-BE49-F238E27FC236}">
              <a16:creationId xmlns:a16="http://schemas.microsoft.com/office/drawing/2014/main" id="{A33ADE5B-60CF-4D5F-9CC2-8DB889B1DC8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2" name="AutoShape 1">
          <a:extLst>
            <a:ext uri="{FF2B5EF4-FFF2-40B4-BE49-F238E27FC236}">
              <a16:creationId xmlns:a16="http://schemas.microsoft.com/office/drawing/2014/main" id="{64DACDFE-7BA1-49BF-ADA0-FFFFFBB550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3" name="AutoShape 1">
          <a:extLst>
            <a:ext uri="{FF2B5EF4-FFF2-40B4-BE49-F238E27FC236}">
              <a16:creationId xmlns:a16="http://schemas.microsoft.com/office/drawing/2014/main" id="{301CC112-69AD-4A8F-8D41-920542F6A19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4" name="AutoShape 1">
          <a:extLst>
            <a:ext uri="{FF2B5EF4-FFF2-40B4-BE49-F238E27FC236}">
              <a16:creationId xmlns:a16="http://schemas.microsoft.com/office/drawing/2014/main" id="{219E7D3C-2FC0-4739-8A2C-8A2F058AAF4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5" name="AutoShape 1">
          <a:extLst>
            <a:ext uri="{FF2B5EF4-FFF2-40B4-BE49-F238E27FC236}">
              <a16:creationId xmlns:a16="http://schemas.microsoft.com/office/drawing/2014/main" id="{85D5C614-B500-4424-AD39-366565140B5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6" name="AutoShape 1">
          <a:extLst>
            <a:ext uri="{FF2B5EF4-FFF2-40B4-BE49-F238E27FC236}">
              <a16:creationId xmlns:a16="http://schemas.microsoft.com/office/drawing/2014/main" id="{AC1B1409-91E8-4D0A-9715-9B628AC82E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29E272AF-ED4B-467A-8157-3D28F4A05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8" name="AutoShape 1">
          <a:extLst>
            <a:ext uri="{FF2B5EF4-FFF2-40B4-BE49-F238E27FC236}">
              <a16:creationId xmlns:a16="http://schemas.microsoft.com/office/drawing/2014/main" id="{E85DCE36-A544-4758-8711-7CB539D3171F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9" name="AutoShape 1">
          <a:extLst>
            <a:ext uri="{FF2B5EF4-FFF2-40B4-BE49-F238E27FC236}">
              <a16:creationId xmlns:a16="http://schemas.microsoft.com/office/drawing/2014/main" id="{7931D17C-25E5-4F3B-BD91-FD20CF0FEAC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80" name="AutoShape 1">
          <a:extLst>
            <a:ext uri="{FF2B5EF4-FFF2-40B4-BE49-F238E27FC236}">
              <a16:creationId xmlns:a16="http://schemas.microsoft.com/office/drawing/2014/main" id="{803F449F-0AF1-4F6A-AAA3-3A44116E14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81" name="AutoShape 1">
          <a:extLst>
            <a:ext uri="{FF2B5EF4-FFF2-40B4-BE49-F238E27FC236}">
              <a16:creationId xmlns:a16="http://schemas.microsoft.com/office/drawing/2014/main" id="{7789C0BA-64B4-42DB-865E-E29CC948747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2" name="AutoShape 1">
          <a:extLst>
            <a:ext uri="{FF2B5EF4-FFF2-40B4-BE49-F238E27FC236}">
              <a16:creationId xmlns:a16="http://schemas.microsoft.com/office/drawing/2014/main" id="{56B6B90B-F7EF-439D-A7EF-8F587DDF517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3" name="AutoShape 1">
          <a:extLst>
            <a:ext uri="{FF2B5EF4-FFF2-40B4-BE49-F238E27FC236}">
              <a16:creationId xmlns:a16="http://schemas.microsoft.com/office/drawing/2014/main" id="{043B8266-73EB-4FDE-BDA3-9C308EBD155C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4" name="AutoShape 1">
          <a:extLst>
            <a:ext uri="{FF2B5EF4-FFF2-40B4-BE49-F238E27FC236}">
              <a16:creationId xmlns:a16="http://schemas.microsoft.com/office/drawing/2014/main" id="{665F15EE-8B19-4095-A73F-E6B27AC8300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5" name="AutoShape 1">
          <a:extLst>
            <a:ext uri="{FF2B5EF4-FFF2-40B4-BE49-F238E27FC236}">
              <a16:creationId xmlns:a16="http://schemas.microsoft.com/office/drawing/2014/main" id="{76AED2DF-8187-42D2-A8B2-05D2F589F02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6" name="AutoShape 1">
          <a:extLst>
            <a:ext uri="{FF2B5EF4-FFF2-40B4-BE49-F238E27FC236}">
              <a16:creationId xmlns:a16="http://schemas.microsoft.com/office/drawing/2014/main" id="{AD9CAAF0-65C8-48EB-B9CA-720F2C4792BD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7" name="AutoShape 1">
          <a:extLst>
            <a:ext uri="{FF2B5EF4-FFF2-40B4-BE49-F238E27FC236}">
              <a16:creationId xmlns:a16="http://schemas.microsoft.com/office/drawing/2014/main" id="{A2C16D29-A2AA-4643-99F4-8F4F950FC1D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8" name="AutoShape 1">
          <a:extLst>
            <a:ext uri="{FF2B5EF4-FFF2-40B4-BE49-F238E27FC236}">
              <a16:creationId xmlns:a16="http://schemas.microsoft.com/office/drawing/2014/main" id="{DFE0D6A6-9E57-4CF0-92AC-AADF83F56D8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9" name="AutoShape 1">
          <a:extLst>
            <a:ext uri="{FF2B5EF4-FFF2-40B4-BE49-F238E27FC236}">
              <a16:creationId xmlns:a16="http://schemas.microsoft.com/office/drawing/2014/main" id="{7A890EC4-699F-441E-BCDA-CBD6BBB9A8D6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0" name="AutoShape 1">
          <a:extLst>
            <a:ext uri="{FF2B5EF4-FFF2-40B4-BE49-F238E27FC236}">
              <a16:creationId xmlns:a16="http://schemas.microsoft.com/office/drawing/2014/main" id="{F8DF7DBE-EFE7-44B9-8E85-C70BA53CCF1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1" name="AutoShape 1">
          <a:extLst>
            <a:ext uri="{FF2B5EF4-FFF2-40B4-BE49-F238E27FC236}">
              <a16:creationId xmlns:a16="http://schemas.microsoft.com/office/drawing/2014/main" id="{E7B1D615-04D7-406B-9869-E4A5B8FC3090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2" name="AutoShape 1">
          <a:extLst>
            <a:ext uri="{FF2B5EF4-FFF2-40B4-BE49-F238E27FC236}">
              <a16:creationId xmlns:a16="http://schemas.microsoft.com/office/drawing/2014/main" id="{9718D580-3166-4B0F-B869-50735D42D37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3" name="AutoShape 1">
          <a:extLst>
            <a:ext uri="{FF2B5EF4-FFF2-40B4-BE49-F238E27FC236}">
              <a16:creationId xmlns:a16="http://schemas.microsoft.com/office/drawing/2014/main" id="{6ED474B0-0B6C-4E46-BF1E-1BD7213F369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4" name="AutoShape 1">
          <a:extLst>
            <a:ext uri="{FF2B5EF4-FFF2-40B4-BE49-F238E27FC236}">
              <a16:creationId xmlns:a16="http://schemas.microsoft.com/office/drawing/2014/main" id="{0BCCE742-EFBF-4705-8D77-0C7A1961CF8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5" name="AutoShape 1">
          <a:extLst>
            <a:ext uri="{FF2B5EF4-FFF2-40B4-BE49-F238E27FC236}">
              <a16:creationId xmlns:a16="http://schemas.microsoft.com/office/drawing/2014/main" id="{40DAD7C2-E7D7-4C0D-A819-3BE6DCFDC2A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6" name="AutoShape 1">
          <a:extLst>
            <a:ext uri="{FF2B5EF4-FFF2-40B4-BE49-F238E27FC236}">
              <a16:creationId xmlns:a16="http://schemas.microsoft.com/office/drawing/2014/main" id="{0925FF46-6CD4-4520-9269-8ADAB5BEE3E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7" name="AutoShape 1">
          <a:extLst>
            <a:ext uri="{FF2B5EF4-FFF2-40B4-BE49-F238E27FC236}">
              <a16:creationId xmlns:a16="http://schemas.microsoft.com/office/drawing/2014/main" id="{C15181E4-C648-4BF2-9C71-A321CA201C9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8" name="AutoShape 1">
          <a:extLst>
            <a:ext uri="{FF2B5EF4-FFF2-40B4-BE49-F238E27FC236}">
              <a16:creationId xmlns:a16="http://schemas.microsoft.com/office/drawing/2014/main" id="{244054F2-A67E-460C-B1EC-D63451F5F2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9" name="AutoShape 1">
          <a:extLst>
            <a:ext uri="{FF2B5EF4-FFF2-40B4-BE49-F238E27FC236}">
              <a16:creationId xmlns:a16="http://schemas.microsoft.com/office/drawing/2014/main" id="{67418D0C-305A-4C3C-834C-61789D0BCB5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0" name="AutoShape 1">
          <a:extLst>
            <a:ext uri="{FF2B5EF4-FFF2-40B4-BE49-F238E27FC236}">
              <a16:creationId xmlns:a16="http://schemas.microsoft.com/office/drawing/2014/main" id="{BC1199AE-E387-4BF5-8E7F-C3004AE7C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1" name="AutoShape 1">
          <a:extLst>
            <a:ext uri="{FF2B5EF4-FFF2-40B4-BE49-F238E27FC236}">
              <a16:creationId xmlns:a16="http://schemas.microsoft.com/office/drawing/2014/main" id="{EB785786-78B1-4D4F-BC4D-0CF22A36E3A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2" name="AutoShape 1">
          <a:extLst>
            <a:ext uri="{FF2B5EF4-FFF2-40B4-BE49-F238E27FC236}">
              <a16:creationId xmlns:a16="http://schemas.microsoft.com/office/drawing/2014/main" id="{E9CF042C-9749-47CD-A024-A12441847D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3" name="AutoShape 1">
          <a:extLst>
            <a:ext uri="{FF2B5EF4-FFF2-40B4-BE49-F238E27FC236}">
              <a16:creationId xmlns:a16="http://schemas.microsoft.com/office/drawing/2014/main" id="{ED590F77-F2D2-4B84-8659-71B79C32FBE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4" name="AutoShape 1">
          <a:extLst>
            <a:ext uri="{FF2B5EF4-FFF2-40B4-BE49-F238E27FC236}">
              <a16:creationId xmlns:a16="http://schemas.microsoft.com/office/drawing/2014/main" id="{082254B5-AC3C-435A-A5E9-E5BDFFA9D5A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5" name="AutoShape 1">
          <a:extLst>
            <a:ext uri="{FF2B5EF4-FFF2-40B4-BE49-F238E27FC236}">
              <a16:creationId xmlns:a16="http://schemas.microsoft.com/office/drawing/2014/main" id="{B325BEA1-7FA2-4727-93C9-BF0F8A8537D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6" name="AutoShape 1">
          <a:extLst>
            <a:ext uri="{FF2B5EF4-FFF2-40B4-BE49-F238E27FC236}">
              <a16:creationId xmlns:a16="http://schemas.microsoft.com/office/drawing/2014/main" id="{87332264-9DB7-4EAB-855F-B89BF039B24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7" name="AutoShape 1">
          <a:extLst>
            <a:ext uri="{FF2B5EF4-FFF2-40B4-BE49-F238E27FC236}">
              <a16:creationId xmlns:a16="http://schemas.microsoft.com/office/drawing/2014/main" id="{4BB43238-B3FF-4BB4-989B-2C0F6439613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8" name="AutoShape 1">
          <a:extLst>
            <a:ext uri="{FF2B5EF4-FFF2-40B4-BE49-F238E27FC236}">
              <a16:creationId xmlns:a16="http://schemas.microsoft.com/office/drawing/2014/main" id="{5EF9AB03-7367-4FF6-94E9-5FACB135780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9" name="AutoShape 1">
          <a:extLst>
            <a:ext uri="{FF2B5EF4-FFF2-40B4-BE49-F238E27FC236}">
              <a16:creationId xmlns:a16="http://schemas.microsoft.com/office/drawing/2014/main" id="{06794465-8E03-49FF-8424-B771296D4A2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0" name="AutoShape 1">
          <a:extLst>
            <a:ext uri="{FF2B5EF4-FFF2-40B4-BE49-F238E27FC236}">
              <a16:creationId xmlns:a16="http://schemas.microsoft.com/office/drawing/2014/main" id="{46B0431F-1A80-4629-9767-24831540B55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1" name="AutoShape 1">
          <a:extLst>
            <a:ext uri="{FF2B5EF4-FFF2-40B4-BE49-F238E27FC236}">
              <a16:creationId xmlns:a16="http://schemas.microsoft.com/office/drawing/2014/main" id="{C9B325AB-7ECD-4EB6-85AC-06D5E4254B3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2" name="AutoShape 1">
          <a:extLst>
            <a:ext uri="{FF2B5EF4-FFF2-40B4-BE49-F238E27FC236}">
              <a16:creationId xmlns:a16="http://schemas.microsoft.com/office/drawing/2014/main" id="{6A22D32C-BCC9-4945-88AE-8B76B50361D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3" name="AutoShape 1">
          <a:extLst>
            <a:ext uri="{FF2B5EF4-FFF2-40B4-BE49-F238E27FC236}">
              <a16:creationId xmlns:a16="http://schemas.microsoft.com/office/drawing/2014/main" id="{86B1A086-66B9-48B0-ADB5-D68723C5F9A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14" name="AutoShape 1">
          <a:extLst>
            <a:ext uri="{FF2B5EF4-FFF2-40B4-BE49-F238E27FC236}">
              <a16:creationId xmlns:a16="http://schemas.microsoft.com/office/drawing/2014/main" id="{551492AE-A67A-4D58-B4B2-722266BA75F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15" name="AutoShape 1">
          <a:extLst>
            <a:ext uri="{FF2B5EF4-FFF2-40B4-BE49-F238E27FC236}">
              <a16:creationId xmlns:a16="http://schemas.microsoft.com/office/drawing/2014/main" id="{E1178C88-ECD7-4699-9A6F-6A3841F3F02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6" name="AutoShape 1">
          <a:extLst>
            <a:ext uri="{FF2B5EF4-FFF2-40B4-BE49-F238E27FC236}">
              <a16:creationId xmlns:a16="http://schemas.microsoft.com/office/drawing/2014/main" id="{3D7AA940-048A-4283-BDA6-A00D809B0B8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7" name="AutoShape 1">
          <a:extLst>
            <a:ext uri="{FF2B5EF4-FFF2-40B4-BE49-F238E27FC236}">
              <a16:creationId xmlns:a16="http://schemas.microsoft.com/office/drawing/2014/main" id="{5A86F1F3-8A7C-40CB-B6D5-2494D27C5757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8" name="AutoShape 1">
          <a:extLst>
            <a:ext uri="{FF2B5EF4-FFF2-40B4-BE49-F238E27FC236}">
              <a16:creationId xmlns:a16="http://schemas.microsoft.com/office/drawing/2014/main" id="{25005A58-1CE7-4D68-9787-95AB13A9C24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9" name="AutoShape 1">
          <a:extLst>
            <a:ext uri="{FF2B5EF4-FFF2-40B4-BE49-F238E27FC236}">
              <a16:creationId xmlns:a16="http://schemas.microsoft.com/office/drawing/2014/main" id="{4D85EB47-0586-43C0-B5DC-B8AA529DBF81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0" name="AutoShape 1">
          <a:extLst>
            <a:ext uri="{FF2B5EF4-FFF2-40B4-BE49-F238E27FC236}">
              <a16:creationId xmlns:a16="http://schemas.microsoft.com/office/drawing/2014/main" id="{72D2537F-97A2-4669-9E32-6BEA35DD334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1" name="AutoShape 1">
          <a:extLst>
            <a:ext uri="{FF2B5EF4-FFF2-40B4-BE49-F238E27FC236}">
              <a16:creationId xmlns:a16="http://schemas.microsoft.com/office/drawing/2014/main" id="{9BD664F2-F680-4AA2-9859-4F59909C5F6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2" name="AutoShape 1">
          <a:extLst>
            <a:ext uri="{FF2B5EF4-FFF2-40B4-BE49-F238E27FC236}">
              <a16:creationId xmlns:a16="http://schemas.microsoft.com/office/drawing/2014/main" id="{E7872AD1-CD19-4768-8F21-8ED49F7C4DB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3" name="AutoShape 1">
          <a:extLst>
            <a:ext uri="{FF2B5EF4-FFF2-40B4-BE49-F238E27FC236}">
              <a16:creationId xmlns:a16="http://schemas.microsoft.com/office/drawing/2014/main" id="{3D39CB97-8431-4D62-81AD-2F78878B0FF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4" name="AutoShape 1">
          <a:extLst>
            <a:ext uri="{FF2B5EF4-FFF2-40B4-BE49-F238E27FC236}">
              <a16:creationId xmlns:a16="http://schemas.microsoft.com/office/drawing/2014/main" id="{B8CCF585-1E66-4015-871A-1E70D04934E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5" name="AutoShape 1">
          <a:extLst>
            <a:ext uri="{FF2B5EF4-FFF2-40B4-BE49-F238E27FC236}">
              <a16:creationId xmlns:a16="http://schemas.microsoft.com/office/drawing/2014/main" id="{A91F704D-B5CE-46AF-8E08-13542F8F1CA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6" name="AutoShape 1">
          <a:extLst>
            <a:ext uri="{FF2B5EF4-FFF2-40B4-BE49-F238E27FC236}">
              <a16:creationId xmlns:a16="http://schemas.microsoft.com/office/drawing/2014/main" id="{76BE6AEA-CB5D-4214-B264-E7AFFC22F21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7" name="AutoShape 1">
          <a:extLst>
            <a:ext uri="{FF2B5EF4-FFF2-40B4-BE49-F238E27FC236}">
              <a16:creationId xmlns:a16="http://schemas.microsoft.com/office/drawing/2014/main" id="{45EBAF9E-A9ED-4AAA-A035-3CD4D2960A0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28" name="AutoShape 1">
          <a:extLst>
            <a:ext uri="{FF2B5EF4-FFF2-40B4-BE49-F238E27FC236}">
              <a16:creationId xmlns:a16="http://schemas.microsoft.com/office/drawing/2014/main" id="{A93AA0D2-1C99-4C74-9E16-A82D187FD7F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29" name="AutoShape 1">
          <a:extLst>
            <a:ext uri="{FF2B5EF4-FFF2-40B4-BE49-F238E27FC236}">
              <a16:creationId xmlns:a16="http://schemas.microsoft.com/office/drawing/2014/main" id="{C7F418FB-09A8-4E80-94CA-D363C88A3EFE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0" name="AutoShape 1">
          <a:extLst>
            <a:ext uri="{FF2B5EF4-FFF2-40B4-BE49-F238E27FC236}">
              <a16:creationId xmlns:a16="http://schemas.microsoft.com/office/drawing/2014/main" id="{78CC90A7-300C-43B5-9E1F-48ECA3E177E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1" name="AutoShape 1">
          <a:extLst>
            <a:ext uri="{FF2B5EF4-FFF2-40B4-BE49-F238E27FC236}">
              <a16:creationId xmlns:a16="http://schemas.microsoft.com/office/drawing/2014/main" id="{2C0BEF36-06C4-47E9-A38D-BD73E35D2EF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2" name="AutoShape 1">
          <a:extLst>
            <a:ext uri="{FF2B5EF4-FFF2-40B4-BE49-F238E27FC236}">
              <a16:creationId xmlns:a16="http://schemas.microsoft.com/office/drawing/2014/main" id="{BD14A159-5E31-426A-8E68-99970BCCB5E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3" name="AutoShape 1">
          <a:extLst>
            <a:ext uri="{FF2B5EF4-FFF2-40B4-BE49-F238E27FC236}">
              <a16:creationId xmlns:a16="http://schemas.microsoft.com/office/drawing/2014/main" id="{193BBAD3-D029-42DD-AAA5-5660D5C714D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4" name="AutoShape 1">
          <a:extLst>
            <a:ext uri="{FF2B5EF4-FFF2-40B4-BE49-F238E27FC236}">
              <a16:creationId xmlns:a16="http://schemas.microsoft.com/office/drawing/2014/main" id="{1AE5780F-50BB-44AA-BB5E-DA249554787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5" name="AutoShape 1">
          <a:extLst>
            <a:ext uri="{FF2B5EF4-FFF2-40B4-BE49-F238E27FC236}">
              <a16:creationId xmlns:a16="http://schemas.microsoft.com/office/drawing/2014/main" id="{FE585A18-C083-4EF4-8E3E-0B8C2CC1C98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6" name="AutoShape 1">
          <a:extLst>
            <a:ext uri="{FF2B5EF4-FFF2-40B4-BE49-F238E27FC236}">
              <a16:creationId xmlns:a16="http://schemas.microsoft.com/office/drawing/2014/main" id="{18247B57-9E45-4747-BCC7-3A7ED8031E5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7" name="AutoShape 1">
          <a:extLst>
            <a:ext uri="{FF2B5EF4-FFF2-40B4-BE49-F238E27FC236}">
              <a16:creationId xmlns:a16="http://schemas.microsoft.com/office/drawing/2014/main" id="{BBCD7765-294A-4550-98DE-255D8AE3B4E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8" name="AutoShape 1">
          <a:extLst>
            <a:ext uri="{FF2B5EF4-FFF2-40B4-BE49-F238E27FC236}">
              <a16:creationId xmlns:a16="http://schemas.microsoft.com/office/drawing/2014/main" id="{FB94DA1F-9F7D-426D-AFF3-51F9910606B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9" name="AutoShape 1">
          <a:extLst>
            <a:ext uri="{FF2B5EF4-FFF2-40B4-BE49-F238E27FC236}">
              <a16:creationId xmlns:a16="http://schemas.microsoft.com/office/drawing/2014/main" id="{BCCFBD99-A953-4F60-A9B7-B31A6C55478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0" name="AutoShape 1">
          <a:extLst>
            <a:ext uri="{FF2B5EF4-FFF2-40B4-BE49-F238E27FC236}">
              <a16:creationId xmlns:a16="http://schemas.microsoft.com/office/drawing/2014/main" id="{9B8AB36D-DE33-4174-8A81-0AA1E720A90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1" name="AutoShape 1">
          <a:extLst>
            <a:ext uri="{FF2B5EF4-FFF2-40B4-BE49-F238E27FC236}">
              <a16:creationId xmlns:a16="http://schemas.microsoft.com/office/drawing/2014/main" id="{915DF09F-D59B-4E84-80F1-F9CA2558F09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2" name="AutoShape 1">
          <a:extLst>
            <a:ext uri="{FF2B5EF4-FFF2-40B4-BE49-F238E27FC236}">
              <a16:creationId xmlns:a16="http://schemas.microsoft.com/office/drawing/2014/main" id="{587C8145-D5CA-4D45-845C-96FB6ED4829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3" name="AutoShape 1">
          <a:extLst>
            <a:ext uri="{FF2B5EF4-FFF2-40B4-BE49-F238E27FC236}">
              <a16:creationId xmlns:a16="http://schemas.microsoft.com/office/drawing/2014/main" id="{2F793BA7-34C0-4CED-AAF6-7442C800E55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4" name="AutoShape 1">
          <a:extLst>
            <a:ext uri="{FF2B5EF4-FFF2-40B4-BE49-F238E27FC236}">
              <a16:creationId xmlns:a16="http://schemas.microsoft.com/office/drawing/2014/main" id="{23CC37FA-E835-44C2-9271-D68907D0B72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5" name="AutoShape 1">
          <a:extLst>
            <a:ext uri="{FF2B5EF4-FFF2-40B4-BE49-F238E27FC236}">
              <a16:creationId xmlns:a16="http://schemas.microsoft.com/office/drawing/2014/main" id="{C7576F6C-32B2-487A-9053-B2C897662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6" name="AutoShape 1">
          <a:extLst>
            <a:ext uri="{FF2B5EF4-FFF2-40B4-BE49-F238E27FC236}">
              <a16:creationId xmlns:a16="http://schemas.microsoft.com/office/drawing/2014/main" id="{28B1ADCD-6CB0-4FD8-802B-F9B1FDCFEDF0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7" name="AutoShape 1">
          <a:extLst>
            <a:ext uri="{FF2B5EF4-FFF2-40B4-BE49-F238E27FC236}">
              <a16:creationId xmlns:a16="http://schemas.microsoft.com/office/drawing/2014/main" id="{A868B2D7-5A6E-4A8F-BFCA-89506E123C6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8" name="AutoShape 1">
          <a:extLst>
            <a:ext uri="{FF2B5EF4-FFF2-40B4-BE49-F238E27FC236}">
              <a16:creationId xmlns:a16="http://schemas.microsoft.com/office/drawing/2014/main" id="{96474EA6-3E60-4F23-B784-60E6426376F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9" name="AutoShape 1">
          <a:extLst>
            <a:ext uri="{FF2B5EF4-FFF2-40B4-BE49-F238E27FC236}">
              <a16:creationId xmlns:a16="http://schemas.microsoft.com/office/drawing/2014/main" id="{580A7DF6-41BC-4166-893D-15C4110FD7E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0" name="AutoShape 1">
          <a:extLst>
            <a:ext uri="{FF2B5EF4-FFF2-40B4-BE49-F238E27FC236}">
              <a16:creationId xmlns:a16="http://schemas.microsoft.com/office/drawing/2014/main" id="{B42A69CB-14EF-4498-ACC4-1B9CF11BD33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1" name="AutoShape 1">
          <a:extLst>
            <a:ext uri="{FF2B5EF4-FFF2-40B4-BE49-F238E27FC236}">
              <a16:creationId xmlns:a16="http://schemas.microsoft.com/office/drawing/2014/main" id="{68FC9341-DD31-4A69-BE32-3563DB09EC9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2" name="AutoShape 1">
          <a:extLst>
            <a:ext uri="{FF2B5EF4-FFF2-40B4-BE49-F238E27FC236}">
              <a16:creationId xmlns:a16="http://schemas.microsoft.com/office/drawing/2014/main" id="{D5495D3B-8399-4FE1-AEBE-0DC33958A8D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3" name="AutoShape 1">
          <a:extLst>
            <a:ext uri="{FF2B5EF4-FFF2-40B4-BE49-F238E27FC236}">
              <a16:creationId xmlns:a16="http://schemas.microsoft.com/office/drawing/2014/main" id="{650FCE01-1219-4B72-A68C-3901C9705F2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4" name="AutoShape 1">
          <a:extLst>
            <a:ext uri="{FF2B5EF4-FFF2-40B4-BE49-F238E27FC236}">
              <a16:creationId xmlns:a16="http://schemas.microsoft.com/office/drawing/2014/main" id="{42BB818E-E9AE-4909-9255-EEFB8EB15EE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5" name="AutoShape 1">
          <a:extLst>
            <a:ext uri="{FF2B5EF4-FFF2-40B4-BE49-F238E27FC236}">
              <a16:creationId xmlns:a16="http://schemas.microsoft.com/office/drawing/2014/main" id="{67E45093-C56E-4C8E-9256-6B52082CA41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6" name="AutoShape 1">
          <a:extLst>
            <a:ext uri="{FF2B5EF4-FFF2-40B4-BE49-F238E27FC236}">
              <a16:creationId xmlns:a16="http://schemas.microsoft.com/office/drawing/2014/main" id="{97EE177C-EE3E-40C2-BB4C-DCAE7DB10F2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7" name="AutoShape 1">
          <a:extLst>
            <a:ext uri="{FF2B5EF4-FFF2-40B4-BE49-F238E27FC236}">
              <a16:creationId xmlns:a16="http://schemas.microsoft.com/office/drawing/2014/main" id="{C2C2673D-70C2-4937-B262-6CD704FA3F9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58" name="AutoShape 1">
          <a:extLst>
            <a:ext uri="{FF2B5EF4-FFF2-40B4-BE49-F238E27FC236}">
              <a16:creationId xmlns:a16="http://schemas.microsoft.com/office/drawing/2014/main" id="{C89AD527-CB65-4EE1-9920-966877CD3D0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59" name="AutoShape 1">
          <a:extLst>
            <a:ext uri="{FF2B5EF4-FFF2-40B4-BE49-F238E27FC236}">
              <a16:creationId xmlns:a16="http://schemas.microsoft.com/office/drawing/2014/main" id="{73E30443-9FD8-443E-ACA9-F3EC1C19AD6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0" name="AutoShape 1">
          <a:extLst>
            <a:ext uri="{FF2B5EF4-FFF2-40B4-BE49-F238E27FC236}">
              <a16:creationId xmlns:a16="http://schemas.microsoft.com/office/drawing/2014/main" id="{BD778B8F-B6BE-4C69-A8B6-EE9B6E6EC6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1" name="AutoShape 1">
          <a:extLst>
            <a:ext uri="{FF2B5EF4-FFF2-40B4-BE49-F238E27FC236}">
              <a16:creationId xmlns:a16="http://schemas.microsoft.com/office/drawing/2014/main" id="{68FEEB2D-2233-4292-9DBE-C2F9FFFC69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2" name="AutoShape 1">
          <a:extLst>
            <a:ext uri="{FF2B5EF4-FFF2-40B4-BE49-F238E27FC236}">
              <a16:creationId xmlns:a16="http://schemas.microsoft.com/office/drawing/2014/main" id="{BC7258B3-47BE-4431-ACBE-79DDFB700C7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3" name="AutoShape 1">
          <a:extLst>
            <a:ext uri="{FF2B5EF4-FFF2-40B4-BE49-F238E27FC236}">
              <a16:creationId xmlns:a16="http://schemas.microsoft.com/office/drawing/2014/main" id="{204ED521-CD16-4D6F-A51B-669AD46D67E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4" name="AutoShape 1">
          <a:extLst>
            <a:ext uri="{FF2B5EF4-FFF2-40B4-BE49-F238E27FC236}">
              <a16:creationId xmlns:a16="http://schemas.microsoft.com/office/drawing/2014/main" id="{DED801CE-5786-4F9C-AEA5-D0BB5E8FC6B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5" name="AutoShape 1">
          <a:extLst>
            <a:ext uri="{FF2B5EF4-FFF2-40B4-BE49-F238E27FC236}">
              <a16:creationId xmlns:a16="http://schemas.microsoft.com/office/drawing/2014/main" id="{3A7D3223-AE9F-4453-B5E2-AE66450FF86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6" name="AutoShape 1">
          <a:extLst>
            <a:ext uri="{FF2B5EF4-FFF2-40B4-BE49-F238E27FC236}">
              <a16:creationId xmlns:a16="http://schemas.microsoft.com/office/drawing/2014/main" id="{2952F7D2-BBDB-4E4F-875E-7BA59B7A4BA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7" name="AutoShape 1">
          <a:extLst>
            <a:ext uri="{FF2B5EF4-FFF2-40B4-BE49-F238E27FC236}">
              <a16:creationId xmlns:a16="http://schemas.microsoft.com/office/drawing/2014/main" id="{3520F33A-613C-4EC7-B4F9-9984C986322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8" name="AutoShape 1">
          <a:extLst>
            <a:ext uri="{FF2B5EF4-FFF2-40B4-BE49-F238E27FC236}">
              <a16:creationId xmlns:a16="http://schemas.microsoft.com/office/drawing/2014/main" id="{BC0CB10C-DBF3-43DB-A77C-A9F726EAD92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9" name="AutoShape 1">
          <a:extLst>
            <a:ext uri="{FF2B5EF4-FFF2-40B4-BE49-F238E27FC236}">
              <a16:creationId xmlns:a16="http://schemas.microsoft.com/office/drawing/2014/main" id="{9CCEBAC9-E289-486C-9FAE-508FC618A44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0" name="AutoShape 1">
          <a:extLst>
            <a:ext uri="{FF2B5EF4-FFF2-40B4-BE49-F238E27FC236}">
              <a16:creationId xmlns:a16="http://schemas.microsoft.com/office/drawing/2014/main" id="{54575345-384A-4E09-9A1F-DE6010E5040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1" name="AutoShape 1">
          <a:extLst>
            <a:ext uri="{FF2B5EF4-FFF2-40B4-BE49-F238E27FC236}">
              <a16:creationId xmlns:a16="http://schemas.microsoft.com/office/drawing/2014/main" id="{9C0EFBB9-B7C1-4762-A392-42DC18267C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2" name="AutoShape 1">
          <a:extLst>
            <a:ext uri="{FF2B5EF4-FFF2-40B4-BE49-F238E27FC236}">
              <a16:creationId xmlns:a16="http://schemas.microsoft.com/office/drawing/2014/main" id="{5D7B0167-4D9F-46FC-9BDC-F7C5690435F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3" name="AutoShape 1">
          <a:extLst>
            <a:ext uri="{FF2B5EF4-FFF2-40B4-BE49-F238E27FC236}">
              <a16:creationId xmlns:a16="http://schemas.microsoft.com/office/drawing/2014/main" id="{9531F369-D095-4BBF-BA06-6C0B47E889D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4" name="AutoShape 1">
          <a:extLst>
            <a:ext uri="{FF2B5EF4-FFF2-40B4-BE49-F238E27FC236}">
              <a16:creationId xmlns:a16="http://schemas.microsoft.com/office/drawing/2014/main" id="{E9410E78-C179-4189-9075-C47733AFC696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5" name="AutoShape 1">
          <a:extLst>
            <a:ext uri="{FF2B5EF4-FFF2-40B4-BE49-F238E27FC236}">
              <a16:creationId xmlns:a16="http://schemas.microsoft.com/office/drawing/2014/main" id="{1758964C-E05B-463A-9114-80A1171CCB0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6" name="AutoShape 1">
          <a:extLst>
            <a:ext uri="{FF2B5EF4-FFF2-40B4-BE49-F238E27FC236}">
              <a16:creationId xmlns:a16="http://schemas.microsoft.com/office/drawing/2014/main" id="{74A586C8-574C-45C8-9C5C-C64661FBA1E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7" name="AutoShape 1">
          <a:extLst>
            <a:ext uri="{FF2B5EF4-FFF2-40B4-BE49-F238E27FC236}">
              <a16:creationId xmlns:a16="http://schemas.microsoft.com/office/drawing/2014/main" id="{48669B88-0380-4C68-9007-5036C7B4ECBF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8" name="AutoShape 1">
          <a:extLst>
            <a:ext uri="{FF2B5EF4-FFF2-40B4-BE49-F238E27FC236}">
              <a16:creationId xmlns:a16="http://schemas.microsoft.com/office/drawing/2014/main" id="{62BF7051-BED9-41AE-BE7C-0C25985998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9" name="AutoShape 1">
          <a:extLst>
            <a:ext uri="{FF2B5EF4-FFF2-40B4-BE49-F238E27FC236}">
              <a16:creationId xmlns:a16="http://schemas.microsoft.com/office/drawing/2014/main" id="{D1A3C2FD-1B86-4607-98AD-955D46C66EB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80" name="AutoShape 1">
          <a:extLst>
            <a:ext uri="{FF2B5EF4-FFF2-40B4-BE49-F238E27FC236}">
              <a16:creationId xmlns:a16="http://schemas.microsoft.com/office/drawing/2014/main" id="{D3DF2E79-F4F5-4EA5-92AB-7534A7F4440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81" name="AutoShape 1">
          <a:extLst>
            <a:ext uri="{FF2B5EF4-FFF2-40B4-BE49-F238E27FC236}">
              <a16:creationId xmlns:a16="http://schemas.microsoft.com/office/drawing/2014/main" id="{C0A3B824-FE2E-43F6-9ACF-8C260E51788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2" name="AutoShape 1">
          <a:extLst>
            <a:ext uri="{FF2B5EF4-FFF2-40B4-BE49-F238E27FC236}">
              <a16:creationId xmlns:a16="http://schemas.microsoft.com/office/drawing/2014/main" id="{12DFCFD0-31EC-434E-A95F-E57069BFA8B4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3" name="AutoShape 1">
          <a:extLst>
            <a:ext uri="{FF2B5EF4-FFF2-40B4-BE49-F238E27FC236}">
              <a16:creationId xmlns:a16="http://schemas.microsoft.com/office/drawing/2014/main" id="{B17FD838-BE2C-473F-B8EA-7970F5426598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4" name="AutoShape 1">
          <a:extLst>
            <a:ext uri="{FF2B5EF4-FFF2-40B4-BE49-F238E27FC236}">
              <a16:creationId xmlns:a16="http://schemas.microsoft.com/office/drawing/2014/main" id="{2AB31F62-5728-4682-A36D-EFBD0F71750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5" name="AutoShape 1">
          <a:extLst>
            <a:ext uri="{FF2B5EF4-FFF2-40B4-BE49-F238E27FC236}">
              <a16:creationId xmlns:a16="http://schemas.microsoft.com/office/drawing/2014/main" id="{55BD4875-6905-4A40-B825-A813D822D12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6" name="AutoShape 1">
          <a:extLst>
            <a:ext uri="{FF2B5EF4-FFF2-40B4-BE49-F238E27FC236}">
              <a16:creationId xmlns:a16="http://schemas.microsoft.com/office/drawing/2014/main" id="{00CF3639-80D8-44BF-9332-9FA018DE9E4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7" name="AutoShape 1">
          <a:extLst>
            <a:ext uri="{FF2B5EF4-FFF2-40B4-BE49-F238E27FC236}">
              <a16:creationId xmlns:a16="http://schemas.microsoft.com/office/drawing/2014/main" id="{82850901-0CBF-40A2-AF47-FE6EED71B6AE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8" name="AutoShape 1">
          <a:extLst>
            <a:ext uri="{FF2B5EF4-FFF2-40B4-BE49-F238E27FC236}">
              <a16:creationId xmlns:a16="http://schemas.microsoft.com/office/drawing/2014/main" id="{8E423D4B-5F66-41C3-8575-DB68F6985CA6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9" name="AutoShape 1">
          <a:extLst>
            <a:ext uri="{FF2B5EF4-FFF2-40B4-BE49-F238E27FC236}">
              <a16:creationId xmlns:a16="http://schemas.microsoft.com/office/drawing/2014/main" id="{570328FC-A1F2-4365-AF84-A9B0F64F540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90" name="AutoShape 1">
          <a:extLst>
            <a:ext uri="{FF2B5EF4-FFF2-40B4-BE49-F238E27FC236}">
              <a16:creationId xmlns:a16="http://schemas.microsoft.com/office/drawing/2014/main" id="{37693BD3-6E71-48CB-ACD5-084217A5425E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91" name="AutoShape 1">
          <a:extLst>
            <a:ext uri="{FF2B5EF4-FFF2-40B4-BE49-F238E27FC236}">
              <a16:creationId xmlns:a16="http://schemas.microsoft.com/office/drawing/2014/main" id="{C8B20D8E-E05B-49DF-A9DF-FB0EAF18C904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92" name="AutoShape 1">
          <a:extLst>
            <a:ext uri="{FF2B5EF4-FFF2-40B4-BE49-F238E27FC236}">
              <a16:creationId xmlns:a16="http://schemas.microsoft.com/office/drawing/2014/main" id="{22F2B5FA-59FA-4E73-B38B-42BA9B44A0B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93" name="AutoShape 1">
          <a:extLst>
            <a:ext uri="{FF2B5EF4-FFF2-40B4-BE49-F238E27FC236}">
              <a16:creationId xmlns:a16="http://schemas.microsoft.com/office/drawing/2014/main" id="{572C1064-01F4-4991-A9E4-8DE4CC88E79D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94" name="AutoShape 1">
          <a:extLst>
            <a:ext uri="{FF2B5EF4-FFF2-40B4-BE49-F238E27FC236}">
              <a16:creationId xmlns:a16="http://schemas.microsoft.com/office/drawing/2014/main" id="{BBBD9FE7-171C-4000-8DAD-50EC195F63E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251234</xdr:colOff>
      <xdr:row>1</xdr:row>
      <xdr:rowOff>201083</xdr:rowOff>
    </xdr:from>
    <xdr:to>
      <xdr:col>20</xdr:col>
      <xdr:colOff>335133</xdr:colOff>
      <xdr:row>4</xdr:row>
      <xdr:rowOff>749009</xdr:rowOff>
    </xdr:to>
    <xdr:sp macro="" textlink="">
      <xdr:nvSpPr>
        <xdr:cNvPr id="295" name="AutoShape 1">
          <a:extLst>
            <a:ext uri="{FF2B5EF4-FFF2-40B4-BE49-F238E27FC236}">
              <a16:creationId xmlns:a16="http://schemas.microsoft.com/office/drawing/2014/main" id="{1A5BCADB-95AF-4C0B-8A0F-A4B6C49B4BE5}"/>
            </a:ext>
          </a:extLst>
        </xdr:cNvPr>
        <xdr:cNvSpPr/>
      </xdr:nvSpPr>
      <xdr:spPr>
        <a:xfrm flipH="1">
          <a:off x="4832759" y="810683"/>
          <a:ext cx="83899" cy="140861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6</xdr:col>
      <xdr:colOff>251234</xdr:colOff>
      <xdr:row>1</xdr:row>
      <xdr:rowOff>201083</xdr:rowOff>
    </xdr:from>
    <xdr:ext cx="83899" cy="1428988"/>
    <xdr:sp macro="" textlink="">
      <xdr:nvSpPr>
        <xdr:cNvPr id="296" name="AutoShape 1">
          <a:extLst>
            <a:ext uri="{FF2B5EF4-FFF2-40B4-BE49-F238E27FC236}">
              <a16:creationId xmlns:a16="http://schemas.microsoft.com/office/drawing/2014/main" id="{55562632-3736-4B26-B9C6-90D99F750D39}"/>
            </a:ext>
          </a:extLst>
        </xdr:cNvPr>
        <xdr:cNvSpPr/>
      </xdr:nvSpPr>
      <xdr:spPr>
        <a:xfrm flipH="1">
          <a:off x="13574328" y="474927"/>
          <a:ext cx="83899" cy="14289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205315</xdr:rowOff>
    </xdr:to>
    <xdr:sp macro="" textlink="">
      <xdr:nvSpPr>
        <xdr:cNvPr id="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644525</xdr:rowOff>
    </xdr:to>
    <xdr:sp macro="" textlink="">
      <xdr:nvSpPr>
        <xdr:cNvPr id="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205317</xdr:rowOff>
    </xdr:to>
    <xdr:sp macro="" textlink="">
      <xdr:nvSpPr>
        <xdr:cNvPr id="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214282</xdr:rowOff>
    </xdr:to>
    <xdr:sp macro="" textlink="">
      <xdr:nvSpPr>
        <xdr:cNvPr id="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205316</xdr:rowOff>
    </xdr:to>
    <xdr:sp macro="" textlink="">
      <xdr:nvSpPr>
        <xdr:cNvPr id="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214281</xdr:rowOff>
    </xdr:to>
    <xdr:sp macro="" textlink="">
      <xdr:nvSpPr>
        <xdr:cNvPr id="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149225</xdr:rowOff>
    </xdr:to>
    <xdr:sp macro="" textlink="">
      <xdr:nvSpPr>
        <xdr:cNvPr id="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149225</xdr:rowOff>
    </xdr:to>
    <xdr:sp macro="" textlink="">
      <xdr:nvSpPr>
        <xdr:cNvPr id="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202140</xdr:rowOff>
    </xdr:to>
    <xdr:sp macro="" textlink="">
      <xdr:nvSpPr>
        <xdr:cNvPr id="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641350</xdr:rowOff>
    </xdr:to>
    <xdr:sp macro="" textlink="">
      <xdr:nvSpPr>
        <xdr:cNvPr id="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202142</xdr:rowOff>
    </xdr:to>
    <xdr:sp macro="" textlink="">
      <xdr:nvSpPr>
        <xdr:cNvPr id="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211107</xdr:rowOff>
    </xdr:to>
    <xdr:sp macro="" textlink="">
      <xdr:nvSpPr>
        <xdr:cNvPr id="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202141</xdr:rowOff>
    </xdr:to>
    <xdr:sp macro="" textlink="">
      <xdr:nvSpPr>
        <xdr:cNvPr id="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211106</xdr:rowOff>
    </xdr:to>
    <xdr:sp macro="" textlink="">
      <xdr:nvSpPr>
        <xdr:cNvPr id="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146050</xdr:rowOff>
    </xdr:to>
    <xdr:sp macro="" textlink="">
      <xdr:nvSpPr>
        <xdr:cNvPr id="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146050</xdr:rowOff>
    </xdr:to>
    <xdr:sp macro="" textlink="">
      <xdr:nvSpPr>
        <xdr:cNvPr id="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142875</xdr:rowOff>
    </xdr:to>
    <xdr:sp macro="" textlink="">
      <xdr:nvSpPr>
        <xdr:cNvPr id="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142875</xdr:rowOff>
    </xdr:to>
    <xdr:sp macro="" textlink="">
      <xdr:nvSpPr>
        <xdr:cNvPr id="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139700</xdr:rowOff>
    </xdr:to>
    <xdr:sp macro="" textlink="">
      <xdr:nvSpPr>
        <xdr:cNvPr id="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139700</xdr:rowOff>
    </xdr:to>
    <xdr:sp macro="" textlink="">
      <xdr:nvSpPr>
        <xdr:cNvPr id="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198965</xdr:rowOff>
    </xdr:to>
    <xdr:sp macro="" textlink="">
      <xdr:nvSpPr>
        <xdr:cNvPr id="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635000</xdr:rowOff>
    </xdr:to>
    <xdr:sp macro="" textlink="">
      <xdr:nvSpPr>
        <xdr:cNvPr id="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198967</xdr:rowOff>
    </xdr:to>
    <xdr:sp macro="" textlink="">
      <xdr:nvSpPr>
        <xdr:cNvPr id="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207932</xdr:rowOff>
    </xdr:to>
    <xdr:sp macro="" textlink="">
      <xdr:nvSpPr>
        <xdr:cNvPr id="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198966</xdr:rowOff>
    </xdr:to>
    <xdr:sp macro="" textlink="">
      <xdr:nvSpPr>
        <xdr:cNvPr id="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207931</xdr:rowOff>
    </xdr:to>
    <xdr:sp macro="" textlink="">
      <xdr:nvSpPr>
        <xdr:cNvPr id="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195790</xdr:rowOff>
    </xdr:to>
    <xdr:sp macro="" textlink="">
      <xdr:nvSpPr>
        <xdr:cNvPr id="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631825</xdr:rowOff>
    </xdr:to>
    <xdr:sp macro="" textlink="">
      <xdr:nvSpPr>
        <xdr:cNvPr id="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195792</xdr:rowOff>
    </xdr:to>
    <xdr:sp macro="" textlink="">
      <xdr:nvSpPr>
        <xdr:cNvPr id="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204757</xdr:rowOff>
    </xdr:to>
    <xdr:sp macro="" textlink="">
      <xdr:nvSpPr>
        <xdr:cNvPr id="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195791</xdr:rowOff>
    </xdr:to>
    <xdr:sp macro="" textlink="">
      <xdr:nvSpPr>
        <xdr:cNvPr id="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204756</xdr:rowOff>
    </xdr:to>
    <xdr:sp macro="" textlink="">
      <xdr:nvSpPr>
        <xdr:cNvPr id="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135466</xdr:rowOff>
    </xdr:to>
    <xdr:sp macro="" textlink="">
      <xdr:nvSpPr>
        <xdr:cNvPr id="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135466</xdr:rowOff>
    </xdr:to>
    <xdr:sp macro="" textlink="">
      <xdr:nvSpPr>
        <xdr:cNvPr id="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1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1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242947</xdr:rowOff>
    </xdr:to>
    <xdr:sp macro="" textlink="">
      <xdr:nvSpPr>
        <xdr:cNvPr id="2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684487</xdr:rowOff>
    </xdr:to>
    <xdr:sp macro="" textlink="">
      <xdr:nvSpPr>
        <xdr:cNvPr id="2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242949</xdr:rowOff>
    </xdr:to>
    <xdr:sp macro="" textlink="">
      <xdr:nvSpPr>
        <xdr:cNvPr id="2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251914</xdr:rowOff>
    </xdr:to>
    <xdr:sp macro="" textlink="">
      <xdr:nvSpPr>
        <xdr:cNvPr id="2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242948</xdr:rowOff>
    </xdr:to>
    <xdr:sp macro="" textlink="">
      <xdr:nvSpPr>
        <xdr:cNvPr id="2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251913</xdr:rowOff>
    </xdr:to>
    <xdr:sp macro="" textlink="">
      <xdr:nvSpPr>
        <xdr:cNvPr id="2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186857</xdr:rowOff>
    </xdr:to>
    <xdr:sp macro="" textlink="">
      <xdr:nvSpPr>
        <xdr:cNvPr id="2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186857</xdr:rowOff>
    </xdr:to>
    <xdr:sp macro="" textlink="">
      <xdr:nvSpPr>
        <xdr:cNvPr id="2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239772</xdr:rowOff>
    </xdr:to>
    <xdr:sp macro="" textlink="">
      <xdr:nvSpPr>
        <xdr:cNvPr id="2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681312</xdr:rowOff>
    </xdr:to>
    <xdr:sp macro="" textlink="">
      <xdr:nvSpPr>
        <xdr:cNvPr id="2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239774</xdr:rowOff>
    </xdr:to>
    <xdr:sp macro="" textlink="">
      <xdr:nvSpPr>
        <xdr:cNvPr id="2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248739</xdr:rowOff>
    </xdr:to>
    <xdr:sp macro="" textlink="">
      <xdr:nvSpPr>
        <xdr:cNvPr id="2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239773</xdr:rowOff>
    </xdr:to>
    <xdr:sp macro="" textlink="">
      <xdr:nvSpPr>
        <xdr:cNvPr id="2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248738</xdr:rowOff>
    </xdr:to>
    <xdr:sp macro="" textlink="">
      <xdr:nvSpPr>
        <xdr:cNvPr id="2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183682</xdr:rowOff>
    </xdr:to>
    <xdr:sp macro="" textlink="">
      <xdr:nvSpPr>
        <xdr:cNvPr id="2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183682</xdr:rowOff>
    </xdr:to>
    <xdr:sp macro="" textlink="">
      <xdr:nvSpPr>
        <xdr:cNvPr id="2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626404</xdr:rowOff>
    </xdr:to>
    <xdr:sp macro="" textlink="">
      <xdr:nvSpPr>
        <xdr:cNvPr id="2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11</xdr:row>
      <xdr:rowOff>616746</xdr:rowOff>
    </xdr:to>
    <xdr:sp macro="" textlink="">
      <xdr:nvSpPr>
        <xdr:cNvPr id="2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193675</xdr:rowOff>
    </xdr:to>
    <xdr:sp macro="" textlink="">
      <xdr:nvSpPr>
        <xdr:cNvPr id="2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205291</xdr:rowOff>
    </xdr:to>
    <xdr:sp macro="" textlink="">
      <xdr:nvSpPr>
        <xdr:cNvPr id="2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116751</xdr:rowOff>
    </xdr:to>
    <xdr:sp macro="" textlink="">
      <xdr:nvSpPr>
        <xdr:cNvPr id="2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116751</xdr:rowOff>
    </xdr:to>
    <xdr:sp macro="" textlink="">
      <xdr:nvSpPr>
        <xdr:cNvPr id="2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10</xdr:col>
      <xdr:colOff>440003</xdr:colOff>
      <xdr:row>9</xdr:row>
      <xdr:rowOff>0</xdr:rowOff>
    </xdr:from>
    <xdr:to>
      <xdr:col>10</xdr:col>
      <xdr:colOff>601098</xdr:colOff>
      <xdr:row>11</xdr:row>
      <xdr:rowOff>116751</xdr:rowOff>
    </xdr:to>
    <xdr:sp macro="" textlink="">
      <xdr:nvSpPr>
        <xdr:cNvPr id="2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555303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2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2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2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2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2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2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2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2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3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3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3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601143</xdr:rowOff>
    </xdr:to>
    <xdr:sp macro="" textlink="">
      <xdr:nvSpPr>
        <xdr:cNvPr id="3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601145</xdr:rowOff>
    </xdr:to>
    <xdr:sp macro="" textlink="">
      <xdr:nvSpPr>
        <xdr:cNvPr id="3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612246</xdr:rowOff>
    </xdr:to>
    <xdr:sp macro="" textlink="">
      <xdr:nvSpPr>
        <xdr:cNvPr id="3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601144</xdr:rowOff>
    </xdr:to>
    <xdr:sp macro="" textlink="">
      <xdr:nvSpPr>
        <xdr:cNvPr id="3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612245</xdr:rowOff>
    </xdr:to>
    <xdr:sp macro="" textlink="">
      <xdr:nvSpPr>
        <xdr:cNvPr id="3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597968</xdr:rowOff>
    </xdr:to>
    <xdr:sp macro="" textlink="">
      <xdr:nvSpPr>
        <xdr:cNvPr id="3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597970</xdr:rowOff>
    </xdr:to>
    <xdr:sp macro="" textlink="">
      <xdr:nvSpPr>
        <xdr:cNvPr id="3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609071</xdr:rowOff>
    </xdr:to>
    <xdr:sp macro="" textlink="">
      <xdr:nvSpPr>
        <xdr:cNvPr id="3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597969</xdr:rowOff>
    </xdr:to>
    <xdr:sp macro="" textlink="">
      <xdr:nvSpPr>
        <xdr:cNvPr id="3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106</xdr:row>
      <xdr:rowOff>609070</xdr:rowOff>
    </xdr:to>
    <xdr:sp macro="" textlink="">
      <xdr:nvSpPr>
        <xdr:cNvPr id="3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601143</xdr:rowOff>
    </xdr:to>
    <xdr:sp macro="" textlink="">
      <xdr:nvSpPr>
        <xdr:cNvPr id="3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601145</xdr:rowOff>
    </xdr:to>
    <xdr:sp macro="" textlink="">
      <xdr:nvSpPr>
        <xdr:cNvPr id="3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612246</xdr:rowOff>
    </xdr:to>
    <xdr:sp macro="" textlink="">
      <xdr:nvSpPr>
        <xdr:cNvPr id="3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601144</xdr:rowOff>
    </xdr:to>
    <xdr:sp macro="" textlink="">
      <xdr:nvSpPr>
        <xdr:cNvPr id="3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612245</xdr:rowOff>
    </xdr:to>
    <xdr:sp macro="" textlink="">
      <xdr:nvSpPr>
        <xdr:cNvPr id="3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597968</xdr:rowOff>
    </xdr:to>
    <xdr:sp macro="" textlink="">
      <xdr:nvSpPr>
        <xdr:cNvPr id="3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597970</xdr:rowOff>
    </xdr:to>
    <xdr:sp macro="" textlink="">
      <xdr:nvSpPr>
        <xdr:cNvPr id="3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609071</xdr:rowOff>
    </xdr:to>
    <xdr:sp macro="" textlink="">
      <xdr:nvSpPr>
        <xdr:cNvPr id="3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597969</xdr:rowOff>
    </xdr:to>
    <xdr:sp macro="" textlink="">
      <xdr:nvSpPr>
        <xdr:cNvPr id="3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106</xdr:row>
      <xdr:rowOff>609070</xdr:rowOff>
    </xdr:to>
    <xdr:sp macro="" textlink="">
      <xdr:nvSpPr>
        <xdr:cNvPr id="3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8EB9EA-6760-4FA8-959E-26E683E1D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5FFD0E-A120-42E1-BD1F-9EF9065D8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4E8018-223B-44BD-AA67-BB7405F03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1DA8E-460A-4931-B290-CCA3F0BE9F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36D03A-D2C6-41CA-A7AC-B9D5E0D9A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E4189B-05AE-4F95-B327-4AA4A9EBA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51F562-EFA8-4EBB-9DD9-CC003730CC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9F736-DA54-4378-8B89-7B0B66144F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29FA6B-2F35-4862-8F51-7270C3BFF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044628-E327-4F04-AB59-78272C513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7DD614-E12D-43FD-8F32-1DDB3D87CB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54AB0-D40D-4C2F-B1FF-07A204D6A3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7FF2D9-A668-4A82-9C35-CE222C66DC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CC4BE9-3BA4-411A-A9A1-8FFC849BE0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59E1CC-8013-4222-8F38-347D6A7F77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1A9AA-1D75-4C29-BD72-5D5DFC5856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35D80-256C-489A-BDCE-9DDF12168F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EF7E90-2216-46BA-A87A-F84EE91544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B0DCD8-69CB-45D5-AE55-97C28FA92E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98E282-F37D-4304-BB7E-E42814DC6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E22075-3D11-4CD2-87FE-9B4760393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B790F-5867-47F0-BF65-6112B480E8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7C3B99-3538-470C-AA6C-A2118FA359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2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1D3F6E-9D8B-49D0-9A77-550597BD38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08E12F-6235-426F-8ADB-3D82D38C80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95CF93-36EE-4D0D-94F1-1A429EC215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DB9852-120B-474A-81CB-E0CA806D8A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FFBBD-C53F-43EC-B29C-A495BFDB7B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E63F87-3956-40BE-B341-601AD0A96F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5B6E-310C-4D3E-B5F2-B8B2A4226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BFD635-3FE9-4A7E-946A-5A2F1228BF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91F063-9CAD-48AC-B4CE-562C04770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2CCBC0-486A-4871-98EF-F85F6B05BA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29C736-891F-4D4E-9DD5-569392C0C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3D3763-EC79-44AB-BBD0-F279F6919C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894625-78F0-4F58-9F23-22E7AE564A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8EF4B-64AE-4240-BF08-9E9099DE7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7CB4F-8A1D-4D12-914B-F76ACA71BA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F4BFF8-FEFE-4FA3-BB67-995334194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03221E-D788-4279-98F4-46323B820D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E36-05E2-4666-A9CD-DCAEBD8006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E050D-F9EB-4E5E-8071-0C3EF5054F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0E633B-9145-43A8-97CA-5C4CCB9E6B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39BB9D-04CC-4074-83F3-38D40A6A16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172E6-A0ED-4F7D-8376-54F12AA511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3B9A3F-7484-4353-BC1B-79503C401E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74463D-0A67-490B-97B3-1C49B0A32D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60AF7-F5EB-4B7C-A968-D37C025998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DE5628-5BFE-4698-B442-D304F60AB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4BCC0F-1D32-4A2F-AB90-EA0709B6A7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DF28-DBC8-45CA-8B78-35EE808110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CE20F2-845E-444D-A7DB-4F5FFCDC1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308E8A-FDEC-439D-B424-EE1AF6E21B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CC325-2213-4E45-A2E7-86754EFEBB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32DFE-1641-44F8-B917-B7C1F7B891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EF38F-9307-4D6D-B500-5B909EF5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82D0F-9A47-4AEB-B735-6B089B28E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F18130-445F-453C-8A65-7B2CA9D4BB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51B08-A596-4034-A629-9E82735C2F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CEF915-AA07-49C7-ABE6-9E9C64337D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6D9FC-120B-48A1-A8D7-0BEC0E11B8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24C2E-E588-4A3A-81EC-578508D375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A99EF-B8D7-4230-8F80-A86279082B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55915B-2F29-4D8F-9792-DB922DFA2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C1F47D-19EA-439F-871F-4336E17A1B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59C603-2E34-4137-A13B-630445C3B1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F9AD74-F661-4D94-8D93-BA409FED3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FAD44B-3B54-4F83-8D17-B71BF7654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9FDB8-E1AC-4871-B014-D1D0268964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6FBD0D-3139-4365-859C-D8FDCBEF44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FC80E2-5D33-4D9B-BC74-058EA53E8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D1AD8-C1FC-4C6A-83B7-11DDA536B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DB43D-4B5D-4A4F-A11D-1B04A05AB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E54BA3-2B89-4B43-9917-3DA1B86BB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007AC-61E0-44C6-8FAB-0972EAD303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DE0EA2-339A-4FB3-B750-ED04E01E89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27DE-F08E-47B0-AF78-1CBB9975E6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DF08AD-86FA-4DF6-8B2D-C3CC7A2D72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C437E9-C263-47F2-88BC-2E2910C76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1F172-06AD-4DDF-822B-D2FE926A0F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0E35C2-88ED-4ECB-AC85-5C85C8AD4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7073B9-A03E-4A61-8DA9-C9052F268F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B46D8-4260-43DF-9387-7A652EFD46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270B6D-7536-448E-8626-2AA2A83883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99EBE5-604A-438B-B497-EED0F792AF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0054D7-0C8E-413F-8413-FEF4DCC9B3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C09CE4-88E0-4CF9-843B-7955E5D7F0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71C04-3AF7-4354-834E-28FCA7B5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F8B1A3-7C49-486F-A187-DD996C0926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7499D2-3EAD-406D-A705-32818A2EA3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92772-ED05-4029-B84D-67DAEB3BEC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18FE44-CAB0-41BE-B46F-79AEBB76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37B146-2495-446C-AAC3-8E4D284B85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EA81D0-5E01-4793-B695-1198FC8DF3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1FF88-BF75-463B-AF23-D933CE10B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02EA4-6B9D-4B54-A82D-76B92CDED6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72D0-D390-4ABF-A7DB-1BE4740E51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5A641D-4CD5-4914-8F41-6B64A07AB0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FA57F8-E439-4C6F-87AF-1EA0D874F97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FC527-A547-4CB9-8561-DA25CC98D6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CE363-953F-4CF5-8450-002B63901B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72F882-3474-4EC9-9638-441439DC85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5FF29-5A7D-4FD3-950E-4EAA311A32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A12DF-89B3-42F4-A1F0-647B3CF1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C94870-0204-4CB0-AA20-80B3E1ADEC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4B1755-0824-4291-998F-96F79DBF39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759C18-A886-4001-B486-B689445BEA6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F685B-7C66-449D-BC3E-48221364BA4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BF39FF-7248-4A5C-B253-C8814F13120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BF177-BC98-45A4-84BE-6DA84011BC9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88C966-CEB2-4B68-84B8-9D558A1DC4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37E0A2-6C67-4B79-9EAF-B876D235A6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02CBD-DC0D-4B14-8C2B-26B8D117464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33893C-7626-4D5A-8294-45F6DB3B2D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721F-8690-4D6E-93A4-C456EC8274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6D1003-FE7B-4843-ADC7-0514E745F1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093C1-3FB7-4E6C-8A73-648C4B7D9E5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CCD105-1C8E-4262-924D-54BA3259BE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49AD55-B2D2-4146-957C-0D388DD120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D2EE1-CD35-4774-88AC-C418BC58522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A9851-872B-4C08-B461-70533909B8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1A1C7-EBDD-46F5-AAC7-2392D612A0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632C7-984B-4A63-BAFD-7D3736792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30D23F-C3A2-4BCF-B5F0-A2BDA489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32EB2B-8CF2-4B8C-900C-534BFB8B18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FB14D3-B836-4DAA-A0A8-62CDF2262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B4120B-78E9-4BB9-8BCD-FA4408A60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F0D697-F724-4874-916F-ABB9B2C59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787C0A-3870-499C-9DE6-C60BAA033E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BC6EB2-3A48-418A-8B3D-5905F4729E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4D546D-3AFA-4168-B1F6-336593EED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5324B1-D22D-4B5B-BADD-344D4956F8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DB614-0DD4-4E37-BC21-DE99B41F6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1FCC0-EC0B-40CF-B513-4F72217DA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8C7B2-EFBF-4703-8C44-BCD91E891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1F7E40-9894-40C8-948A-CD1BEF164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86742A-CC6A-4CCB-98B5-13E716409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B5F9D3-0D30-49F4-B039-5D45D9ADF8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83519-4AD0-4692-BEB2-0284584E35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672C8C-EC75-44DC-ACE6-68FA7A2B9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EDE46C-9BC5-42BB-B2EE-78EC1E9E12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A0FBEC-FA97-4B36-9ABD-0B2A7FABB8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9D567B-AC28-4611-B245-FA78CC5A68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6A6F2-8685-4658-A399-59CE997537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82F8C-6C4D-4197-B25A-B0CB770948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F73B80-FA0E-4C8B-882C-A366045FF2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FF3120-49F2-40E3-954F-1225C65D55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ABC02D-3311-4682-A40A-0FBDE664D5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C7E572-4E6F-4D66-8A81-C8A27C703C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B986-35AE-4FD5-B24B-45D9F4CEE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DE1FDB-60DC-4CA7-A036-2F9DE3565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FF1460-5023-4C26-8FC0-44A43A8BCA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3DAAE-8507-4DD3-B28C-BED56DA4FB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29B4AB-893B-47F0-B9E8-9625676E7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E25050-5A26-4CDF-89A6-EC707166B2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26F07-42F9-4733-942C-F296D7487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78BD6-A886-4104-B8EE-F3B4518C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D0402E-F0C0-4ECA-8B9B-00F2FF7AF9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A8589-3E71-4DA3-AD82-0403353169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3BADE-CAFC-42DD-8363-2C9E46B4928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E87D03-D3BA-4CBD-9FA5-9AC7D9692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D79C6-245A-4869-AA77-35D0C7A36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C6AE0D-2754-4BB8-B1A3-D7328CE4D5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2D2F-C2D6-45F2-8DA1-3E8F36C022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41E144-1050-4870-8AC2-4196B19143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58FC6C-6C6C-4587-8A33-0FC2572FC3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DBAFD-888B-4EC9-A706-840E13FBAD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1BF3E6-47B9-40D3-BF9D-4A970C0EC7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E5BB8-6B04-42BC-AB01-882406D450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79D1C6-728F-42DB-AF90-F6C6D7DDCC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CD3DE1-FECC-4734-B49C-0D0BEFC17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E88570-1C0A-4C96-A1B4-05B9DE7DD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1C39DF-AAB9-43B0-B7C5-2F862CC110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ABA8D-15B3-4C67-9F71-30420FC6E9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9A0407-D9FD-48B6-9E3E-CAEF5BCA27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ACF00-E6D1-401E-9848-2EF2CF83B3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433CBA-9487-4976-ACE8-F1459D74A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CE1D69-3B85-49FF-9441-76A71ACE20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B0DA81-8BBA-49AC-9F75-CDC1F9848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8F5740-E672-4DA9-8960-FA71ECEB5C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E3D273-75B8-4018-A34D-A601418EE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97F23D-0DE1-4DF7-8099-29D4E69954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7C24DE-BF34-40C9-9AB7-EDCC9289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23C330-2758-40E0-86F7-6BBC2A1702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D2CC3-8AAD-48C3-AFBB-9A4A450F8F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7EBD0-7C88-40A5-9329-1F781C545F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74D16F-51BE-4C69-BD9F-3F3936356C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6595B-BFFA-4154-A20C-6F533756C2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CDBD1D-DCC5-40B6-A4AD-983C6FF51F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24A643-5C60-428C-8641-7FA4EA435B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F39D54-78CE-48AB-B354-FF13DE5E9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1594A9-9447-4066-9D79-C54FC01B17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236F0-790B-4138-B09B-509EC9AB9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92D57-3BE5-4515-A452-78A2CAE2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36DAE4-91B7-4F69-85B3-17A32CDF46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D2D877-F7B8-4016-8DBC-FE7D972027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029BAB-47B5-44E0-83A3-F0DC343E64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4E55D0-5B81-4818-B321-2A08220647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2EC4D-7F1C-4421-B206-28F0C094EE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4EB4EF-9A8A-451E-B201-84CFCC0342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8C66F-742D-4078-B00B-369C2A31AD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4D6D38-D4FD-4741-93F6-875C1B72B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5576D9-F76E-4EDA-AB21-B5BB36ECFB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45E9D-90DD-455C-AA78-F99A1E69AD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C4F43E-F666-4742-B2ED-5CCDC2D914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6FE2E-D71B-4B6D-BE0A-039D83203C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99B7D-BF89-426F-8B76-C25A23B10F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160BCD-29B3-44D4-8F51-0E97B1DE89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BA1A5-7403-4E22-9D72-C834ABDD3D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A5518A-8870-41E1-80DB-3B3764EC1C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55328-33F9-430E-A5F8-095F5E6A1A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A56A64-9643-438D-AC9D-BAA2624E27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AFC4A7-BE39-48E6-8E30-DCDBF9A1B0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33C2B2-EB09-424E-A03D-CAC9DBBBD7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FC421-E89D-4426-ACC4-7919CC8D0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F3783-13E9-497F-BF92-0572D1611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DCD518-7B21-44FD-A482-B29D7DC0B4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C1F89D-9B56-4DB3-BC6D-EBDBF60405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A214BC-DFC0-4C9D-9739-F6BDAF570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193A6-1841-4D4C-BDC5-1A29AE9BFE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F3C6E-FC79-49F5-8667-67B0AF318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C97C9-AD42-4B09-835F-DC9189226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934A29-71D0-40FF-B8D5-ABD3F98C41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6796B5-20B0-434F-B540-70E4840968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642C06-706D-4D5E-B403-5EA9CB7D0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7A093-B00D-46DE-8B6B-12EB4EA36B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E2DF51-50D9-4762-9B3C-0AFF686B762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33CF9-38C5-4A73-AA5F-472914FFB43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E46793-E4AD-4255-B496-DFBF7F14E7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B901AA-34DA-4B1B-88EB-00AD33DBF1A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83064-0398-41E5-8B93-28F8618F14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C389B-378C-46A8-A9CB-8D13CB54904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7EA0A-125D-454B-BCD3-645938A6527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9ACFD-0109-41AA-A8FC-7E25EE7419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6A2877-F4F2-4A69-8311-9F37A6B2E04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A5FFEF-B94B-4327-98D5-1D41740A235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CC57E7-4E3B-4576-8272-A081FBC8F7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A67589-6B8F-44B1-8603-96289722C8E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364AC4-61EE-4FFE-BE56-82ACAD0476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F817F2-2C76-497B-9059-78518B2BAE1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8F657A-6042-4A7D-ADF7-80AAB3B748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F6EBA1-82A8-47C6-9E73-F76D976EF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EABB97-9510-4EAD-983F-8AA7423974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954AA5-264B-4A4C-803F-45CF34AB06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F7445F-9D97-4B8D-9948-004274319F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4B73D-5A5A-4649-9CEB-269BF7B7A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695606-9EA1-402C-97A0-53828AB2AD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DC242B-640D-4393-AFC8-66420A95B6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B7187B-5A2F-4DD2-A1A1-FD79FFD7A9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85E04-DFC3-44BE-B2F6-4B3D2F3EA7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C2B3D-D651-4E42-8D3B-BE2F349E83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93E2CA-A476-49CE-90E4-F2D53140D1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CEECDD-F552-4F08-AC6F-7F451E21AC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283DA0-A5A5-4FE8-98B4-7CD2A833FD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3CD4A-4754-442B-BC82-12D4D7843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7ECFBD-7E6A-4133-A1E5-BCEE8E0898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CD0DA0-5A36-4BE2-A829-CB8E6A720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0C8794-D890-4497-9D01-4EBAEF824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99158D-E83E-4198-9D29-10E1EC947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A4EEF7-9EA5-45AA-87A3-4E14522E55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C79B4C-5FF8-48BF-9F18-BCE4E1ED7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CF355-6B71-4BD3-B40F-22B785DFA4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256186-52C9-4487-90E5-CE3DA0BE52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A10D3-E49E-4ED2-852F-52465CBBEF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1CF99C-986D-4C42-BC64-1042F8287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28AD78-D8E5-4BE1-AEA2-36EDA5FB2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DCBC7D-38A5-4BD8-AC93-3C13AC4DE2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F1D314-2635-4BA2-A509-CB7A46BEE3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4CD93-12D5-4929-B6D4-887C33AC4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357242-2937-4AD3-BB93-E3F72EE08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C9F41-DE4F-4CAC-A16C-F0173FE8D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4EB42-E15C-4015-AB03-380F4F092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FB389F-BBC8-471F-B4F7-4AC2BD0FD9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7ADA21-DED2-4A14-914C-03340433A8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97583-B22F-480C-9C9B-0D4BFA1D31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FE7A6D-C1B1-477C-AF7C-5D8193F598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22D398-44A8-4B21-A598-85DE95537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4733D5-0AFF-41D6-B319-5FCB2A999D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44426-E9B6-48E8-911C-2D78D98D7E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495D03-295E-43EE-A50C-5FA6EF502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2225E0-0403-478E-89C2-E273E0F314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A7DC20-53B8-4AF4-ACED-A4D659232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3A35C5-B5DE-4B5A-8D3D-E3076423C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DC887-2E98-41B6-A794-8F8E70B288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3C1A6F-A82E-4A15-905B-6BAD258250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E3573-964A-44DD-9C55-C3E43F2F85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F26B41-C4F9-4E7F-90F0-81A3F79F5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462829-1E49-47EE-8A33-5BEBEA32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2D02EB-2987-47DE-99EF-E23EDB34F5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37F4EC-EEA4-4BB6-A5F1-E6A17B1C50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59573-07D9-4888-8856-16D2AE6947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1A1C63-6CD7-4759-81CB-A90DE5DCF8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97C4D-27F1-46DF-8F75-4AFF1E71D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9B2E3A-E657-488A-8699-A15281A684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71BA0-1AE9-4EF6-B9A8-78C4ADC92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71569C-43D5-4C10-8ECE-0AE095425D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55508-C094-4080-A6F2-AD1E3EE397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AF8056-3852-41EF-A959-C4371210C0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0795-B473-4610-ACF0-257DAB47A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A4223F-D241-41E0-85BE-98BEBF21A0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820DB9-8B05-4BBA-AF71-2349B0FFE1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049724-3110-45DD-992E-3362278785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616EA-EB5D-4F65-86C5-7264E8F6D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D87FC-CE18-4FAA-9AC0-228421F5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D2DFED-44AC-4771-9865-5CEDB9081B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799668-522C-487D-BC61-92E13FFBA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C9115-C1CA-4C2F-9668-4788344379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3540C9-4272-49FE-8D94-EAE0930CF9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177228-C572-4AF5-A518-7FD3351012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1157F0-DCED-41DC-8193-D046C9CFDB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E0488-B202-4EF4-836B-6811DEF5A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CB0DB-F21A-4813-8C0C-06A5805A21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C093F-704B-424A-BEBB-167CD98311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2E4FBF-C2FA-4136-A860-BADB326A54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63480-DDC8-470E-B31F-2C9BE44CB9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C6C2F-F06B-40DB-907C-3C3057EB3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26B2CE-6494-46C8-809B-B8D97BD21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1CC142-91FD-4AE0-B3D6-0971D4DCEE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4631D9-3845-4163-8813-EA2811E40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71A12F-B94B-46FA-B75E-056015C124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E48F7-57B6-4C43-B295-89E5C7B7A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9BD949-4AEE-4FC7-8AE8-A195BCCD6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FE07E1-FE79-4EB9-9CB2-FAFFFACA86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E3E5C-1EC7-49FE-AEDA-45608D3966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83E90F-D686-46D3-82F4-71C0FCA780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385643-644B-4E94-B614-D3D79F377A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905FA6-0E94-443F-B6ED-BB912ED4F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B04099-9F79-4989-8281-5BED46B74E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BC9565-CF54-499D-904B-D3FB6237C3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6E5A81-9750-4153-AB5E-48B4704EC9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567D3-14F9-4C62-97E6-85368AE506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F8614B-4CE2-4B2F-A28E-0BC4321072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3751B9-5A0A-4ECB-BBB9-37A4C9BFAB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ED219-4A20-4731-9448-58EA09396D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69958B-CB73-47AB-8807-470D11051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6D7C2F-AD13-4EDA-B3CD-5BBEEE79DC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D773F1-7A3A-4953-8C52-9D9F678B0B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63056E-EEC6-42C4-90E1-56B972F314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7890AB-18CE-4243-A132-C3A534B304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39D078-20F5-4449-B715-5E7F258B17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2325B8-D80A-47CF-9C04-BB5EBEFAE7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5A5353-A935-4274-9BB3-E23542C05E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C47E6-6B0C-444C-94CD-7F233EBA6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05B028-0788-47AE-A38F-1FC06B1D69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C2F8A-D82E-4046-BCEF-EB0F30CC68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791251-AFAA-412D-A71E-598A1BCB10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8B91F-FC69-4483-BA24-1DB1B72F3C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674A8F-A4C1-4F84-8FA5-27E26C74D8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E7C326-FDE6-49BF-A072-2521DC4A3E0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FE017-AD92-4679-A3E8-EE54AA8E9A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72D2-7882-4203-9421-CC19704920A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A5890-9A6C-4607-A4A1-2470925455F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AE2941-3AA6-4F94-A675-874B09FE9FD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AA99D-4936-48BF-8BC7-0E389088176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0D864-EBA0-4A89-9A97-FCC6E5DE5E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F5C227-F399-4836-9398-35FFC190ECA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51133C-838D-4737-B864-347798924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80E54-BB8E-40E7-9FB0-AD3FA1927F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5D4B17-5015-46B3-9B21-387AECF523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9B724-0B64-4E93-AC68-BA3192E97A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D205DB-B40F-423A-9A6B-86700812DF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70ABA7-6959-4F9A-8788-67E948D48B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D7DD14-C8D5-4BD3-BF5E-FB77CF2AF1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F840EC-E0E7-42D0-BD1E-2AF3951BC3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DF5BAC-949A-408B-B8BE-57A94EE257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1C995A-2273-40D8-8C87-0C0B0230A0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764047-02F0-41FB-AFA6-14874892DD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D2EE3-1EF7-4514-BA90-88468BE921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511A7-C97D-49DB-9880-62816E4CB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A94B61-9702-4054-8DAE-6B628690B7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807A64-9177-4821-89F9-D54AFCB566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141034-82A8-4434-9E34-C6933411E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357E5-283A-472F-8420-ADC034CDD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C9912-766F-4611-9297-BD3096697C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F908F3-F278-46A0-ADBC-9828B17A1F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70A2FA-3309-4BDB-851B-F1AD1B44D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E573EF-20E6-445F-A500-B3DA557D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11335-B5EE-4229-9CFF-B2F7DC0F9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42CE7C-462D-4394-A6CC-B026928BC5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8C1CB3-C873-41C7-8767-988FBE0CF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A1B4CA-31F0-48EF-9241-2A289BE7FD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141AD3-5610-4F84-B019-4297A3082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B6B1B-38AE-4300-91C2-FBAE283EC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E4CD7-5302-4C63-B395-E4A41AA79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CEDB5D-CA23-4D8F-92EF-52E55A8CE2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28CCFC-5DC0-4A48-BDA3-3614FF5D93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6854A-D678-4C04-B5B9-82CF36C70F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06181-2E65-4F54-ADE9-0C250F9C33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25B4B4-66FF-4137-856A-4DAEFE98EB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B0DD8B-F067-467B-9D4E-D3D2DEE1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5A8605-8B53-4F36-9DE5-E96B10C93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07470-7937-4C3B-8A66-21E2055126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AC670E-A47B-427E-A302-7AD52D1729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3A1D5-7606-401C-8034-6D85553F6E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9FD44-F284-49E1-AC91-5C43812A4D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6D89-203E-456E-AD4D-1C83A046B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79B84-34D7-4E3E-BC2D-FE1E4DF20E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1DDE80-4505-4911-A7FF-E5C5BB1934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EAB0B6-C8EA-4425-A348-57112AFC07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621586-5CD1-406D-BC07-2C046A0085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F3BF14-929E-47EC-99F4-CE1E24E294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FC1398-8AEF-48F3-84B1-8DCD835872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B034D6-F723-4159-89F6-FAA9EB8B3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9DD6BA-AC30-4A6B-80F4-E0DC3565E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312C6-7C84-4CED-BA45-AF08295A3B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1A304E-0AB9-4017-95FC-6AA05EB6DF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195A-B3D8-4D9E-833E-383D4E7E3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935FF-D623-4D62-9ACB-5C0F54953D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DC737-457F-42B0-8351-74D36565D2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5F3F46-CA38-4B4A-AB6C-2E346B508B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0EAE0F-2E91-4962-A8FA-FBE2AB4B35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22E5CC-50CC-45AC-B7D3-1AE7C1E83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0D8B8-D05F-4985-9EB8-3BC25BF93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9B63E-1F65-47D9-9DCB-A85C3F82E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9B411-312B-4866-8E43-5596078F5E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6DFB-1A39-42FF-BAA7-17AD16299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DE2EB7-6A0E-4238-847E-9DBE0EA72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2DE6C-9108-429D-89EE-4F3201FE51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5CA781-575C-4D1A-B09B-C9E1D8D3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AEA3C1-D9F9-44B6-8225-A166009283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0CB369-00E5-4CD2-AF11-6E9C54500F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4EF7B9-18EE-4674-98DD-39B29B294E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C0ADE2-7B77-4030-906D-5903F87D3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D810F-DE6E-460D-BCE8-77D727CAED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BACE84-EE50-41C3-A5B8-8A747E3F76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E31780-5B1D-4527-B6CE-E353C70AD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708661-C020-4726-95BE-6298E3B48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1ADD0-C265-46ED-B312-A1A56ACC87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686DCA-B3F2-4401-899A-3065F63E18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4EBFBB-4A2F-45A3-BD45-3888442379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C0EAE-48B7-46FA-A27B-E50E5F68C8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50B7C-AC04-4EF8-936B-5F149228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EE2A5D-32FA-481A-BEC1-A566AEAAEC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37745-DEA3-43CF-A5C2-D31A5AEFAE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4E3D1D-2DA6-4701-948D-342357BF85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FE553A-C1FC-4295-89B1-5AFEE8861A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FEECDE-9AE2-40E2-897A-5F99435C03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82D872-45AF-441B-B997-52E33542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2F2D3-B7EA-4F09-ABBE-3992512557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DD1B5-195B-4957-941D-5CD64661C7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9367DB-37F1-4574-BDA2-EE8CB6A7B5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C28FC-0B30-4571-8988-C22684A7BD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5E060-388A-4079-A06E-0EAF44277A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EFCCE2-0257-4203-9646-BCCE5ED144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99848-E515-4376-A87E-3B64281AD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379B91-6EF4-471E-AEEC-B3D262F113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3D1F38-CA34-4C25-95A7-69B3B1E62E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91B7C-A869-4D6C-A7E1-77674BE34B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87C2B4-3FD6-4AA5-87DB-04565EDB26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76A7A2-6700-454F-8C3F-89E71A479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6C0F1-1679-4E21-ABDF-134C23BC54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E1B0BB-F955-4AFA-B3F1-82A79FE9E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7B1B6-19E3-4B77-BAB9-8A07ED69C5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3D166-E399-4506-9CDC-8CBAD0B2CB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D3F59C-18DE-438B-922F-75B800B07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476B49-E2E9-4BF2-B49F-05ACABB7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BAE9-A675-47D3-83CB-AA2F1F9A39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16C6B2-3AB8-41F5-867A-2BFBF5C7A1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AF4DA-AAEE-4144-9EAC-0FDB6074A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3AC8F7-8A26-46A1-82CF-B50574C989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0E90D2-7264-45FA-95A7-DD8395704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EC19C-0FC3-47EE-AD90-E4F7B17AB6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5CD8AF-2EBA-4460-BD48-CC28963814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DD973F-F0E4-4844-9BF1-7D792FD0C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14788-61A2-40E8-8366-15FDCCEB862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C3E63F-0598-4FCB-BA34-57681AEF1AE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F1E5D-9331-4845-939C-846C4CD2991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ADB2CF-1FC6-4753-9C48-4A7410CCE3C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A98B8B-A9D2-44B2-BD4A-30C341658C9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1909DE-37FD-4C5A-9A95-F6CD7468033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6457C9-ED55-4A21-A5E7-70E6E2030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F38D72-16B1-421A-9E57-18033FF3B38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726683-164C-47FA-8D74-69D92AB921B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38F9E0-B7A9-4E45-BD34-6C1665CF8B7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A54D5-13C4-4226-B21E-DD3D3D79EC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EC75F3-2E8D-4673-A3FC-14DE758794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0EFF84-7FB3-4FFC-8749-5C3C58E8AC5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EB967-69E4-47C6-AE5E-98C7DE35AA7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49142-2255-40A9-B194-72922D4B13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84C0A9-C8A4-4C71-AC5B-24D42E12E2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75AD2-905C-4E61-9A5D-5B9C77D9BA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C5C9F-8AD0-468D-8ED8-1F289B9233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6944B8-3690-40B3-BDAF-280FECBDC4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03049-A181-48E2-885A-317C181BBA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F1085C-F0F3-41A6-97B2-DE53426AE8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C47BFC-3544-4300-9C8A-7F8AB8D864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44A2F7-42F4-4966-BC0F-0BB3DCB94B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772700-7295-4C8E-9861-B437794E8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6BFDA3-8578-4759-A0BE-222C92509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ACC626-5853-4094-B971-1566FAFFF9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F37912-0D11-498A-8EBE-29E1032008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5DEB29-9911-4778-B592-0320D2DA28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CD783-ACA6-4DBF-8FB1-05792B68E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EA937A-DE0F-4E7F-B9C6-BB8C212773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E53E89-0C91-42E4-B477-8890E305E4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CA7510-48FC-4395-9752-31CD843A5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B7036-2347-4E84-8CD8-B51E36A5BA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38007A-F521-4A72-B700-1A55DC511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F26E07-7A55-4AFF-9B6A-200DBFC4F9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7DC4B6-1304-4CE2-AAC6-FF0AC7ACF0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EB3F71-18E2-4A65-9190-1EB2D4BD95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C7BA3-6D8E-45BE-AFC4-E18A2522E5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7D4BB-08FD-414A-8BE4-D5DE94F725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3BC2F0-E5E0-416C-BF1A-AFC9E79670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9EF4E8-E0D0-4819-BDD5-4E219EFF0F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DD9DA-6BE2-41EB-96B0-5AF188F1FE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7B611E-9690-4989-B160-84629BA3EC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563D17-3F4C-4241-BE01-5F33FF88B4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70EA34-CBAA-4F96-914C-C3EEB4581E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E8DC1-6C4C-42D3-B08D-713602428E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66D71A-2283-4C0F-9D8E-92245FBE9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80C5EE-8FFF-442B-BE24-30E41BE30C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CCD59A-B9C9-4ADB-9D62-9A66CDFD8B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CBAB1-E1AD-49F2-A6A4-3DD2541A0E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B9978F-AC5C-49E7-9A3B-DA81D0A8CF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5FEF3-9CDE-4996-848E-B46CD308A6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8FAF3-20F2-48B3-9538-709E330A9A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8B9764-3BD7-4D62-B209-4F958EFD85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E68099-7466-4A28-A18A-5BC07E679C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03F0B-0DFE-4506-A163-835507BE20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354F0F-E4A7-4783-B9D1-29B274469D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160E3-338C-4027-AC63-EE6071B63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530053-19E9-45ED-8359-E679AE92DD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85BD54-E3AF-4D12-8A39-E842281925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84016-2BA6-41F9-95E4-567016229F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1C26D1-15CE-48D1-896E-2A34499830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B371F3-64B7-43C4-9C7E-CA4B7A621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94E3E4-6323-4D12-AE9C-8A0300A880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EAB00-3F35-4351-85EE-AE8B37CBEF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DF4901-9119-4422-8A09-8EEDD986F1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33D6C-5E3C-47DC-B0D9-9210EB2CFF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C975D4-D321-45DB-82FA-49A2B5F7A2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8A164E-BE5D-4116-8FBD-6D004F5553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D225AC-C193-481B-B2F5-832CBA228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8E69AF-94A9-42F6-870F-A4EA13E83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6C5E4-08CB-49E7-B08A-4116DCABC7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15B10-AB26-4A31-AC81-A5AA71EA37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BACAB-36EE-4F20-8570-ACDB85CAB6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B750A9-C516-4240-ADDB-2BEBE07EAB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87EA6D-7432-4A8F-8BE7-C56E665EA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CE71F6-9715-4638-A291-999C2D468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72B760-6CC8-47A6-9FBC-65374F60C5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9E9C82-9727-4478-AF70-D57B944EF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DD9729-25FF-4924-B04E-5FEDFC083D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B3665E-ADEB-4A65-A9AD-4CB0E27B74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0E2E8-36E0-4D54-87B2-3E6CC71F4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D9498B-7F86-4A63-811F-52FB48D6E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74242-114D-4615-9D38-AF1B05284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ACF3EE-9BAC-448A-B40B-7D192B442C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91559A-0E15-4EBE-B439-8F2A9BB50D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4575C-08D8-44B4-9141-54F470F50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99B1B-7249-4E1A-B91E-EEEFD83FE0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75C1E9-D0CD-445A-8419-0DC8190D9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48C584-F49B-4B76-8B54-7C6FDD2729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0122F8-931A-4EBD-9D2F-B38524BF3E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268C2-2B7A-4E68-986F-B35C529A78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DED887-8A7D-4EB7-A91A-EBAB87D606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C5DA2D-9C14-404E-8A26-DFD107DD8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8E35D-DC69-4DBF-BCB3-4A161C3FB0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BB621A-7C42-4325-84AD-836D00D0B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526D1D-9CD8-489F-A805-E1EE275755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C0003-8EED-4F6F-9CCB-9AD4067855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3A2680-80FD-4322-9DB5-3A67567EE0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4B1531-5269-47F6-9537-18CB01D029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948106-BEF1-4B56-A0CF-EF916CCDD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265F41-BE8D-4AAA-8758-C8ED2C61F2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85D506-7F8B-4BC1-A376-EFB6F1605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1DECD3-C705-4448-BD32-4E6D3D11F5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998F9-9DE9-4B08-A283-7A1C5C8C9D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821936-3439-41D3-A1D4-FE3F7382C2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899B6-8061-4807-BE97-7754220A4B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653EB9-E195-410A-A7F1-5DB0AAB46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72F8A-DFA5-49B5-9929-CAD9D9B99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21AEA1-8461-48DD-9E95-630E1B451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9FB7BF-1F0C-41C4-9E00-8D3E5470E2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83242-21EA-4E6D-8892-3C106E2605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750267-7DEB-45E1-BC66-54D3539895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FA21B-524B-4D8E-8493-F4CBBA7C1A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91CB3-41AB-4596-BDE4-C86CEE7F2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3273F-2ED1-4116-BA47-2E3CE69D8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A30EBE-3796-4BF6-A0B8-974C8841C9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4AE14B-1BE3-45C3-96FE-43EFC9CC77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5129D-B209-4A5C-B190-8D5574F8AC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892D8E-FBE4-4F99-B97D-15AA77908D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EEA04-05AC-47ED-804F-2BE999EC2A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B6AD4D-9D48-4607-85C8-A3294C90479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930CCC-89E0-4BCC-93C5-1EE4AF07B8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6B9D7-153B-4C5A-9E93-7DB7FC5324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F898FB-5B44-464D-BF90-985065CB7D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B86C8E-E190-41EA-A6AC-82E59BE264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01978A-6C36-4B3F-9D41-3FE38884C9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AD3C06-B11A-4F75-B035-A2EC929324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9AAC62-7B53-490E-8514-4E6A8C2D0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3B1A1B-BCAA-4B01-862C-977B42AB1A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D2210E-407C-4936-A655-CC0A86DF51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EC2D60-E4AB-4E3F-810C-AF23D3BB20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75FF79-00CB-4641-A368-D207FD39D5B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AFB600-1F86-47DE-B5D5-2D32D0E601A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15E73-2C5C-49E3-9DD9-5F1E4E59AA7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F15955-D6CA-4886-828D-166A68CC7C9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F2FDD4-F8E4-4C21-A62C-02F3E7EE441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C86199-611C-4657-912D-E4F657DA25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30468D-3A06-4E87-AC93-4C63BF11F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546-1544-44A1-B877-EC4F6B58FA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70B72C-F9D9-4ADF-9CE9-D7A19241E7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50458A-7C62-48F5-9656-500AC10FF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05E50C-E5C3-4D0C-90B0-0A75642B1E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86726B-56DC-4350-9BBF-3BCB9BC70C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8B8787-1659-4CB2-B59E-07F32AC663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B4273C-0E1A-4243-9FF5-75860F7B70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74844-0F71-411A-A95F-ABC23DDA50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A3809F-E58B-48DB-A3E9-D5D584B80D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B357DD-E29C-404C-A1D7-0EBE946F92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94B99-B96F-4EC5-9E23-136FCD6988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8C815-F98E-4718-8561-E4173C2A9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6BDF7E-20BB-487E-99AE-04B5143148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35B4B2-1B8E-42B5-A5BC-04435911D5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D52B1C-BE5E-429A-9EB2-CDE6630096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E69A06-825A-4FB5-B346-C86A0EF117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498DE-11B6-49AF-B385-28E8ABB69B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FA20C-1AB6-488E-AD0C-ACC3188060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91F5DC-A0F9-49E2-B882-F3AD7E9F34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7BDB45-D949-4B20-84F8-5993BB166F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912C82-BE54-4689-A11C-06FD41657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A615C-91A5-426A-9647-30BE6CA0DA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4C175A-CAEA-4D5A-9594-EEE6A6231B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524839-4056-40AC-A9C7-B747A0878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0E1779-163E-480E-A50E-940F49A1F6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98ED58-AFC6-4E19-86E7-284260A80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C4309-E0A3-4DAA-8421-A5708224DF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FA81E1-0F7E-4597-8ED0-E29E366C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C5A4AF-8D10-4E1A-8A63-4F83CDDC8E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528434-683D-435A-A436-9985D0B09F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816139-2BD7-4EB2-B7C2-AB558C126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0C9F35-7ED6-4C7A-A1F3-2BD1366BD9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FC666C-DE8F-45D7-96E0-71F095AE9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0E2958-C453-4BA8-B206-EE3A13EDA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07C818-750A-475B-A3B7-6019C871DB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43D024-6373-4137-AC45-FA0BA337A3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B299DB-29E8-4258-9C6E-30D983C6E1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A4FD0-1390-44CA-BD6B-88F5743AE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2C3CA-6F84-4F95-8D32-290CDB9F6C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7FBB32-6C0F-44B5-8241-998DE9870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54E6F6-4F01-43FF-B202-4F9E231A1A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A04874-3B60-4037-812C-CBE089B5E4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9A4BD-7969-46DB-9EA3-0870507105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F6221B-6C97-4DD1-A049-70D61E0149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14B86F-20A6-4298-A4E4-43A0607917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82486E-4E87-4E21-AB9A-1839C9753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50A-CD43-4E9C-A5DE-D939AC2622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DC35F-FDC4-4E37-B56B-51FB9011C9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FA14E2-92E5-486F-9D1A-0922044E3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746FB-098E-43AF-9691-1D0BEAF965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4756C-7A47-406C-B828-745A75F884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694B2-77C0-4CCC-A51E-C53DB9E54C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77C2B6-18F7-478A-B409-E8E07A0A9B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EA155-03A8-4EF8-905E-96BBD9D927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32702D-8D6F-4A9B-B453-FCAECAFAA7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1319A7-AC0F-4F4D-A8CC-560B3FDCAA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93F0C4-702D-49B3-91E3-6A9F2F41F5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537AF3-82CD-4DFE-8F63-21C39484A1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1BCB3A-47D7-4791-B48C-5D235EC842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E43C1-EC28-4562-864F-D8710D3013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8FE32-B742-4244-9410-E888C9B31D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12E2E1-8E8C-426B-8BB2-3A4A180AB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F90A29-2AF3-40D0-B563-7ABD247C91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4AA148-1353-45DE-9C1E-356B707DB2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4560A2-B5CD-4C6D-B83B-AAD251069C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474F9E-F737-4EF7-9690-90BCC63191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C30E34-D57D-4B45-9019-EE780EABC7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7B6C88-1141-4671-BE4F-8E031AA638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E513DF-7B6E-40C7-9B21-526D0EC91E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2FFA8-8B69-4131-AC01-49BE0979D4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472D3D-D80C-4936-A2D3-80C017D09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631BD8-C864-4CDE-A560-3E427C572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25C6E5-E4D0-48D5-89A1-770A530F48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31EE1C-DB94-43FD-974D-BCAAA5A8FB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54D915-42DC-4CA6-97CF-53A2DB17C6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7B3634-C83E-4BE8-996A-6EA57DE567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6FDC83-1A92-4713-B153-AD5862CC89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2071DC-1035-412A-935F-9479FA252B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025A-9979-4BF1-92C5-1AF19AE655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9A9974-CFCE-4A7E-ADB9-BC0C3B8DC3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F23796-C5C3-4187-A0FD-491F28C1A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63777-B48D-4AE7-AC04-D430DD2934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F9EFF-4D0D-4524-A93E-195FCA82A9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7F4A9A-A9F4-4016-856D-6D789DF2D6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63883-1D46-4DFA-9266-CB2E8D8A15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C1AB2-2916-4CA4-8953-B79E3863BD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0936F-B084-414A-80B1-02AAC890F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63F824-42F4-40A4-A3BE-71457ABA9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EE38B4-FEAA-4DF8-8010-CD9D48B950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FC7B31-A3B8-4C5E-BCF3-88456DD83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FAFAF8-0E2E-4136-BB83-8ADF20F8ED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8172AE-3CC7-47EC-8DC8-247478EC2A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A6609-60C7-4223-9FF0-8D1F34515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E9919C-AA9D-4885-86D9-9B200E1A9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2C5A2E-A6E6-4C3A-B7EB-026ACEE91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54AF78-9263-46E8-AB1F-86B322177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D5046-99A2-463A-BC9E-1AAFC5982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5245FB-ACFE-4B45-BF49-8042478ED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D94166-F9CE-4F33-84BF-3E375E24BF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07D70B-8E63-40A6-858F-71BC5D1FE4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CFAFCD-729C-4E60-A104-6EB35E73A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B26818-7AC9-4138-9EE0-88EC8E64E70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3A8C4-9DBE-410F-85F3-4DBE036880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702D11-09B4-4C54-8420-6D967BAD410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B1B4A-2E7B-4444-B73E-511B8A1115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D63787-D5AD-4A58-A97B-6F483210C74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E2E00-4554-4D0A-9E42-FC44E530DFE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603A2-191E-4260-8B0D-BABD99C81D7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A64144-24DD-48FA-B6C8-C1F87A78A7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31368B-01A9-4810-BEE9-6BA4E1AF64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315CD0-E488-4668-8F57-850170662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6AEECA-3414-4D82-AA8B-D357076AA5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59C9A8-2064-4551-AD12-80F07682742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ADC2B2-BC38-4249-B0C4-AC05E84E825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B4A143-E042-401B-AD87-E33CDD8D2F0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DB94-577C-45EB-B896-66CBB0FAC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10D429-CD8D-4120-9294-6C6D03535DE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28284C-5512-4B63-B1A5-D61242C347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D3763D-82E9-4EA4-B80B-DBB211FFE2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2706DB-C040-465C-B91F-DB70242F59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8F78A7-A043-49CE-B3B0-54E86FB629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FECB66-B647-4127-9301-F1C6E1025B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444E93-BC6D-4287-811F-EB7FB760F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970D69-252A-44DB-9736-36582164B2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B8E53-EFB2-47DD-B5BA-78E68D3657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F8E89-A751-44A8-B715-E73EE01634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8A207B-C44B-4153-918A-C58BD3C2A0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D12A0E-A14D-40D6-B062-813C6BED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B6-0267-42B5-A253-7E1F3E504F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558300-7E36-45C1-A52C-FBC18ED1F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43BAC-7FD1-40F2-A6DA-94C7896D14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7E5E2-9BDE-41B6-9373-BA5AFBA39B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7D5003-C2EE-40B4-95D9-3F60695214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89336F-A9D1-4BBE-90A0-C810A18122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E5020E-ED92-4ACA-A1E4-7E41481A55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FDEFF-7722-4D71-8980-25DFF5E7C8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79BA53-7056-46DC-9F10-30DA50F9E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806015-5287-4354-B023-9E102F517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FBE1A-50CD-40A3-9DFE-C48B5C917D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695BD-F133-4F38-BFB0-915E6A0E85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9880BC-30C0-4F3A-BA25-39D3D19F2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D3D43D-0753-4BAF-A548-82F9511730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58707-86A6-4730-BB79-828439ABD9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378071-DA95-4DAA-9779-A608ED515A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9085-1CC5-41E3-BA53-B5C6B286C8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227A26-8777-4F91-BDC2-120AF1A1E0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A39E90-73EE-4414-B018-30735BCCCE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A68571-1220-4E70-A3AA-ED7C79120F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4F67-6189-4B94-80F5-6BB9DBBB26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06871F-05B4-48F0-ABDE-324357604D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44190D-0386-4EF2-924B-EA3CBBC5F4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02499C-9F00-43EE-A3E7-2D17D536B7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3BFE5C-757E-4E71-96EF-706E9BA37F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31ACE-2178-4DD6-AF35-3D55069B7D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4C298A-BD4E-4BA4-859C-FC5E69F06C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9160FC-7250-40EC-B905-8F7D212C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B7D6B-4F12-473D-83F9-E26D5D7B8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E650B4-8CAA-418A-AF81-628F9B5B0F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F085A-1E4E-476D-9D3E-746C5192F7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F5971-2DB6-40AD-AAB1-DCCCD59A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409169-E066-42A8-90DE-2DB8EBCACB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C8440-66CD-4BC3-B138-CFA20E1EF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D6223-9C34-4B5C-AB57-7A57F4B1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954405-584C-4562-8D33-EE4F591E14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65814-78D2-449F-8A31-ADA1D92F4D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32A1A7-DEF5-4AB0-952D-688C7AC675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148122-3736-41E6-A82B-AF98E8B944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70099-CDBD-48FC-B56E-01065CB5BA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71B69-C0EF-494F-BFC0-EDE2D2C3E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B68A52-C67C-4958-9901-02EEB7FA4A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DB9E2F-3EEB-4153-BA3C-6561CB54EE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594424-4AD3-4740-BDA7-B1A538739F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14C872-B739-41F9-8153-C9737EB070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2522D5-2B20-4638-BC8D-0516176F95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FDC232-D591-4FD2-BD0C-DD3BCA88C5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1D1A-386A-47B8-A41A-0589B1452A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0B2841-5D57-455A-9763-7920E15FB6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8D3A5-D9F7-409B-9D09-52D494498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E511C-37F9-4710-B671-3D3C290B1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EAFE6D-8289-4BFF-8728-079D7339C3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4D19A-AEDE-422C-B72A-441876F359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C5D97-4533-4389-BEC2-B4A03C0250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B9AC0-2A24-47E0-9A37-B64C5D75C2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CD38F-0962-4292-B8AA-3E87DA10D3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7DB51-92ED-48BA-B54A-F73AA74244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C282B5-BC62-4DCE-8B21-447E5F0B4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AE6024-C9B7-4FED-B8FB-E2F6624DE8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DAC327-C5B4-4C4F-A6BD-228ABCEBC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FE6EF4-1BD7-4526-A44A-5830F430D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9C907C-F1AB-4065-A448-DC9288C8CF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A02816-AC35-4EDB-AB3A-E74735A17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DBC8A6-9614-47BF-90B7-838E4E4479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6861-64B8-47D0-BFD1-7BEF19001E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0B1A06-4487-4084-9EB3-CE331585BF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3C3831-D833-44D8-8E79-824D9BCF7E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A059A5-445E-43A6-9231-8515D62FA3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D9B9CC-FB5A-4A78-8DE9-CFA8ACA3A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12BE1-5891-4E93-BBE0-C718A0F4D9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C2FC82-7586-4D84-A343-BB8887F0EF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7F0FE9-BB36-4E79-AEB3-F85D26B105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6CE0-E992-49E0-A9F9-30DA4B3089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B8A78-EDCA-46E2-87DC-F260AC43F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F3404E-E37E-4619-AA93-E9F1FD9B4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8EC3DF-192B-462C-9B38-3FDB083187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89987E-565A-4AAB-8537-03B796F319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921CF9-A5E5-477E-8B5C-E5EDCDE883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47A44-849D-4BE1-84FC-875FE7B75D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7FE8E8-DB44-4938-BB48-DA113B462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89BB5A-7CE7-45CC-8B54-15D0D34644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AE0541-C8E4-4E9F-BBC7-461D0892CE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1025D7-444D-4B85-9F82-CA200CEA50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94C714-F02D-4C5F-B5D9-05F524E53E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567538-03E6-4A28-B1AA-209ACE580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D16BAA-84B6-4036-81A2-609A2D1ED4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E135B-D788-47FB-B9D6-FCC6D9485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18D5C-A92E-4C6E-B9D5-9014A32A8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38E347-EB8A-4626-9AED-65FBDF20B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C0F0C-2B6A-4E9C-BADF-5E0846DD73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220E58-802B-4275-9212-9659B27E9B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4BDEE-94C8-445F-824D-75E77390AB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DD4587-B0A2-474B-BC04-1D979C759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01C459-C1E6-44D4-A996-706B30E4DD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0C106B-184D-44DB-9308-B3EE917EA7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AD7ED-AEFB-419D-9935-615A1AE3376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E04321-95E2-4B2D-802F-2BD8A0BE6E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4F47D7-512A-49ED-88B2-32CE4B4068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799F1-3019-4A07-BBE6-4FA8D6F5B0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E24C-1E5C-4152-8598-40EB67BC0F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C8F0EC-E1C7-4AD8-A3E2-347F600D76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A1EB92-8012-4055-A80F-DC4AD454F95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BB6AE4-3684-4B4B-9919-AD588DBA856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DBE44-CA3D-40E8-AFC6-2B9CC0BE40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C7FEAA-7947-4840-A702-EEAA52AE499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4F980A-BF1F-4534-9E80-F8B0DB9647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2C7BC1-EC2B-4B35-B3B9-47FA308F612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7E4B6-8A90-45AB-9F36-3BD4BCD9C1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A83977-940B-4884-9505-3AA3FDE0B1A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E0111B-3FF1-4895-AFC7-B3EEA135A2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1E818-B608-4F3B-8058-336076040E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B8978B-3C36-4DAA-BF26-F16F17423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A7936-BC14-49E5-ABEC-643415C0CB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5E4241-9AE6-40E3-ADEF-C5E3817E0C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88C05C-95FF-4EDD-885D-00889E09E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95F324-247A-4A1D-AEA0-B07418B0AA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64ABE6-86B6-4328-8A5B-B4A1AAE521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34A982-6BAB-41A1-B79F-74F4E68F82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5C00F-536F-4506-863C-1FD0E39DA5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996D3-BF98-49EC-AC2F-5B6E4DECEC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65E414-FFF7-4D09-BA99-68374ED9AD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B5D46C-299C-429B-B3BA-25D033502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3662AE-EA0A-4A1B-89B8-9ACEFD9AA1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5877C1-45E5-4F30-A0B2-99A803812C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306AF-D256-4B34-B6ED-14541E5F92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D779DB-EFD5-4BD5-9F65-6D6E2701D1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B0C209-39A1-4DE1-89F4-F98879F231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B31B2B-71E6-49AD-95D0-A634C16221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966429-05A7-43AF-80DF-E821ED0A79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59B17-B96B-47DA-BD6E-406996185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4A905-B7E1-4EA0-8F7A-3E98765B7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799AE3-8AAF-44CE-8350-0D63A6736D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0A592-1CEC-4E3A-A0F2-9FA18FA1FA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19AAE-699A-4177-AB49-A0D7F4B8FE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70A2E-7CD3-46F7-9F09-D459546E67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A895C-77FA-4970-BDCA-1D68E2F2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53196-9FDD-48C6-92BF-59273BF1EE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4CDA4A-746B-4A2A-9B04-DF153C14CA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2DD7D4-9379-4B6E-81B3-E843658E06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4E9C05-8C32-4C12-8A7F-EB0E2C6BA6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9C15A8-259C-4549-968A-93D7813301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2160B6-FD48-41DB-B5DA-87CD8DD7A4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413AB3-3314-4FCC-A32D-DA8FE29422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8B8A82-C9FE-4D2D-93D3-B8225F84BC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F4E4A-8E45-41D9-963C-307D1955AD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0E116-2C40-4778-88C1-C269699BF9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5C306-2721-41DC-9EC0-B0BBE1383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6DEC82-AF44-4B6E-AF23-779D588901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8E884E-868B-444D-AA1E-470B3BC8F0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A0CB4D-17A5-4C43-A1E2-01CF85D69F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F05DA5-D95E-40E0-A27E-0E2734963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FB933E-F988-4C1A-903A-E3FACF657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3BD561-6711-48A4-8840-41DB52775F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310E36-D2F1-4ED4-BF1A-0D298E2D2D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B1D852-D26B-49FB-A364-9D6D25AC42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280A0B-F41F-43AC-ACF6-32B2AB4D00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BD236F-62D2-4CEE-AA56-70D860CC10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2F26F6-2922-42A6-8E12-E6890DF55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4A3EE5-4E15-4E38-9419-C2F1885C23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AE5D6F-F1A9-46D3-8212-8EA91EB46D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C6DE7-CE1F-4B08-B337-E61591F54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236D3-61DD-4045-80B3-957FB1C986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EFBC83-6636-4FE2-AFB1-23F31FF3D2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F8DDEF-0430-485A-8165-2AE4A2814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CEF8E-20F9-42F1-8112-4CBFF07DB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8F7609-75A7-405B-B6C4-7AA86CE718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3038C-FCBF-4A4C-8EA0-2833E858CF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B514E-FB97-4ECD-8319-2E8E6C754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FDF3A-A9E9-464A-B110-6996FD9611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107FE8-CE08-401C-83AA-B6118DA6ED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45B51F-2100-4456-B51B-7216066A22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A8607A-50D5-4BF4-B781-69F83F01FF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7B64BE-E530-4032-8E15-949BDF91CA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7CA3E4-9BBB-49A9-BE7A-1134B75D8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054F-8918-491A-91BB-DFE84114D6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866486-12CE-4DB5-8564-28F36144F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FA512B-B2A1-440C-87DA-7CE322D31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1728E2-7F79-41C0-A4F7-F38C46C181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479CAA-5E3A-42A2-A55E-08C3456A2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AB1A7-3430-474E-870E-4BC92D3A77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91656D-ED8A-449E-B45A-7EA5727A57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D4FEB-A285-46EE-8CB6-B346AEC23C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B22791-A1A5-4F00-A16E-18166234AB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94BCD-CE68-475C-ACC8-16B8118101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E4FE88-F417-410E-B23B-F535062AE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32930-7CDB-4763-B6E4-18BAB2289B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5BA53-4937-4D4D-99AF-9AB6131B6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60A69A-C19F-473E-B12C-8C1A67A7E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063371-C656-4CF0-829A-94CFF44419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DE1BB-2B8F-4A1B-990E-371FB1B7AE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E03733-D5B4-4E80-8000-05D4882585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5F452-0D0F-4DDD-8B00-172335C622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F6E072-EE28-49CE-8C05-664E60943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E1BEE-3102-4F71-A5F0-D23502ACF1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E5DB09-120D-4F79-9FB7-27F1811301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4463B2-A78C-4026-8AFF-C41AEC9E0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15E054-1667-40D4-AA05-7A66952672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02C43A-01FA-471E-A285-26A14977D0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D8ADC-214E-41D5-B040-7CBD09CB3C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478784-ED28-409A-9D5C-522B48E00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795B71-FCF5-47DB-90E0-31FAE5925B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BA317-95F8-44B4-8364-DB8DB43A3F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26657E-DC8E-4465-A9CD-645065684E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BC503E-F840-4690-9217-C62BCBAFD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69335-9EB6-4CBE-BDA9-C5B8F245C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A62672-D20C-4134-88EB-EC1F4E0184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1EA5B9-6FCA-431F-A7DD-C6D8CEC7EA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22B9B-A017-4DF6-9679-E48FB83FBC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5B0499-1868-4009-A52B-14D813F0B5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28741-7589-412D-9B0F-BB03CA0BB4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2C0B3C-B815-4E35-991C-A4E7EF01C3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8BE47A-5CDD-488A-9BB3-0BF4FB4B16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FAD19E-604E-4010-96DD-0C6230211F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6C5E1-FF83-4023-8698-128C57E0C1E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BB58BE-400C-4574-A0E9-3ED74233280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18C0A-627B-423A-ABB5-D0338692E23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CD07B3-7067-4EFA-A96D-CF76C90506C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27790A-7CD3-464E-A2E3-C442BED602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CBF09-8C4D-4810-896E-5841094F6D5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B62A17-507E-4384-8AAA-405FCB6F98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5BB99-7226-4244-8063-C87B9E3085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FAC3DB-AFEC-43FC-87D5-2248ACF8D7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EB23-B4F8-4E4A-965A-F3CF0507319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2DB8B-5EB2-4532-BC81-75812F16D9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3EFA27-FEFF-48AD-9E4D-532AD32CE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6A47F3-E309-4FF7-BAC8-74208489654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205854-31D9-479D-83F8-B106CFB2FD7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97023D-3328-4B9C-A67D-DE76B656DE0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284412-8E57-421A-A059-7D16F75F651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9F50B-C52F-43AB-9A51-65F9BD8F19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3CB70-8FCC-43AF-9808-045B0BDBDC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A1542C-B886-490D-AFB9-F0676198C0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466947-401E-4EA8-BE4C-0EE61C6E15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FC688-8769-4A3F-B200-1C56588B2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DF49DC-1D49-4167-8CF9-BDC438103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CE60FC-72D4-4CA5-9C9E-DDA095AE0C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361227-8FB2-4716-A172-661188E216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75ABF7-A4A1-40EA-AFEF-1570546F34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875CDB-81CE-4D97-9598-49087BEA42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15F73C-84AA-417C-ABB2-B5159B31B1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9380AD-4765-45D1-A382-B080CEE9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661DC-61A4-45EA-B59F-7E1D1C1144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BD493E-0189-47D1-8563-0B176612C5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CB75B7-3E3A-4063-8794-25C3A17FE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8AB7F0-1B83-40CB-8E3D-5D69B90BB0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494687-19EC-49E5-B1BB-1B879DCBA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5AF213-778A-4DFD-8595-D4C50DE441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0B0F55-0736-43A4-887A-076FC1839E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35925-704A-49E8-B531-008D47213F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C43E4B-93A3-4783-83B7-42076166EC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2FF1FB-8E2B-4494-9CD7-226D5EBB26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E9A607-7C18-4544-8567-1A13E3420B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DDD2B4-6490-47D7-9E8F-609C8AB1FD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9182FB-7A55-4E1B-9E69-088DE77D9D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85B084-62A1-40DD-A783-50FE5C7C7A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642A40-B36E-4197-A5AC-69370A63E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E393EB-C291-40F9-8D45-099B37E0B6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A0467-FE9C-45D3-A1FD-0DADF4CB3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62B9F-298D-4A5F-BDE4-070D80C800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D82BB-272E-4CBD-8E1E-70F5B576C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098223-8E99-4E40-BFF5-7D32171AF2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5C313F-FC10-47B0-838B-946186883B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7D9B6A-0410-46B4-BA8F-41A8DF3E4B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5BAED7-AD83-48BD-9825-14D7427DD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FE7BC-B2CB-48B4-907C-E7898838A0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BBB14-E257-43DB-B410-61F1D3C829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2DFE3-1CF0-4321-8414-9DBF5EDE18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7F90B2-5C3E-4EF9-A955-0C4CD9E832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1CE833-02B9-419A-A9A5-ED1A4BE2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6B32CB-FBFC-4A07-8964-DFB2D84A6A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B0275-74D0-4F51-9CD2-A85FC4784E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6CE036-B18A-4387-AFB4-7079333DAE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AE03A-259B-44C5-AD87-55F739A9EA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137083-E2BD-40EF-BC65-0CB090BC38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2206C9-9813-4626-BE28-8D7D329331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E7FDE-E4E0-4E71-8FE0-B92BC98EDB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16D747-2D19-4E41-AE1A-8A03A0CB23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17AA3-93F6-45D3-BBA3-C8E8236C9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C59FD-C4D9-4215-896D-ACCD5ACD2D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350195-7A1A-4E8A-8E96-D0FC40CFEC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192AD-48EE-4A85-BF68-1B8019390D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3D7DE-10FA-41A6-A14B-E8EECC4EE7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17AB3E-43A9-4EEA-83E5-8E66F8F41A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8054E1-F85A-4C2B-AF58-4A3ED7170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798590-D167-4F70-A10C-D5DC4283EB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CE9CBD-BC29-4360-8B9D-1D7B430A89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A14E21-46CD-4865-AB64-5C9FF8C04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7C7B8E-EE5D-42C2-907F-44C2529ECE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ECBF5-AD68-476E-9D2B-4821A2BCD6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5E50AA-C13C-46AE-8FC0-503FCFEE66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0175FB-B670-437A-B2D1-55358C40B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3B6ED5-B594-43BF-950D-0A4ED289E6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D3D215-1210-47C4-A981-76EDCFD2F1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7863F8-4BF2-4771-BD5B-E383862305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1EC65B-215F-4EFA-9AF5-52B01CA232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328EED-B739-4E26-B8D5-69D1433F99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75C61F-3AFD-4393-A55C-2E71F1057A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ABBE8-E85B-4A12-B0F1-C10A88B748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EB36B9-1AB8-4176-B70A-4F027443F0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038DAD-BE49-4A6E-BAD5-0ABC0A490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43BEEA-122E-41E5-B699-A84C9FE4F3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B1103-593E-4AD2-A85B-8DFF95FBBE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4DEF33-7B33-4556-B10B-B5171FB048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6EE201-DF8D-4ECC-B354-D12914C16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93736E-D2BF-48AA-B465-A0DF335E4A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77D000-785B-42E3-810C-89F3F7CCC7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3BC0D7-64BF-4C4A-A943-143BD88F5B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EA62F2-D7AC-46F4-88EA-8A9A03B0C9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E4B013-2A91-43F6-9E14-30DA77E23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7A08EC-8E55-42CF-8B09-FECD0CD527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974B5-A677-4193-8C90-691F5069AF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2FADF-D2BA-49FF-9D37-37D53D0AA1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AF86C-C3B3-49B3-9023-46FC2343C7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D2791-37B5-4868-B6E8-3753444627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0F7D88-9027-45C4-8A4F-2F61143A58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9161F7-FA43-4463-B121-104C3A1FB5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0C4E0D-BBBA-42B6-AAD8-84B4C258D9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C9AE0-74DE-4F20-BF12-95AEBE2121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CC2CB3-483B-4263-8EE8-8FFC658FD0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B68824-4FCD-428E-B13C-2C4C90EC77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28CEE8-C4F7-43F6-B52F-1BD2190956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396A2A-7842-4904-A8A4-90BDCFE779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CCC1A6-B6D3-42C0-AB10-CC917D3C54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483C6D-327F-4059-8D83-F5E889764D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384123-D858-4FAD-98F6-CD83A24E94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3D6353-44AB-4CBB-B73A-71F61C4223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6038AE-776A-4FC3-8FC0-EFF6B3DDB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EE17C5-72AD-4620-92DF-6E5703B449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7EB04E-8366-4A11-B3DE-0ECACCB792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07E802-31AD-4AC6-BF4E-EAA6FF002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7B708-AB9E-4E3B-993A-F61A695F8F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09890-D5AC-4578-B122-67E45BA729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6348-382C-4DA2-92A7-45F5AD782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5F1962-EDF5-4D49-B3D8-DF5F534EF4F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97B42-89AA-4D93-94DD-E1A8F96F8A0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9CD8F1-047C-41E6-B714-52DC957900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6D2B76-84D4-4F39-B961-6CAA3813188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C91DA-27B8-4970-94EC-F7084AFD43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24CBF-DFC4-4AE0-AC6D-E63ABBD7DFF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0D0A8D-4E02-4311-8171-8DF91296ED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22D6F5-D5DF-4DB1-8758-F6963E005C1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3DA08-BB20-46E2-8C19-C8899CAEF7C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D15BF-522C-4568-A1C2-E04C412FDD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F4AD12-70BE-4335-8518-C6DF97BC29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0DB5-08E2-4D16-B70A-FB7D7FF8AFB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2B540D-6D08-4545-ACA8-22A3867513A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CCE2C-2FEF-486E-B0D7-908CB86A7E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1D6A7-7DA5-408F-A0C3-F626F2CC83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20534F-A537-4DA6-B7AC-70FDDC5A12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FDDFF-17B2-48AF-BC11-9B86FAC3C2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0A8E0E-C8B8-49F6-9FE3-765FA98CDB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72AA92-9980-4655-BD02-1FA2C043F8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06640F-646E-4AFD-A0ED-590D1DF14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8594DD-CCC6-4931-9123-3712F10C52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77732D-9CBB-48F5-A1C2-79F128524F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5DDD8C-B4DE-4C76-8256-7BD9B86393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888E3C-78DE-404C-8BCE-E63BF177D9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3C043F-6E23-4F2B-B2D4-D6FB565AA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FE325-EBE3-470E-B90D-1929CA693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AEB83A-C355-4101-AA3C-4FDEFC43A9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BC8F51-43F4-48F6-9143-4B6203D306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1CC7C3-0B3B-48B3-BEF2-BFE096DD2C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37A63-358F-47B5-BB1C-8A2A96CFE8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4ED853-0D10-464C-81E7-46B2081BE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A01AC1-12C0-4B95-8F93-E321E2848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894A2C-221C-42C7-96CE-0E8FFBCF9F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4B4F66-81B6-42D2-B03F-4476DB746D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F7CB1-1AEA-409D-80F2-317F4D165B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F0A930-BEBB-4171-8A36-1A90F49C8D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71AEA9-8A11-4759-97C1-B27AC2EC99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5B42B7-FE9C-46CA-B851-C627C0AC40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ADCE4E-0817-4A77-BB2B-72A00CFE79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BABB50-2B6B-4FA8-B916-151BC82AB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10FFAC-7272-4737-9F78-4AFFB9052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1985B-DD46-4D30-88D0-4455C8E630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A748C-1432-46FB-9132-EF37BF63AD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9AD248-DF3C-448E-96CD-0F51B2886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6F7967-8598-4ED8-A0B9-D79F79A16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EA4028-B4D0-4810-A833-EA42C52B04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B8CBCB-648D-4539-BDBF-45D98D49EC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C8BFD5-15FC-4CD4-8404-DE642B4689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5C3C65-9DEA-49D9-A0E0-2C8821AAA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E43868-0C05-40E9-B2CA-D98D362F9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A2135-6045-4970-B156-E80E8358E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67D4D-AA90-4AD7-AEA3-7515D70E00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D08DE9-EE15-496E-9CD3-6C229A7078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0125DC-4EE9-4714-9917-1EAD87DBD1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09DE3-AC46-42C0-8D90-161AB86351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84017C-BC6A-4545-9996-C0E3D93C74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70DA0-E59F-4A5E-8D86-C7F3C428EE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DB800-F8B3-4127-BD12-80F4942419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F291AE-949A-4307-969A-58B874EEE9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640C89-7E8C-4DC6-90B4-82A69F9B46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C5E1E3-C0D7-4347-B87A-B1021602C3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0A0480-A4E4-4F35-BC37-C7E93D5E5A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CE3599-C1AB-4B4F-90AA-8FDF2DE499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6E1CF-3362-4C41-8494-621856248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591318-BFE8-4BCC-84E2-E57CF8259E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1FED83-75A9-4B62-BAE8-25F6BAE337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16098C-0C21-4CB5-BB90-8CF90D63D3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CB64BA-C705-4D46-9B7F-952FC8CAA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FCA99-264C-4344-A7D6-7F0A5B86A7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526A78-8BEC-4FA5-B560-9D40ED6695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1E9E2C-D01C-4C64-AEF4-483166074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F5EE59-0A8C-4873-B47E-9A65D310DA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104631-0F39-4D38-94EA-46B8CF455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14FB2-5C3A-42B9-9CDC-2471765F0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ABFAF-1671-47A4-8C2D-F4C0D15DB7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117AE0-8B41-47F1-9245-69E13003B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6D4B7E-AACF-4EC7-90E7-5DBE830CC8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0B828-B489-46FB-8C0E-C9C0D3E24E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41528A-D552-4E64-BF71-E957A343B2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33621-883F-44A3-B6AD-2F4326DBC6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F08963-E71A-415A-8A13-A497AD5AA8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E0F6EA-7CDC-4ABD-A69F-04BF1F04B7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74F323-3E0C-4FFA-84D0-231DB4C364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20EF7-CAF1-4B66-924C-71913AE043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6B5FF-CF45-4C08-B7D0-6A724077D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0487F1-4DEA-4B6A-AD58-105460B8E7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1FA6CF-2018-40E6-ACCE-414578F16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21345-2214-40BD-BBC1-69588CF178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47EC44-DACA-46FA-A0C7-B865B03CA1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9F0064-CA51-4372-A619-141C96309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FF920-07C5-4291-BC84-3FD34A0651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FB3CB-7DDE-42C5-B13C-EAE1CF47C0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143BAF-10FB-43B3-B632-8AE7B389BC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7704C4-179A-49A5-B5C9-D1C3A8540D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7A8FB-D6EE-4881-90D1-321802F414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39F75-194B-4218-84CC-CFCCEA92C8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3F1F3A-33CE-40A5-A877-E7B1F8E596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BAF2CB-B3D6-4C59-8A99-0744F84920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17E710-5283-4EEB-87B3-12601736DE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E8B68D-766A-4AF4-9CC0-B38F899E7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EDB1F-D75A-41CD-924A-6C2A2955ED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B2276F-242F-4FA2-9D2A-46255A24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452D00-E995-40A2-B6F2-1AA37193B1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1793C-5C9A-42AB-89D7-E1D540A93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763777-A184-4369-B8A8-EF453D5633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E5969-2649-4B82-A189-FB163CCC9E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00E636-7BCD-4E84-A2DC-1B25ED5359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C1CCD-3AB5-47DC-8A03-FFFFD9C696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B4EA46-A0FA-40B0-918D-880735957E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93C74D-D13B-48D6-909A-ED3C38D87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9CE701-51DD-49A1-9259-0B1D2B26E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CA7934-0EAB-4AD3-8DF0-E2A00851AD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4F5577-0FA6-4FEA-981B-F35C288C88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DD65B-468B-457C-B659-86F39EDAEC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E77B3-6559-4E34-B1CE-7FA36E83B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64AF38-299F-4DD2-90E7-B2A1ACBEA9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A2045-9896-4736-8575-B191C2FBD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EED5E6-4802-41CF-9607-946F602958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8758D-010E-4CA9-8230-38DFCF919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CCBEE0-4533-4422-8607-EF2A75FB21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D29C88-7DC0-4958-B135-2C2787B605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B960A-3318-466D-86C6-55CD4F8A9AA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B4680-517A-4144-A773-FB1FA4B3BA7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86F706-8A80-49EF-8CA4-7B086EBC57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B149B-097A-4A5E-AB1D-779FDC2235F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047343-2FA9-4CC6-B99F-41F9E57F6D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AFB7B1-25CF-453A-8D36-30DFD5A688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2475E4-1314-4C78-A078-5AA63E05A2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01B428-3C71-4A4A-84D3-29099B35F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884FA-3AC6-4227-9D16-FE01275CE37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E789A-68E8-4FA0-BCBB-AF04328DC6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E46CE8-403C-4BD7-9BD8-05251BE1E6F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B6B9A5-EF12-41B3-BE23-1306B38F24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338D8E-5B6C-4FAF-93BA-B295A430FE9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78A1D-3675-4B49-9CF9-7AEDA852F1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51517D-49F9-4E63-9AEA-F5D52AE513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30644B-B441-4A81-B12A-5EA8CB5DE2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B7A6A6-19BC-4E7D-8BD5-6400D49F27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F5520F-898B-443B-BAD1-52DAB6F74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A7E01-E071-4215-9F17-E9B9B63AB6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1D850-A8AA-4817-8F10-3D39630323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E1FCD-535F-486F-8743-B0932F81B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72FC85-5B0E-4EA4-A0D7-3863EB471E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1A3597-8B19-4ECA-B2F6-6DAD2F50C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3B7A1-E506-4CB4-81DE-4871458829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5C8CE-200C-4945-A4E0-289B6A0F8C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11C0B8-7E09-4FB5-9928-15823A5905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A94434-7955-4747-A5D0-5D7FF14C3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67863F-E532-4322-8C83-BF6C3745D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7DBF76-F49E-4A84-96D6-214338205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AB45E5-D32F-4F7C-8F5B-EDE0B7FAB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FDBFC-6A60-49B9-AB7E-21E92C5169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4DEAC-D763-454A-AF5E-C62D23A53E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9F572-280B-4601-8C65-FD2B4455C1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1484-6A36-4B4A-902C-3BBD13A30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2DAF6-D081-4750-B803-70E92891B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2C91C1-3192-4B62-B6B5-A32A225ABF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33F2BB-F7B2-4CD9-ACFC-D84103F001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BFE2F-9F3D-4F85-9D38-557D50A480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529AF-9B77-43A7-8515-3551C570FE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D40EC-1294-4819-B91F-9D365690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9FCCC-9A20-47CC-8DF9-B5C412D56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6500C-B530-413B-A1DE-D69F5285CA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116BD-0AA4-404C-83C0-8BEBDCA6B3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C1033F-8481-44B8-83D9-1D65F0692A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A197A-4F3A-4551-91CC-262615AC1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E0136-6BB2-4778-9CB8-35ED193FD6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61D94E-6D41-4BAA-835E-56E0E5818F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1135BF-6C7F-4DB9-92CC-2F1726A6B1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73F45B-126F-4542-A2C9-EE13BB8A53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0EEF28-8E15-473D-9D6F-42DCABA15F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DA967-5522-4AE8-9326-223B110E4D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1E67B-894C-4027-8533-E3554CC8D2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148485-2132-42DF-AEFB-22EDC34DA8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9A286D-9913-482E-8BB8-F33AD739AB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C27382-259B-4508-8F41-147ACCE9A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A8A93D-7B12-45CC-B2F8-DABFBF41E0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2E8DD7-70C4-4239-9EA3-888011B921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30EFC-E98E-4EBB-9B86-8F687033BC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67AC80-F463-431A-9471-9B49A4CD90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44D9E9-9D1E-4D3D-A60D-ECF840058F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3EE0FA-912C-4BF6-BF75-B88F886492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2F1797-1107-4E05-9078-6C65CD6B8C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984F29-F841-474B-8404-5316E2210A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EC3CAC-2385-4DBA-ABC6-50A3A42FB2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762F49-B531-4AAC-873B-77B46BCF69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88D645-0B29-4687-906F-5077C34324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D0100-7745-4712-8063-B41A1A1748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80C576-BED3-4E9E-B84A-5D590FB08A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6A8AA3-F003-448A-A4B1-9546DB4A3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1BB5AD-88AA-4D10-BD65-EFA1D0EA8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C0C1DF-412F-4F6C-AC32-C6F1868D70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9057CA-D80A-486A-AB0E-407A556799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7EABAE-F3D8-4EA3-A568-9D462BF0DD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40AB55-80F5-43DB-8FDE-3AB597E722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2DA79C-A66E-466C-A222-11791C88F5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881E28-437A-4D50-85FD-B7428D3645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C5D5-875A-4AD8-B487-2BE065A8FB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9AB02-F24E-4FBA-9DA7-50D7132C91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8F1083-FF25-4327-885D-6D88BC1C79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D26D4B-3256-4147-93F2-C8D85AE521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F96142-0929-4148-971D-C8B0D0E7F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A1CDFD-D3D8-4E16-B82E-A82B3B16BB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7B019-1C3F-4B29-B459-4E59448275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8148C5-8F05-49F9-AD46-E661DB9034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9D091-134E-462B-8B22-0219D25DE6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2475F1-214D-4700-A056-B937D4D72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D84AC4-61DC-4E98-9909-6D43C6091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FE64E-9F14-417A-ABDD-286D26C976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94974F-CD5A-461B-BF49-FF64B3E48A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B7F0B5-E1AC-40EA-8742-CD34BB28B6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94564E-DC7C-456F-A2AD-B8E86105AC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6C30BD-195B-4478-BCAC-DCE128A03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F281FD-3BA2-44FA-9789-A0416807E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DCFA5F-FE61-4D1A-9E80-8142F5BB4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6DB1B5-D582-407C-97A1-B92444E99F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01D11-E7AB-435F-8FF2-B64C4AB40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90B87E-7CB7-4192-A936-F11F9A6EC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7544D2-E367-44A4-A942-53690D05C9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EE5F-3DC8-401B-B242-A483A558F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18C09-FC0F-4890-B6B2-C0639F472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A67EFA-29C6-4DF9-859E-7507150DBA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789A46-7225-4C39-9E3F-BC8E48B498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0B3C18-BF46-4A2D-A34A-114AD313BE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904F9C-5452-44F3-9C81-7A9E88ADB9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B4D7D9-2A7D-4EB9-9D93-7434CBDEE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A7037-A200-42D8-A844-48AADC531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FB5CF4-8207-4E53-B3BF-804E00C08E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500E28-EC2C-4AC2-B9AE-7EE690D62D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E6E6A-D77A-439E-81E8-5C5B7A593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86BE50-C17B-47B1-89D4-A6AB889F19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3A0708-154F-4C84-BB77-9B26CAA4C8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CAC1D-8F83-4052-884A-8412F2B0BF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1F7CF-D831-4414-B4F7-46FFFF9FA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656C1-9F40-4638-ADCE-89D73491D3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61658-1EA5-422E-82FD-7A94D9CAA1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B43E25-8D60-45B6-8713-84EF40106F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AEDF22-364F-40DF-AD29-F0E00E7EFB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01A1F-0EDF-4D86-AFF9-FA6496A1C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A3781-2270-4E05-AE7F-D162C18BA4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1F7047-4A02-4FB0-805D-1FDD1F61A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A9B39-425C-47DB-A6E5-44F0B55D26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9AB7B-B3EC-4D5A-892B-95F77C2770C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ACD725-D30B-40CE-A806-5150308B5FB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82F023-A976-49F4-BFD4-12982E80165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6C78E-F2B5-4DAB-AA85-D4A9A455CC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2E8CBD-D730-4869-B2DB-85356B3BCA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D612FD-2DB9-4DB4-B1DF-773F481B955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7551B4-19BD-48D0-B076-B034F8A8F3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A0DC30-3A3D-4A45-8F57-0D84DEE215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FA6357-39C5-4EB1-BA40-AD84B514C8D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05101-D77A-4FE3-8FC8-5A0423FDED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BE20F8-0A16-4902-99B4-D49A1F9F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545182-B45B-4EA0-8AE4-554BD715A6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31B2E6-650E-45D4-8697-E38D827372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EFD246-1E6F-4E76-90E0-3512ADA862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004BE0-53A9-49A1-BD93-07AFE1613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671A90-F402-4895-BE18-DF720A21C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E6F7F2-E653-4BBC-B825-E6328127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778664-DF0F-47B1-9F2E-565DB53D62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5ED08D-33ED-422F-A1F0-971685B36E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88E0DF-090D-4219-93E6-7C16354BA5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024A2B-E6B2-40EE-B946-1809381067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9A915-4DA7-4B50-8CCD-EC574C3CCC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02FB9E-DCD5-4D7C-AEBC-6BB810711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F0517B-CCDD-400E-9A62-19FE6A71EB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EB7187-C7E7-4397-AECC-B07A1AC96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865D74-D572-4461-9331-507F462CD8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8A1440-ABE2-4C6A-917F-D1DC6A52D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6E8F17-8920-4956-8442-5D60EE2E3D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C48D1C-36CF-4291-B539-0199343D81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EA206D-95B0-4DA4-BEA6-97447733A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DD80F7-4293-4AA5-9B5A-61DFA6B01B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6B8DF5-5312-4028-B01B-89FC3EDF42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7933B-9523-4DB9-BA4E-C6A1E67A3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BDD34-FE7E-48F4-9B5C-EA16F8D47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9795D4-A36B-4ABC-913D-AB26B11EC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F5C844-35C2-415E-9A7F-54BC334671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EF6DD-59FC-4DD3-9C93-2C7092097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C6B141-3B52-4308-93B5-088FBF5517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C4F16B-77DB-4FDC-BC6B-D356747AAE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07005E-1668-4530-BB9D-B151B5D5C5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69E7DD-8965-43A1-A07C-ACB38EE36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DCD5-DA51-4EC9-ACE0-471631990E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2ED55-FBA1-4335-9881-5F326C425C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3BA28C-A315-4467-B1C7-B720AF67BF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6AE48-2A7C-45C9-904D-3F60E334B2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FDD6C5-1603-44AB-96BF-6D95046AD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3A71F-4F81-4A23-AC35-A10A31FD47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F9F7F-02F5-459D-8EEC-40BF41A483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A07F7E-4592-4854-B48D-C026A3223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FC21FC-CBD0-43E3-A83B-1EDFE9CB73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69A58B-DAEE-4977-871C-A1F57434E9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0CBED3-E16E-4AA6-95D3-1E7D6665B6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CCBA15-563D-43C2-96EA-22500FEE4F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E1B23F-4257-4B3B-BCD8-93270DB867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C6501E-E693-4C95-A3E8-B538C02D8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52018D-A36E-42DE-BFC7-F873DA017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32D330-0944-4989-B9CE-AB25B7B29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C3B98B-0602-4461-9497-80AA00DF6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B0886-74A1-4F05-AD22-CA1AB69A5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8D1BD8-F942-419C-B7F9-A409AC9885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05C8F4-4E62-4AE2-BC59-D4C59771D3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A2E48-C436-45A7-BBA3-2F11CC866B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06088C-F4B1-4611-B2AE-AB8A0663F7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6C526C-2E0C-4532-BADF-22D94147B5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2AB288-73F4-4788-9E9B-A8F1C9D93E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B82A26-C98F-44E9-B82F-18AC0D1B45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81F06D-48BA-4A54-8AA2-BC9F4468C4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1CE82E-A284-40D8-B256-D5071CE0D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1932E6-3F5C-483B-92E0-02DBF3746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1E6818-7368-44D8-BED2-2D34A5755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1B27CB-5096-4CA6-BE21-371EAC46E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540F5-C6FC-4326-B3EC-BFF1C0FB21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FF6F1-2A00-4A06-9840-6AD52AD9E9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B48540-5764-4F6A-A2C2-54005B4E3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86E2DA-D0EC-48A5-93A2-423AA551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12B64-358F-4EEE-BC7E-A5A4891472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96007E-8EFC-4F49-99D0-42BC3FBD4B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53E049-0FB1-4825-BF71-49CE818FF0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1EF02-9B07-43B5-AF16-AE71F59C57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C742E-7CAB-4B4B-8A86-EC472AF40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DB711B-5F00-4ECD-ADFB-493223267B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CAD007-1FE5-43A7-9410-5CC6AE9FA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432080-5279-46E1-B111-4439954CB9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BD844D-9C6D-405F-ACA2-AFE80F57BD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668D23-1D35-4782-B562-1313BB2883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01B43D-01E9-475E-B4CA-4BE3BBA690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2E0A8-96B8-4393-8D41-41351E9F4A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108566-7E36-4D04-9C24-B94EBF0B20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32B132-ED68-489A-B08C-EBD7C2464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698B1-41DC-4E8B-A067-69A857066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F34471-BC4A-4795-89B4-0216C34B9A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54826-FE70-4A1A-A201-D49DC6A37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17514F-B734-4D48-BFA6-BC0BFCB73F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351713-C54A-46C7-A021-D0EFB772B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74C6A-832E-411D-8761-3DB54A30A4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777B0F-0581-4B97-9F71-52A1885FF3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EFF715-85AD-4473-B160-9E4008B8A5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409949-F9C3-4B44-AA8F-7C46191603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66D1B-F65E-4573-B332-98F77ED33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B32438-13E8-4EC4-B706-6AB56499E5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DAD5EF-DE6B-4CA1-8FE2-45725DCD88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306EDF-3D1E-4426-9F74-5428A77122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B71EAC-A418-48AF-A282-19F6CE5A7B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14C08-1623-4098-9738-B4119903EE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4C59E5-689A-40E0-A6E5-C749AA078E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ABD4F-1C10-4A87-A819-F7B6019F69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FE23B3-D0B3-4949-8C5A-6CB975E373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A58B95-A6F1-4908-BA72-F0834F89B9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B75F30-BDF6-41E1-AADA-3C22717C34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498C90-1D9F-449D-8507-F8D60EFE7C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1E5DE4-5ACB-407D-AF68-9748446C3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39139-F34E-4411-8539-B55B8B8775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9B0D-FAFB-4B4F-849E-D820ADD26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3E6AA-8DC3-4FE8-B190-6F89166BC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A52A5A-8F7C-4FC2-B858-5B1C27B4C8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8731D5-A6D6-43F7-BF38-9EC95F04EF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65848-0641-4357-8739-86E64519BF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96FA8-E8F1-4F9B-8C3D-7EE5222148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7E7B60-11B7-4FFC-AC6B-7FE0E919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5704A0-BBBA-479A-884C-5164F1BFBB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661FB9-9933-4C29-B38F-32DEC73BFF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6B324-7D32-41B7-ACD6-C3F01FF19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29400D-2298-4443-9518-A89EE23997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C2D3E-F56E-4E9E-AB77-750C758A9DF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E1108C-0FF7-421B-930B-517A1E712C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D9D4BA-793F-4180-96F9-60F7C07DAC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F3D9D8-4F72-470D-9D72-4CD4896CC7B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9363C-D77C-4122-B641-00BB828CAE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E2E56-73FB-4393-88F9-59774267350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4D54A1-EAF8-4C77-9616-E45BB3E2058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A0721-9EB2-4166-829D-3CD05EE14AE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81ED27-23A0-4F1D-AFDF-A40350392D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9DC6A0-C665-41BB-8E63-2F4D753A9F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ABA50-81DA-4072-934A-4D73CD4EB65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17E39D-CE42-4357-B797-5DE3BEC75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5823DA-60C0-4D28-8E95-6A25E46DE06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F1AF-5D14-4BDF-93AC-5B253C8B4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C9D449-CD76-424B-B778-E354DC4167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D373A-1F9E-4364-A1C2-1DB2132D447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C7957C-D052-4DB8-AE33-9F59D9B889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F6D5F-4523-46FA-9F79-8C5D689FBB8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EA3061-2CB4-4FEE-B155-E46C630BC9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CF9234-05B6-4A38-A5CC-AD5E11659A6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E6147E-D011-4C56-9207-499E35E2D88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5BA00F-FEB7-4309-BAE9-610FB94850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566794-9DEE-4225-AAFC-5676D0DDA51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C88A00-9291-4043-BB77-737B938A4C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BDC51B-931C-4EB8-8BC7-D76BF0D2CBB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42FB4E-ADA8-43E2-B5AC-84E154738F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D6BF3C-4D2C-4A8D-8813-791476E45E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EE4906-7E73-4C86-B265-2C65EB5C39E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F3168-05A4-4DD2-8F4E-90212AA01A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D534B4-8328-46B1-A136-E010A42CF1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4850CA-34A1-4CD0-B3B9-8D1F27955AD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DD570-7C2C-4544-B10F-7F82AA0EB2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0D600-0C6A-4FCC-928E-38F2C11430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7A160-D584-4C8F-A8EB-B1886744A5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E5CDA9-6D50-4CE3-908B-AA30E06232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13360C-AF0C-4AE3-AD43-94AA9EB44C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8AB-D93F-4328-B3B1-7236B16CB7C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380BF-80B7-4264-BD4E-B52BAC067F1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DB2E53-263E-4DDE-8752-7A8F2FB155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139F7-37FB-4C8F-B4B1-2D30E60B11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6ED5D-EB76-4C1A-ADFB-1D6331AEAC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E8A86A-BD95-4E12-9AFC-77631902E9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529F53-CCC6-4747-B2E5-EB3D8BC1D76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1BF227-6B79-41CB-B43B-6E8B3ECB01A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2262D5-7B57-443A-B3CA-7943F14E1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565B9-81D5-4B7B-AF8A-4DB38F354D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D77E83-8423-4B17-98F0-DD033F3ED0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34CFF7-0836-4F4E-AC46-11C5A59FF6F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9CC198-707A-448D-8AFC-7EC2DDAFB6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A16869-4AED-4D58-9B3F-CECB32F4EA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DED8B9-3D5E-48E6-B538-1215702D59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FFCC8-A587-461B-A863-6C62D9FBE68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0A32C-698B-4306-AEE7-365E4F4691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179565-BBA0-4E2F-8813-05914AEFC62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35AC3-EC57-459C-BB7B-02142C7B69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1AA2D1-FC5E-4D82-AAD4-8E9D43D0634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A52634-5E13-4D06-8DF9-029F9BC413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1FD53E-238D-43B4-BB55-69FF493D414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4B66D3-18EB-43E7-AC16-53522F71AE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1FEFA1-9A36-454D-BA9F-48A4A7EEED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186F6E-EA29-42E7-85C3-7063B55D493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B7658-8909-4ECD-A822-67AA9F9BCC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422011-C48F-4165-97C5-4CE5F68CEE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18D399-D7B4-4269-B4BA-A2AC0C3757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758229-79D4-458F-9A64-3618273A3D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80D82E-0A53-4215-A09A-70C203FFF4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C74D3B-C92B-4336-B710-28A8E55A83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30D1EA-1469-4A19-8C50-71CDA99AE3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571648-0970-4178-A1FF-7F20DC20775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B1E298-19F3-446F-873A-2416B8B748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A3B4C4-8F25-435D-B9AA-7536F162A3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3BDA71-260D-46E3-8BD7-FBAD432CD6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3554DF-FFF8-4599-9A7D-41E0F5940B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2E910-E35F-4D20-B4BE-8266BC88C94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38404-CC1B-4C75-87AE-CF28137D54C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833BF4-9645-4383-971E-048AADF9A05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14BF2-E091-4A3B-9690-7505A35697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A068D2-F72C-4862-8A39-CDC6AE0286B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99A1D9-8C7D-424C-8EC3-99E08DCB372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E747E3-5A79-4D9A-8B49-FA0E467F90D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B4C81B-8644-4445-9ADC-22BFCF682C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A56A8-F8C4-4BD8-A9EB-85F8B08D783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84386B-FDA6-4B4C-AF91-026561DBA5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1DFDC0-CDFF-42AB-91CF-97588F55DCB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F73654-ADE0-4E5A-9F66-0E61F51788A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D5B1F-EBBE-4D2A-9B2C-06382D57F63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EFB1E0-D730-425A-8DF6-D13A63FFA59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90743-E4D8-47F0-B847-8074823484B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98E04-F4CE-416F-AB81-C875F255F5C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3CCAE6-4ED7-4656-A666-95C3D3072F8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EDAC1-5385-4931-8E81-785751B282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D453A-34ED-4E41-A4F1-584ACA1F64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084D4A-AE01-41DE-9DDC-ABC4025F0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96063-3CD7-4FC5-8442-44C530FAEA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4D6ADC-3030-4810-B9F0-06F496DF930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09830-648C-4E2F-A6B1-8D3B272FD6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1139A7-7753-4A9B-B1DE-919E38D88E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198B06-E5A1-4AC8-BE13-EEB991CC60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969F-DC53-43F1-8080-0F0B37392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443A8-D4F3-4D8F-A465-E5002DC2B10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D0A4A0-9651-407A-96EB-CE4CFF99FF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152BEA-AE7E-4D52-8193-13E8AE8ED6A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F3675D-DF7A-4180-8E12-540E2B5C55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0FD389-CB85-40D4-98E5-7C9B87EF5D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875AFE-1C06-4D43-B071-3A87C86BD6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52FD2C-60C1-41BE-AB88-DDEB0B6D299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8AE1E4-ABC7-4109-9147-5076555F6A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3E0281-CCFD-4D32-9E0D-3580833E9AF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D6960-70EF-4F2F-BED4-C4B9D547102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51ADD-625C-47EB-AB2E-2A7140BDA5D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3946BE-B1FC-40CD-AB34-C8DD6EDEE2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0EB16A-0F48-4AA8-8F25-29934EF9693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E23C32-309D-4B41-8903-666B919627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5D3D7A-207E-4D62-AD43-513941F9D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562C1A-0AB6-4CC6-A33A-07C703EE1B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0F1771-96DA-41A2-8FA3-17750D58B3B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B3D418-AC7A-47E0-AE59-373AB8D554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B27F26-E8FC-4DAB-BAD2-2ED55F8FD4E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F6EE3-4F1D-4A6F-A928-9F7E111ABB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A0788-15CF-485E-8455-5B5CBBD723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72E20-B118-4FD9-8A13-ECBED9A95DB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C95AB7-893D-4653-8CA3-A66C777E659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E529A1-B023-4B57-B193-C6B9E494E13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D352A4-97E8-4DE9-BB75-859BC82BD8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CFB1C-8A71-4810-B67C-5FDE51F8C0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560DDC-29EC-4021-8972-62D2E3AA52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6A088-EFE3-4A79-8C4E-DF54D6A868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630B11-9EFF-4AF5-BFDB-80FC85036C7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5BDD4-0A25-4366-8929-0D94DF5220E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F644F-CE16-47C4-876F-35941D07A36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F2FEA2-EE47-43F6-99F6-B845B5B2B0F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314A30-CFB1-4C19-A832-9A42FADDFE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3F0CD4-4E55-4C31-A379-E2400FABD8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3EEA76-B8A7-4343-9EA8-E50F3DE4E30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C1D192-4168-4E66-9FE7-6AA1AF04FAF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2DA770-54C3-4461-BD30-66282CD489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276626-E63F-4AD6-81CC-46CA50050EB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00632C-53C2-4ED3-81BE-09F0C42391D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86E73-6DF4-4B52-A0EE-4EB92D53386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70F08-0046-4BEA-9757-F819CEB072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9593CB-E0EB-4B1B-BE08-0F4B38C677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E6F6DC-4E12-4294-897B-0A3AF73C94C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63B2B-6084-40FF-B82D-5C98EB4154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7697E6-E543-4F2C-96A3-6187B048E35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4F632-C9EC-4800-96A8-EA091122129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6C5C6E-ABDC-47CE-B6B3-0D3A820F6FA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70FF0D-E48F-401D-9EC4-11F975959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7AAA75-FE39-471E-836D-24E658FEE8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B90AE-6160-4678-88C5-4F09C23B26F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D78015-C0E9-4F30-9500-73872974BA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C6AB6-82C5-487C-A746-987FFB3217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C5381C-C682-49CF-94CD-4C674EC970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97C01E-AA1F-4620-92E0-423C1E2EE28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EF0FB6-247B-4900-BA51-27CA264DA2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0BFD1-F959-4A62-B97A-FA29A58DEF7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07A7F-2E2B-4FFA-ADE7-B5D0940410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C0F98F-9791-4476-B7BA-444F801DA4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D7A06E-BEE4-4D6D-99D1-DE7AD66D8C8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2A5FD-BA5D-4163-AC3B-A362DE30323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856D3-905A-4EAB-BDA0-5BCF632E25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71705F-5A95-4D35-B320-4EAC75D4071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CB9B4-0D89-4B40-B506-4495A8BBB6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15878-D365-4E08-8479-9CC108A172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02805-6CCE-41D1-921F-5718B00E7D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E4016-18B9-44FD-9B20-77CEB7179E9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79C78F-DA6F-4BC8-9307-D503FD1BDF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7E084-BEFD-4F8E-954C-2EC6FCAF0A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27DF-A2B1-47C8-9825-5F42C6470B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AAB047-DBCA-4A6B-A912-024F86E899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90764-5DDE-4F2E-AF3C-0FA6899130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7BFF6C-5358-4BF7-904C-C4E6D8DB9F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AA4F90-ECD0-4022-9F61-C119DE70914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D65E9-05CA-424B-A364-EA2EC001A3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883CA8-2B7D-4A70-89AD-D4A9EC560AE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9EE945-F59A-4969-94EF-F42269CDE52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657DB1-5E05-4FE5-9277-08361E902C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18D28-4636-4B38-888A-CA3D71675C0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5066E-15F4-49B5-AA62-36C096B26F7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FF0CAC-C00D-4D41-8415-1732CC30262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13EECA-F707-4C11-B1AA-8C2DC94966B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3C7C0E-3379-483D-9C2A-2AE7A72111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EEEBE-71BD-4EE4-84D8-0D89E3CF87D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5CE7E6-C888-4EB1-BED7-EBE05635BEF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6E69A1-059D-46D6-A58C-8BBE089E39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220CA-D406-44CD-B518-DEB5EA64853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2883F-CEE4-4173-8553-EAAB7B8A6E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D3579D-2BD0-4541-9098-83A11208D93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58DC4-21C6-448E-9AD5-4A9DA6AA1A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94C5A2-1188-4545-9440-69F1CB16F8E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4CFD3-107C-4F32-8D95-B5999B08F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449F44-DCDA-45A7-A8F4-DD92BF788A6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BCA7DA-C0B0-44A4-9E83-E04CB223EE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73C18-AC37-448F-942F-2BD5C66091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7AD94-F11C-4DE6-91F5-52B96B2AE5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D993C0-F9FB-4EDE-87B3-03E0E0C121F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EE7F89-77DC-4D54-806D-E5E5F4CD1C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EB647-1280-4AD7-A57C-F5C470C99D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21594F-2382-494C-9D72-56D7BA1B846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E664CA-91CD-4357-8B85-327C53C633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B4EF89-F980-461A-8A11-98ED92CA06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257C51-4414-4F64-A08E-68E985D5A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145A47-BD36-4E1C-BF5F-A843C3CD8F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69012-191C-4F84-88B2-313E82490E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FDDD43-0F9E-4A82-BD02-26A53DF38C1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AFF83-E63B-4DAB-B006-854F2D9AD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27F04-41E1-4C7F-A685-2DB0E5C9CE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20096-308E-47FA-93E3-753C0E8D35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D1D85-1336-44B7-ADB3-AAF3AADE435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EA74F5-1F06-4A18-AF6C-4C2BB61E79A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A42FAE-BE35-4611-AFDF-2FE82E9871D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F9883-52D5-488B-A796-CC298A07E2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7646D0-BEDB-4656-917D-701E4B163F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A3E059-290F-4C62-9233-461F91745D6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435177-F496-4219-810F-BB8E5753A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C5993-31A1-4FF8-AABA-EA37C34CB4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FEE63F-D62B-4141-8162-CDE1D7B6F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0E443-990F-4DFA-8FAF-0B165C716F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1CEEB-FDCD-481C-A9F2-A2F1485551F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2C76E7-6463-4046-80F8-DC03A58128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ABAE0B-7F7A-4643-B40D-18DB45EC6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D37D7-F942-4284-B542-5405414BA2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D421F5-6BDB-4ED1-8DED-C1AB73A862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9BFB25-C36C-4E80-9491-09384D047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FC70A-706B-4460-95F6-1BE8B197B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D75FED-7895-4251-BB4B-ACC3FB6DDD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50E8-5105-4715-BAAD-303C0E8138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A9731-FEB1-4D79-9E1F-A727F79E81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90F56D-F82F-44D2-85B0-94FB87DDFF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B389C1-D959-4077-B0E0-0ECAB4D3FD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4A11E-AEF5-47D2-8E70-7349F7D4BB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1746C9-75CF-4460-A9AC-146F76D31A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41A6AB-AF3F-4612-A329-7A618AE7D3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2BA00-EFBD-472C-9084-619198CCDC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78E8B1-301A-49AA-80B1-3D27FCAA22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B03746-9085-41F7-81BF-44AF3521D1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052F1-56AD-4D7E-B1E0-31B59E0EB8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B3243-85A3-4813-B950-4DC99E2F34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3F099-EA00-4A63-9CBC-710385A1B2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35D226-CE27-4C37-BE3F-B57A38525D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025BE-3A62-455A-827D-35034F3A0F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7BB7C2-691D-4FCE-9181-A368F61B02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953AE-29C6-4E50-B629-9672741D32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D28651-4954-4FDF-B485-A50FF717F5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19DBAC-9119-4A2D-9C0A-A75C48B55D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792E76-6688-48A5-BB93-8D45D6A07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1D7667-FD96-41B4-A0FA-23FF6891BF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FB07EF-D76F-4FBE-91E3-110735D89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78E35F-4187-4D7F-A4B7-5B35243F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DD17A-7FEE-41DE-AF1E-C3273DC05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52F5E6-1260-46D1-A13F-A77956A29A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D8568B-8994-45B2-99D4-0EE7156573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52-2CC5-4A68-A404-F0C6ECC28F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C86D08-3730-4CB3-BE91-09D448F5A2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E4D191-4243-416E-87F6-AB79A54B23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D6B5F-12A9-423C-9DB5-B39E8DAB8B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C013C-45F7-4C91-8FAE-5F121F0020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54544-67DF-4CBE-90C4-CE1B7B38C8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DC15B3-0947-48B6-B9E3-9EDB67A042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EB3C0A-79AE-4D72-8E7A-2C544AC288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C0CC5-3D66-4749-9745-D092DE89AC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C22117-4DA1-4935-B6EE-FDC4B58831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ABCDCC-8B63-4037-A02E-689FB18FFB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63911-FC42-421A-9E27-8F92E84371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BAC0AC-B0F7-46B6-944E-F991041546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A79AF6-FC39-4A50-8DEE-2269FED0C9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7A26C6-D80F-4910-B5E6-7FCF2A727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C0C79-C804-403B-A4C6-9DE7E62464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CBBA9C-C9F7-4DDF-81B9-03A754BE7C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5AAC12-7B71-44C6-8DBA-B5B06A02F2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3FC9B5-16A1-4EF6-9A71-02C72C4A69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F5A197-A359-454C-931A-ACF3982D5E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280FC3-525B-40C3-B30C-845FEF0E79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9C2FC4-8F6B-4A3E-A15A-4AB4A97F3D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2752B7-F685-4980-86C0-48E425B45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D86E1F-7730-464D-8024-375D13F9F9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4A6512-B210-4137-B857-2AC524841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DDD6-7095-4E7E-8801-82074B537B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2B2B41-5628-4B71-A0E4-64079409A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1CD161-7C88-4AFF-80C0-8F5FBF8AF5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A6515-4489-4CAB-991E-2203425848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44654-DCFC-46A5-A2E3-F8DCA08345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DBD245-6A95-4E1D-88F7-A9AEC8CF59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85D0D-EB6B-414F-B453-2927645DD0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6798DF-5457-4F55-AD79-460C02C7DC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277135-D4E7-42F7-9F56-DB607C1B39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2ED8D-7ABF-464C-B62B-2321AC4BE2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03FA88-E65C-4810-9989-9D8A37F28E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E6063-D84B-4DA6-9D16-F505A96ECC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4F968-CB28-4C47-ACEA-92DF4640E9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78750-6AE0-4575-B1AF-C43937A485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82E9E6-EB19-4AB5-BF4A-ECD28BB265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00AB5-57F3-4876-AFEF-29FF5687D7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A5A940-CFAE-42CD-BE81-A3772387F7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1695F-B008-4E64-961F-3B5D5E95E6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92E4B5-988A-47A6-AA5A-475F82B67A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7630C6-1DD1-407B-868C-71155D8BDD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2504A5-37B9-4702-9F8A-4C85A903B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AC0C-2E25-424B-8A0D-35055F8B4B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76C8BC-D2F8-47EA-863C-A09EC0D9BC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36A554-E50F-490A-BCB7-1B0D9ECD6C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713634-CE10-428D-A122-9F5250DCDF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626FC-3497-44BB-8B1C-AB2011E62C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7BD64E-A4F7-42C2-8150-F9660E0595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684D86-6474-4BBE-BEE8-95D1A0BD0A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057C5A-D219-49C8-9FA2-BBDF0A16DA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9D772-2397-4134-BF65-7E82FF93F2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4695A4-E33B-46FA-BC4A-C8F2773574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5453C-384D-4554-AF39-6B0DADE701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8A9CA-2E77-4333-ACF5-83064753BD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A3AEE-3D61-4147-BC64-514D703902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9AFAD4-E08F-495B-98E8-672E1A0DD8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CB2691-8F75-47B0-A820-B172571C81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57D3C-2368-4E46-B910-FD8FF81FAE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996A4B-BF48-4C72-9F61-AE2C6D5060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C766C-D899-4AD7-824D-F1A70D150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1E918-C764-4FB9-B53F-B9A04B6CE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4DC3D1-C05C-40AE-97FC-8D80EABA1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944344-7E41-4B40-A859-5E4770D1E5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E2A9B3-E150-499E-8FF6-38E0D8A7A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E6E028-A42A-474C-816A-CD54C277E4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CD1AE-79A0-4350-BBFF-A5C6F7678B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51E238-AA43-407D-9143-2A4A46D54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0E2476-3081-4EFF-98B3-487DD74F5E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10225D-9AB2-41BC-8511-FBFCFC403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B9189C-9061-4BFF-A039-B9FE5519E8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EBAE83-C44D-4212-9796-3B5DCE446D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2ABE1D-BE76-4FED-97E8-14CE6D312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9A2CA-71F9-4BDC-8F33-9C303C56F0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D56D4-E8D8-4F62-952B-9542F311CE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4482CC-5238-4927-A757-9D4D44D132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574C26-9165-4DFA-85B4-4AED8AA033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9C29C-3E6E-4E69-9C11-AFFC26146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66CBCC-83D5-40EC-A85A-EF9F03EF5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52FF99-1C12-4BE0-A40C-21A79620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08DDD-F9AB-430D-B3F5-D93EA2755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926A55-9ADE-4E87-AB1B-66E6177B8A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E0D16-B270-4BA3-8919-24088A573F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5A4712-A6ED-400A-89CA-BE1622799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6CEF-D304-45B7-9E6E-3FE9B14E58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B758E0-BA20-4759-AB7A-B67970F14B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380AD0-2461-4B7C-9F3C-46781F0126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50DE95-921B-41F3-8B25-24F9AAE6D6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1652D-EA24-45C2-BD68-F80DBD3328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50C2F0-758E-46B3-ACC5-000B9C491D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C9F838-BF43-456C-BB54-562E10F3EF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45D8E-A5E8-4F7F-974A-766C5B8806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A4901-FB32-4048-B22C-31C50F1E9F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933D8-C236-4EE5-B89F-97A12DC68F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813690-6BDB-4B95-9BF7-2C77BF4F39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1FCE4C-62C6-455F-9F7E-FACE5146E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E9F2B7-AE3B-41E4-A48A-8452FA9A9C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E3C834-8CA9-4659-8E39-E50D29126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0DCF17-1F4C-4A67-A733-20FDE67024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76B402-7A0F-4DE4-8FC3-203577768C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B276F0-D240-481C-8008-A00F79C351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B8981-BA26-4C5B-A0AF-F0E9CA6D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1B501-4AAC-4CF7-97FA-1DC66DDAC8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47914-6E5B-4486-8953-14920AC8FC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0232B7-A2F3-4EE3-8BD5-F65A86BCFA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4294DF-500D-4588-8015-B53549AD23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2D914-2B56-4CAE-AE91-110940400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94D3A2-65F5-43B6-AC5D-108316EA3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C6D8F3-A247-41FF-AE52-14D39902E5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76823-6884-4BA2-AA57-7B4306BC1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7F38D-6FD3-452F-9A1A-82C5D1019E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34C3E4-162E-42D7-99D4-036E87300B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499A4-C7EB-4329-811A-19EB775EF3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27E865-308A-4328-9898-8EBA01279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EA5E03-46D4-411D-87F4-25C6E9802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633108-3E88-407D-8693-939B54497D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5C4746-E569-4D3D-9015-4F10814ED5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560597-6CF9-46F9-AF3F-0C4A2E36E8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90C7F8-F30F-4A4B-A032-9E74A5B8CA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497C5-E045-4373-B466-FFEDD1FF15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B907CD-DC8E-4AB4-81D6-28DD4B08D4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AA885-FCC3-49D9-B475-251D1FFD5C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1448-05E6-4BA1-B6E4-07AB8201D1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C1EE3D-8A8F-49D2-B53E-F18D35B31C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0C0894-E988-49B1-8D19-4C688FCD1A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BCD49A-AFAD-4CF8-8646-E61FED8196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649F12-E0FF-4492-8EE3-8FD2826DB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C4E331-1C67-4D92-BF62-F26C5B548A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24039-362A-4067-A2D1-D89E5F9CC9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DDA741-E0AE-48D2-9D21-A84F1D695D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11F7D7-6987-442B-8472-4FC3C6954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0B6903-C19F-4347-8624-C21BC1DD92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6CF564-305F-48DC-8CD3-FDB69ADD94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726A1B-B533-4D9B-9A0B-2BB5055198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6C8E03-60A9-4DD6-957A-BDCCC031E6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6056E-0C1A-42D7-B7DE-B4CB0D1C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6392EB-BA1E-46BB-8DDE-212E79D854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EFF851-22F1-40CA-836F-8BADE833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6EBF0D-0E8A-408C-AF27-063C3ABB56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88BB8A-0A89-4BB2-AF96-40EAAD211B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BFD8B1-5CAE-4198-84C0-CA5FEC69C9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55D0C7-8BB5-4B15-BA07-B718464D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44B30-6164-4F1D-8DC8-7B4E72D57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9156A1-E7EE-412B-8019-FA0C8B0DCD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01F1C-8274-4506-B190-5DED8ED488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24073C-9880-4AFA-95DE-6C2D85FDFF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07250-6E25-4B26-BEA6-A7D646666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2C771-8779-46B2-946E-ECC26B59CD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6E95BE-59E8-4F65-9A51-F63BD50B30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8DE9D-16C2-4220-852D-111A1ED3D9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C31912-7702-402C-9A0C-FEA7F8D222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9CE35-FA70-499A-88CF-6B8D68FDC8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56B35A-E8D7-4E3D-9F3D-B581DFA19E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2AD33F-58F0-47BA-B63F-F6ECA02D35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4DBEA2-7048-46D5-9813-254A11F7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5DA8D-6657-41EB-AC00-E009F42EE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CA434-B401-4333-9E6A-3FE27C665E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AD13C9-241F-4DC3-BE25-CE7909AEF5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7D974B-B252-43BA-83BB-92067099C3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07F50B-DE5F-4D23-8539-6D330F04C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70672-4B19-4488-BE87-0EA8B7840D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111FFD-D7D9-467F-8E0A-BDF8F80664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0E770F-1093-4B98-AB41-2D374E584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C6D5C7-5681-41C2-8C6A-A34DBEAF94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C1EFB1-9333-4383-8CE7-D7A784FFF8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75D1A-E9C8-4D74-B35F-49C34C2C5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EDC9BD-03B0-4B95-A11A-4C2F13806A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A3E47A-59BE-431B-9500-12055D2DE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8D9390-7614-4929-B0CF-CF79D8676F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F5F5E4-6931-45EE-A785-B8D2C58ECA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9941C7-E922-460F-B6BC-C53A1E4EBA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DC1BC2-C358-417F-A863-58F8EE9A1F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1248DF-0F01-4D20-9C40-8A6B661AB0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FN-%20INVOICE%20Format-2026.xlsm" TargetMode="External"/><Relationship Id="rId1" Type="http://schemas.openxmlformats.org/officeDocument/2006/relationships/externalLinkPath" Target="file:///C:\Users\user\Downloads\FN-%20INVOICE%20Format-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EY"/>
      <sheetName val="COVER PAGE"/>
      <sheetName val="REF DOC"/>
      <sheetName val="SUMMARY"/>
    </sheetNames>
    <sheetDataSet>
      <sheetData sheetId="0"/>
      <sheetData sheetId="1"/>
      <sheetData sheetId="2">
        <row r="30">
          <cell r="G30">
            <v>0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">
    <tabColor rgb="FFFF0000"/>
  </sheetPr>
  <dimension ref="B1:L13"/>
  <sheetViews>
    <sheetView workbookViewId="0">
      <selection activeCell="D14" sqref="D14"/>
    </sheetView>
  </sheetViews>
  <sheetFormatPr defaultColWidth="9.109375" defaultRowHeight="13.8"/>
  <cols>
    <col min="1" max="1" width="9.109375" style="52"/>
    <col min="2" max="2" width="25.5546875" style="52" customWidth="1"/>
    <col min="3" max="3" width="9.109375" style="52"/>
    <col min="4" max="4" width="24" style="52" customWidth="1"/>
    <col min="5" max="5" width="26.33203125" style="52" customWidth="1"/>
    <col min="6" max="6" width="7.5546875" style="52" customWidth="1"/>
    <col min="7" max="7" width="9.109375" style="52"/>
    <col min="8" max="8" width="4.44140625" style="52" customWidth="1"/>
    <col min="9" max="9" width="19" style="52" customWidth="1"/>
    <col min="10" max="10" width="17.88671875" style="52" customWidth="1"/>
    <col min="11" max="11" width="11.44140625" style="52" customWidth="1"/>
    <col min="12" max="12" width="11.33203125" style="52" bestFit="1" customWidth="1"/>
    <col min="13" max="13" width="7.88671875" style="52" customWidth="1"/>
    <col min="14" max="14" width="2.6640625" style="52" customWidth="1"/>
    <col min="15" max="15" width="11.6640625" style="52" customWidth="1"/>
    <col min="16" max="16384" width="9.109375" style="52"/>
  </cols>
  <sheetData>
    <row r="1" spans="2:12" ht="14.4" thickBot="1"/>
    <row r="2" spans="2:12" ht="33" customHeight="1" thickBot="1">
      <c r="B2" s="53" t="s">
        <v>0</v>
      </c>
      <c r="C2" s="233" t="s">
        <v>156</v>
      </c>
      <c r="D2" s="234"/>
      <c r="E2" s="235"/>
      <c r="F2" s="236"/>
      <c r="G2" s="222"/>
      <c r="H2" s="223"/>
      <c r="I2" s="223"/>
      <c r="J2" s="223"/>
      <c r="K2" s="224"/>
    </row>
    <row r="3" spans="2:12" ht="15.75" customHeight="1">
      <c r="B3" s="54" t="s">
        <v>14</v>
      </c>
      <c r="C3" s="229">
        <v>260103</v>
      </c>
      <c r="D3" s="230"/>
      <c r="E3" s="55"/>
      <c r="F3" s="56"/>
      <c r="G3" s="225"/>
      <c r="H3" s="225"/>
      <c r="I3" s="225"/>
      <c r="J3" s="225"/>
      <c r="K3" s="226"/>
    </row>
    <row r="4" spans="2:12" ht="15.75" customHeight="1">
      <c r="B4" s="54" t="s">
        <v>1</v>
      </c>
      <c r="C4" s="231" t="s">
        <v>152</v>
      </c>
      <c r="D4" s="232"/>
      <c r="E4" s="57"/>
      <c r="F4" s="58"/>
      <c r="G4" s="225"/>
      <c r="H4" s="225"/>
      <c r="I4" s="225"/>
      <c r="J4" s="225"/>
      <c r="K4" s="226"/>
    </row>
    <row r="5" spans="2:12" ht="15.75" customHeight="1" thickBot="1">
      <c r="B5" s="59" t="s">
        <v>2</v>
      </c>
      <c r="C5" s="237"/>
      <c r="D5" s="238"/>
      <c r="E5" s="57"/>
      <c r="F5" s="58"/>
      <c r="G5" s="227"/>
      <c r="H5" s="227"/>
      <c r="I5" s="227"/>
      <c r="J5" s="227"/>
      <c r="K5" s="228"/>
    </row>
    <row r="6" spans="2:12" ht="16.2" thickBot="1">
      <c r="B6" s="242" t="s">
        <v>82</v>
      </c>
      <c r="C6" s="242" t="str">
        <f>_xlfn.CONCAT(G13,"/",H13,"/",I13,"/",J13,"/",K13,"/",L13)</f>
        <v>SLTS/FN/26//JAN/01</v>
      </c>
      <c r="D6" s="244" t="e">
        <f t="shared" ref="D6" si="0">_xlfn.CONCAT(#REF!,"/",#REF!,"/",A6,"/",B6,"/",C6)</f>
        <v>#REF!</v>
      </c>
      <c r="E6" s="60"/>
      <c r="F6" s="61"/>
      <c r="G6" s="247" t="str">
        <f>I10</f>
        <v>From: 1-Jan-2026</v>
      </c>
      <c r="H6" s="248"/>
      <c r="I6" s="249"/>
      <c r="J6" s="250" t="str">
        <f>J10</f>
        <v>To: 31-Jan-2026</v>
      </c>
      <c r="K6" s="251"/>
    </row>
    <row r="7" spans="2:12" ht="16.2" thickBot="1">
      <c r="B7" s="243"/>
      <c r="C7" s="245" t="e">
        <f t="shared" ref="C7" si="1">_xlfn.CONCAT(#REF!,"/",#REF!,"/",#REF!,"/",A7,"/",B7)</f>
        <v>#REF!</v>
      </c>
      <c r="D7" s="246" t="e">
        <f t="shared" ref="D7" si="2">_xlfn.CONCAT(#REF!,"/",#REF!,"/",A7,"/",B7,"/",C7)</f>
        <v>#REF!</v>
      </c>
      <c r="E7" s="111" t="s">
        <v>54</v>
      </c>
      <c r="F7" s="62"/>
      <c r="G7" s="252" t="s">
        <v>73</v>
      </c>
      <c r="H7" s="253"/>
      <c r="I7" s="253"/>
      <c r="J7" s="254">
        <f>I9</f>
        <v>0</v>
      </c>
      <c r="K7" s="255"/>
    </row>
    <row r="8" spans="2:12" ht="21.75" customHeight="1" thickBot="1">
      <c r="B8" s="112" t="s">
        <v>101</v>
      </c>
      <c r="C8" s="239"/>
      <c r="D8" s="240"/>
      <c r="E8" s="241"/>
    </row>
    <row r="9" spans="2:12" ht="16.2" thickBot="1">
      <c r="G9" s="37" t="s">
        <v>24</v>
      </c>
      <c r="H9" s="40" t="s">
        <v>25</v>
      </c>
      <c r="I9" s="39"/>
      <c r="J9" s="38"/>
    </row>
    <row r="10" spans="2:12" ht="16.2" thickBot="1">
      <c r="G10" s="37" t="s">
        <v>38</v>
      </c>
      <c r="H10" s="40" t="s">
        <v>25</v>
      </c>
      <c r="I10" s="151" t="s">
        <v>153</v>
      </c>
      <c r="J10" s="152" t="s">
        <v>154</v>
      </c>
    </row>
    <row r="12" spans="2:12">
      <c r="G12" s="122" t="s">
        <v>126</v>
      </c>
      <c r="H12" s="122" t="s">
        <v>127</v>
      </c>
      <c r="I12" s="122">
        <v>26</v>
      </c>
      <c r="J12" s="123" t="s">
        <v>85</v>
      </c>
      <c r="K12" s="123" t="s">
        <v>128</v>
      </c>
      <c r="L12" s="123" t="s">
        <v>77</v>
      </c>
    </row>
    <row r="13" spans="2:12">
      <c r="G13" s="124" t="s">
        <v>126</v>
      </c>
      <c r="H13" s="124" t="s">
        <v>127</v>
      </c>
      <c r="I13" s="124">
        <v>26</v>
      </c>
      <c r="J13" s="125"/>
      <c r="K13" s="126" t="s">
        <v>155</v>
      </c>
      <c r="L13" s="126" t="s">
        <v>151</v>
      </c>
    </row>
  </sheetData>
  <mergeCells count="12">
    <mergeCell ref="C8:E8"/>
    <mergeCell ref="B6:B7"/>
    <mergeCell ref="C6:D7"/>
    <mergeCell ref="G6:I6"/>
    <mergeCell ref="J6:K6"/>
    <mergeCell ref="G7:I7"/>
    <mergeCell ref="J7:K7"/>
    <mergeCell ref="G2:K5"/>
    <mergeCell ref="C3:D3"/>
    <mergeCell ref="C4:D4"/>
    <mergeCell ref="C2:F2"/>
    <mergeCell ref="C5:D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2DC0-A1B2-4A08-B15A-3C79C6720065}">
  <sheetPr codeName="Sheet8">
    <tabColor theme="9"/>
    <pageSetUpPr fitToPage="1"/>
  </sheetPr>
  <dimension ref="A1:N48"/>
  <sheetViews>
    <sheetView view="pageBreakPreview" topLeftCell="B1" zoomScale="60" zoomScaleNormal="100" workbookViewId="0">
      <selection activeCell="K28" sqref="K28"/>
    </sheetView>
  </sheetViews>
  <sheetFormatPr defaultRowHeight="14.4"/>
  <cols>
    <col min="1" max="1" width="3" customWidth="1"/>
    <col min="4" max="4" width="8" customWidth="1"/>
    <col min="5" max="5" width="6.33203125" customWidth="1"/>
    <col min="6" max="6" width="10.5546875" customWidth="1"/>
    <col min="7" max="7" width="11.44140625" customWidth="1"/>
    <col min="9" max="9" width="4.5546875" customWidth="1"/>
    <col min="10" max="10" width="8" customWidth="1"/>
    <col min="11" max="11" width="15.5546875" customWidth="1"/>
    <col min="12" max="12" width="19.44140625" customWidth="1"/>
    <col min="13" max="13" width="3.109375" customWidth="1"/>
    <col min="14" max="14" width="2.109375" style="10" customWidth="1"/>
  </cols>
  <sheetData>
    <row r="1" spans="1:13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3">
      <c r="A2" s="283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17.399999999999999">
      <c r="A3" s="284"/>
      <c r="B3" s="10"/>
      <c r="C3" s="10"/>
      <c r="D3" s="10"/>
      <c r="E3" s="10"/>
      <c r="F3" s="10"/>
      <c r="G3" s="10"/>
      <c r="H3" s="10"/>
      <c r="I3" s="10"/>
      <c r="J3" s="30"/>
      <c r="K3" s="267" t="s">
        <v>68</v>
      </c>
      <c r="L3" s="267"/>
      <c r="M3" s="10"/>
    </row>
    <row r="4" spans="1:13">
      <c r="A4" s="10"/>
      <c r="B4" s="10"/>
      <c r="C4" s="10"/>
      <c r="D4" s="10"/>
      <c r="E4" s="10"/>
      <c r="F4" s="10"/>
      <c r="G4" s="10"/>
      <c r="H4" s="10"/>
      <c r="I4" s="10"/>
      <c r="J4" s="10"/>
      <c r="K4" s="268"/>
      <c r="L4" s="269"/>
      <c r="M4" s="10"/>
    </row>
    <row r="5" spans="1:13">
      <c r="A5" s="10"/>
      <c r="B5" s="10"/>
      <c r="C5" s="10"/>
      <c r="D5" s="10"/>
      <c r="E5" s="10"/>
      <c r="F5" s="10"/>
      <c r="G5" s="10"/>
      <c r="H5" s="10"/>
      <c r="I5" s="10"/>
      <c r="J5" s="10"/>
      <c r="K5" s="270"/>
      <c r="L5" s="271"/>
      <c r="M5" s="10"/>
    </row>
    <row r="6" spans="1:13" ht="25.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272"/>
      <c r="L6" s="273"/>
      <c r="M6" s="10"/>
    </row>
    <row r="7" spans="1:1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</row>
    <row r="8" spans="1:1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1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</row>
    <row r="10" spans="1:1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</row>
    <row r="11" spans="1:1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1:1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ht="48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ht="39" customHeight="1">
      <c r="A14" s="31"/>
      <c r="B14" s="278" t="s">
        <v>26</v>
      </c>
      <c r="C14" s="278"/>
      <c r="D14" s="278"/>
      <c r="E14" s="278"/>
      <c r="F14" s="278"/>
      <c r="G14" s="278"/>
      <c r="H14" s="278"/>
      <c r="I14" s="278"/>
      <c r="J14" s="278"/>
      <c r="K14" s="278"/>
      <c r="L14" s="278"/>
      <c r="M14" s="278"/>
    </row>
    <row r="15" spans="1:13" ht="4.5" customHeight="1">
      <c r="A15" s="282"/>
      <c r="B15" s="282"/>
      <c r="C15" s="282"/>
      <c r="D15" s="282"/>
      <c r="E15" s="282"/>
      <c r="F15" s="282"/>
      <c r="G15" s="282"/>
      <c r="H15" s="282"/>
      <c r="I15" s="282"/>
      <c r="J15" s="282"/>
      <c r="K15" s="282"/>
      <c r="L15" s="11"/>
      <c r="M15" s="10"/>
    </row>
    <row r="16" spans="1:13" ht="39" customHeight="1">
      <c r="A16" s="33"/>
      <c r="B16" s="279" t="s">
        <v>69</v>
      </c>
      <c r="C16" s="279"/>
      <c r="D16" s="279"/>
      <c r="E16" s="279"/>
      <c r="F16" s="279"/>
      <c r="G16" s="279"/>
      <c r="H16" s="280">
        <f>KEY!C3</f>
        <v>260103</v>
      </c>
      <c r="I16" s="280"/>
      <c r="J16" s="280"/>
      <c r="K16" s="280"/>
      <c r="L16" s="280"/>
      <c r="M16" s="280"/>
    </row>
    <row r="17" spans="1:13" ht="5.25" customHeight="1">
      <c r="A17" s="281"/>
      <c r="B17" s="281"/>
      <c r="C17" s="281"/>
      <c r="D17" s="281"/>
      <c r="E17" s="281"/>
      <c r="F17" s="281"/>
      <c r="G17" s="281"/>
      <c r="H17" s="281"/>
      <c r="I17" s="281"/>
      <c r="J17" s="281"/>
      <c r="K17" s="281"/>
      <c r="L17" s="34"/>
      <c r="M17" s="27"/>
    </row>
    <row r="18" spans="1:13" ht="39" customHeight="1">
      <c r="A18" s="33"/>
      <c r="B18" s="279" t="s">
        <v>71</v>
      </c>
      <c r="C18" s="279"/>
      <c r="D18" s="279"/>
      <c r="E18" s="279"/>
      <c r="F18" s="279"/>
      <c r="G18" s="279"/>
      <c r="H18" s="280" t="s">
        <v>72</v>
      </c>
      <c r="I18" s="280"/>
      <c r="J18" s="280"/>
      <c r="K18" s="280"/>
      <c r="L18" s="280"/>
      <c r="M18" s="280"/>
    </row>
    <row r="19" spans="1:13" ht="3.75" customHeight="1">
      <c r="A19" s="281"/>
      <c r="B19" s="281"/>
      <c r="C19" s="281"/>
      <c r="D19" s="281"/>
      <c r="E19" s="281"/>
      <c r="F19" s="281"/>
      <c r="G19" s="281"/>
      <c r="H19" s="281"/>
      <c r="I19" s="281"/>
      <c r="J19" s="281"/>
      <c r="K19" s="281"/>
      <c r="L19" s="34"/>
      <c r="M19" s="27"/>
    </row>
    <row r="20" spans="1:13" ht="39" customHeight="1">
      <c r="A20" s="33"/>
      <c r="B20" s="279" t="s">
        <v>70</v>
      </c>
      <c r="C20" s="279"/>
      <c r="D20" s="279"/>
      <c r="E20" s="279"/>
      <c r="F20" s="279"/>
      <c r="G20" s="279"/>
      <c r="H20" s="280">
        <f>KEY!C5</f>
        <v>0</v>
      </c>
      <c r="I20" s="280"/>
      <c r="J20" s="280"/>
      <c r="K20" s="280"/>
      <c r="L20" s="280"/>
      <c r="M20" s="280"/>
    </row>
    <row r="21" spans="1:13" ht="1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11"/>
      <c r="M21" s="10"/>
    </row>
    <row r="22" spans="1:1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0"/>
    </row>
    <row r="23" spans="1:13" ht="15" customHeight="1">
      <c r="A23" s="32"/>
      <c r="B23" s="277" t="str">
        <f>KEY!C6</f>
        <v>SLTS/FN/26//JAN/01</v>
      </c>
      <c r="C23" s="277"/>
      <c r="D23" s="277"/>
      <c r="E23" s="277"/>
      <c r="F23" s="277"/>
      <c r="G23" s="277"/>
      <c r="H23" s="277"/>
      <c r="I23" s="277"/>
      <c r="J23" s="277"/>
      <c r="K23" s="277"/>
      <c r="L23" s="277"/>
      <c r="M23" s="277"/>
    </row>
    <row r="24" spans="1:13" ht="45" customHeight="1">
      <c r="A24" s="32"/>
      <c r="B24" s="277"/>
      <c r="C24" s="277"/>
      <c r="D24" s="277"/>
      <c r="E24" s="277"/>
      <c r="F24" s="277"/>
      <c r="G24" s="277"/>
      <c r="H24" s="277"/>
      <c r="I24" s="277"/>
      <c r="J24" s="277"/>
      <c r="K24" s="277"/>
      <c r="L24" s="277"/>
      <c r="M24" s="277"/>
    </row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47.2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0.25" customHeight="1">
      <c r="A30" s="10"/>
      <c r="B30" s="267" t="s">
        <v>65</v>
      </c>
      <c r="C30" s="267"/>
      <c r="D30" s="267"/>
      <c r="E30" s="267"/>
      <c r="F30" s="267"/>
      <c r="G30" s="267"/>
      <c r="H30" s="267"/>
      <c r="I30" s="267"/>
      <c r="J30" s="267"/>
      <c r="K30" s="267"/>
      <c r="L30" s="267"/>
      <c r="M30" s="267"/>
    </row>
    <row r="31" spans="1:13" ht="30" customHeight="1">
      <c r="A31" s="10"/>
      <c r="B31" s="274" t="s">
        <v>66</v>
      </c>
      <c r="C31" s="275"/>
      <c r="D31" s="275"/>
      <c r="E31" s="275"/>
      <c r="F31" s="275"/>
      <c r="G31" s="276"/>
      <c r="H31" s="265" t="s">
        <v>67</v>
      </c>
      <c r="I31" s="265"/>
      <c r="J31" s="265"/>
      <c r="K31" s="265"/>
      <c r="L31" s="265"/>
      <c r="M31" s="265"/>
    </row>
    <row r="32" spans="1:13">
      <c r="A32" s="10"/>
      <c r="B32" s="256"/>
      <c r="C32" s="257"/>
      <c r="D32" s="257"/>
      <c r="E32" s="257"/>
      <c r="F32" s="257"/>
      <c r="G32" s="258"/>
      <c r="H32" s="266"/>
      <c r="I32" s="266"/>
      <c r="J32" s="266"/>
      <c r="K32" s="266"/>
      <c r="L32" s="266"/>
      <c r="M32" s="266"/>
    </row>
    <row r="33" spans="1:13">
      <c r="A33" s="10"/>
      <c r="B33" s="259"/>
      <c r="C33" s="260"/>
      <c r="D33" s="260"/>
      <c r="E33" s="260"/>
      <c r="F33" s="260"/>
      <c r="G33" s="261"/>
      <c r="H33" s="266"/>
      <c r="I33" s="266"/>
      <c r="J33" s="266"/>
      <c r="K33" s="266"/>
      <c r="L33" s="266"/>
      <c r="M33" s="266"/>
    </row>
    <row r="34" spans="1:13">
      <c r="A34" s="10"/>
      <c r="B34" s="259"/>
      <c r="C34" s="260"/>
      <c r="D34" s="260"/>
      <c r="E34" s="260"/>
      <c r="F34" s="260"/>
      <c r="G34" s="261"/>
      <c r="H34" s="266"/>
      <c r="I34" s="266"/>
      <c r="J34" s="266"/>
      <c r="K34" s="266"/>
      <c r="L34" s="266"/>
      <c r="M34" s="266"/>
    </row>
    <row r="35" spans="1:13">
      <c r="A35" s="10"/>
      <c r="B35" s="259"/>
      <c r="C35" s="260"/>
      <c r="D35" s="260"/>
      <c r="E35" s="260"/>
      <c r="F35" s="260"/>
      <c r="G35" s="261"/>
      <c r="H35" s="266"/>
      <c r="I35" s="266"/>
      <c r="J35" s="266"/>
      <c r="K35" s="266"/>
      <c r="L35" s="266"/>
      <c r="M35" s="266"/>
    </row>
    <row r="36" spans="1:13">
      <c r="A36" s="10"/>
      <c r="B36" s="259"/>
      <c r="C36" s="260"/>
      <c r="D36" s="260"/>
      <c r="E36" s="260"/>
      <c r="F36" s="260"/>
      <c r="G36" s="261"/>
      <c r="H36" s="266"/>
      <c r="I36" s="266"/>
      <c r="J36" s="266"/>
      <c r="K36" s="266"/>
      <c r="L36" s="266"/>
      <c r="M36" s="266"/>
    </row>
    <row r="37" spans="1:13">
      <c r="A37" s="10"/>
      <c r="B37" s="259"/>
      <c r="C37" s="260"/>
      <c r="D37" s="260"/>
      <c r="E37" s="260"/>
      <c r="F37" s="260"/>
      <c r="G37" s="261"/>
      <c r="H37" s="266"/>
      <c r="I37" s="266"/>
      <c r="J37" s="266"/>
      <c r="K37" s="266"/>
      <c r="L37" s="266"/>
      <c r="M37" s="266"/>
    </row>
    <row r="38" spans="1:13">
      <c r="A38" s="10"/>
      <c r="B38" s="259"/>
      <c r="C38" s="260"/>
      <c r="D38" s="260"/>
      <c r="E38" s="260"/>
      <c r="F38" s="260"/>
      <c r="G38" s="261"/>
      <c r="H38" s="266"/>
      <c r="I38" s="266"/>
      <c r="J38" s="266"/>
      <c r="K38" s="266"/>
      <c r="L38" s="266"/>
      <c r="M38" s="266"/>
    </row>
    <row r="39" spans="1:13">
      <c r="A39" s="10"/>
      <c r="B39" s="259"/>
      <c r="C39" s="260"/>
      <c r="D39" s="260"/>
      <c r="E39" s="260"/>
      <c r="F39" s="260"/>
      <c r="G39" s="261"/>
      <c r="H39" s="266"/>
      <c r="I39" s="266"/>
      <c r="J39" s="266"/>
      <c r="K39" s="266"/>
      <c r="L39" s="266"/>
      <c r="M39" s="266"/>
    </row>
    <row r="40" spans="1:13">
      <c r="A40" s="10"/>
      <c r="B40" s="259"/>
      <c r="C40" s="260"/>
      <c r="D40" s="260"/>
      <c r="E40" s="260"/>
      <c r="F40" s="260"/>
      <c r="G40" s="261"/>
      <c r="H40" s="266"/>
      <c r="I40" s="266"/>
      <c r="J40" s="266"/>
      <c r="K40" s="266"/>
      <c r="L40" s="266"/>
      <c r="M40" s="266"/>
    </row>
    <row r="41" spans="1:13">
      <c r="A41" s="10"/>
      <c r="B41" s="262"/>
      <c r="C41" s="263"/>
      <c r="D41" s="263"/>
      <c r="E41" s="263"/>
      <c r="F41" s="263"/>
      <c r="G41" s="264"/>
      <c r="H41" s="266"/>
      <c r="I41" s="266"/>
      <c r="J41" s="266"/>
      <c r="K41" s="266"/>
      <c r="L41" s="266"/>
      <c r="M41" s="266"/>
    </row>
    <row r="42" spans="1:1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6" spans="1:13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</row>
    <row r="47" spans="1:13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</row>
    <row r="48" spans="1:13" ht="9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</row>
  </sheetData>
  <mergeCells count="19">
    <mergeCell ref="B20:G20"/>
    <mergeCell ref="H18:M18"/>
    <mergeCell ref="H20:M20"/>
    <mergeCell ref="B32:G41"/>
    <mergeCell ref="H31:M31"/>
    <mergeCell ref="H32:M41"/>
    <mergeCell ref="B30:M30"/>
    <mergeCell ref="K3:L3"/>
    <mergeCell ref="K4:L6"/>
    <mergeCell ref="B31:G31"/>
    <mergeCell ref="B23:M24"/>
    <mergeCell ref="B14:M14"/>
    <mergeCell ref="B16:G16"/>
    <mergeCell ref="H16:M16"/>
    <mergeCell ref="B18:G18"/>
    <mergeCell ref="A19:K19"/>
    <mergeCell ref="A15:K15"/>
    <mergeCell ref="A17:K17"/>
    <mergeCell ref="A2:A3"/>
  </mergeCells>
  <pageMargins left="0.34" right="0.17" top="0.72" bottom="0.17" header="0.17" footer="0.17"/>
  <pageSetup paperSize="9"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4">
    <tabColor rgb="FFFFFF00"/>
  </sheetPr>
  <dimension ref="A2:H53"/>
  <sheetViews>
    <sheetView view="pageBreakPreview" topLeftCell="A13" zoomScale="60" workbookViewId="0">
      <selection activeCell="H30" sqref="H30"/>
    </sheetView>
  </sheetViews>
  <sheetFormatPr defaultColWidth="9.109375" defaultRowHeight="13.8"/>
  <cols>
    <col min="1" max="1" width="27.88671875" style="1" bestFit="1" customWidth="1"/>
    <col min="2" max="2" width="1.44140625" style="1" customWidth="1"/>
    <col min="3" max="3" width="39.109375" style="1" customWidth="1"/>
    <col min="4" max="4" width="22.109375" style="1" customWidth="1"/>
    <col min="5" max="5" width="18.44140625" style="1" customWidth="1"/>
    <col min="6" max="6" width="1.44140625" style="1" customWidth="1"/>
    <col min="7" max="8" width="23.6640625" style="1" customWidth="1"/>
    <col min="9" max="16384" width="9.109375" style="1"/>
  </cols>
  <sheetData>
    <row r="2" spans="1:8" ht="14.4" thickBot="1"/>
    <row r="3" spans="1:8" ht="21" thickBot="1">
      <c r="A3" s="305" t="s">
        <v>60</v>
      </c>
      <c r="B3" s="306"/>
      <c r="C3" s="306"/>
      <c r="D3" s="306"/>
      <c r="E3" s="306"/>
      <c r="F3" s="306"/>
      <c r="G3" s="306"/>
      <c r="H3" s="307"/>
    </row>
    <row r="4" spans="1:8">
      <c r="A4" s="3"/>
      <c r="H4" s="2"/>
    </row>
    <row r="5" spans="1:8" ht="18">
      <c r="A5" s="14" t="s">
        <v>35</v>
      </c>
      <c r="B5" s="15"/>
      <c r="C5" s="15"/>
      <c r="D5" s="15"/>
      <c r="E5" s="15"/>
      <c r="F5" s="15"/>
      <c r="G5" s="15"/>
      <c r="H5" s="16"/>
    </row>
    <row r="6" spans="1:8" ht="18">
      <c r="A6" s="287" t="str">
        <f>KEY!C2</f>
        <v>FTTH &amp; PeoTV Connections 2026</v>
      </c>
      <c r="B6" s="308"/>
      <c r="C6" s="308"/>
      <c r="D6" s="308"/>
      <c r="E6" s="15"/>
      <c r="F6" s="15"/>
      <c r="G6" s="15"/>
      <c r="H6" s="16"/>
    </row>
    <row r="7" spans="1:8" ht="18">
      <c r="A7" s="14"/>
      <c r="B7" s="15"/>
      <c r="C7" s="15"/>
      <c r="D7" s="15"/>
      <c r="E7" s="15"/>
      <c r="F7" s="15"/>
      <c r="G7" s="15"/>
      <c r="H7" s="16"/>
    </row>
    <row r="8" spans="1:8" ht="18">
      <c r="A8" s="14" t="s">
        <v>36</v>
      </c>
      <c r="B8" s="308" t="str">
        <f>KEY!C4</f>
        <v>L/0733/2025</v>
      </c>
      <c r="C8" s="308"/>
      <c r="D8" s="15"/>
      <c r="E8" s="15" t="s">
        <v>37</v>
      </c>
      <c r="F8" s="15" t="s">
        <v>25</v>
      </c>
      <c r="G8" s="29">
        <f>KEY!C5</f>
        <v>0</v>
      </c>
      <c r="H8" s="16"/>
    </row>
    <row r="9" spans="1:8" ht="18">
      <c r="A9" s="14"/>
      <c r="B9" s="15"/>
      <c r="C9" s="15"/>
      <c r="D9" s="15"/>
      <c r="E9" s="15" t="s">
        <v>59</v>
      </c>
      <c r="F9" s="15" t="s">
        <v>25</v>
      </c>
      <c r="G9" s="308" t="str">
        <f>KEY!C6</f>
        <v>SLTS/FN/26//JAN/01</v>
      </c>
      <c r="H9" s="311"/>
    </row>
    <row r="10" spans="1:8" ht="18">
      <c r="A10" s="14"/>
      <c r="B10" s="15"/>
      <c r="C10" s="15"/>
      <c r="D10" s="15"/>
      <c r="E10" s="15" t="s">
        <v>24</v>
      </c>
      <c r="F10" s="15" t="s">
        <v>25</v>
      </c>
      <c r="G10" s="28">
        <f>KEY!I9</f>
        <v>0</v>
      </c>
      <c r="H10" s="16"/>
    </row>
    <row r="11" spans="1:8" ht="18">
      <c r="A11" s="14"/>
      <c r="B11" s="15"/>
      <c r="C11" s="15"/>
      <c r="D11" s="15"/>
      <c r="E11" s="15" t="s">
        <v>38</v>
      </c>
      <c r="F11" s="15" t="s">
        <v>25</v>
      </c>
      <c r="G11" s="15" t="str">
        <f>KEY!I10</f>
        <v>From: 1-Jan-2026</v>
      </c>
      <c r="H11" s="16" t="str">
        <f>KEY!J10</f>
        <v>To: 31-Jan-2026</v>
      </c>
    </row>
    <row r="12" spans="1:8" ht="18">
      <c r="A12" s="14"/>
      <c r="B12" s="15"/>
      <c r="C12" s="15"/>
      <c r="D12" s="15"/>
      <c r="E12" s="15"/>
      <c r="F12" s="15"/>
      <c r="G12" s="15"/>
      <c r="H12" s="16"/>
    </row>
    <row r="13" spans="1:8" ht="18">
      <c r="A13" s="14" t="s">
        <v>39</v>
      </c>
      <c r="B13" s="17" t="s">
        <v>25</v>
      </c>
      <c r="C13" s="15" t="s">
        <v>94</v>
      </c>
      <c r="D13" s="15"/>
      <c r="E13" s="15"/>
      <c r="F13" s="15"/>
      <c r="G13" s="15"/>
      <c r="H13" s="16"/>
    </row>
    <row r="14" spans="1:8" ht="18">
      <c r="A14" s="14" t="s">
        <v>40</v>
      </c>
      <c r="B14" s="15" t="s">
        <v>41</v>
      </c>
      <c r="C14" s="15" t="s">
        <v>129</v>
      </c>
      <c r="D14" s="15"/>
      <c r="E14" s="15"/>
      <c r="F14" s="15"/>
      <c r="G14" s="15"/>
      <c r="H14" s="16"/>
    </row>
    <row r="15" spans="1:8" ht="18">
      <c r="A15" s="14"/>
      <c r="B15" s="15"/>
      <c r="C15" s="15"/>
      <c r="D15" s="15"/>
      <c r="E15" s="15"/>
      <c r="F15" s="15"/>
      <c r="G15" s="15"/>
      <c r="H15" s="16"/>
    </row>
    <row r="16" spans="1:8" ht="18">
      <c r="A16" s="18"/>
      <c r="B16" s="19"/>
      <c r="C16" s="19"/>
      <c r="D16" s="19"/>
      <c r="E16" s="19"/>
      <c r="F16" s="19"/>
      <c r="G16" s="19"/>
      <c r="H16" s="20"/>
    </row>
    <row r="17" spans="1:8" ht="18">
      <c r="A17" s="21"/>
      <c r="B17" s="22"/>
      <c r="C17" s="22"/>
      <c r="D17" s="22"/>
      <c r="E17" s="22"/>
      <c r="F17" s="22"/>
      <c r="G17" s="22"/>
      <c r="H17" s="23"/>
    </row>
    <row r="18" spans="1:8" ht="18">
      <c r="A18" s="119" t="s">
        <v>122</v>
      </c>
      <c r="B18" s="17" t="s">
        <v>25</v>
      </c>
      <c r="C18" s="24">
        <f>KEY!F7</f>
        <v>0</v>
      </c>
      <c r="D18" s="15"/>
      <c r="E18" s="15"/>
      <c r="F18" s="15"/>
      <c r="G18" s="15"/>
      <c r="H18" s="16"/>
    </row>
    <row r="19" spans="1:8" ht="18">
      <c r="A19" s="18"/>
      <c r="B19" s="19"/>
      <c r="C19" s="19"/>
      <c r="D19" s="19"/>
      <c r="E19" s="19"/>
      <c r="F19" s="19"/>
      <c r="G19" s="19"/>
      <c r="H19" s="20"/>
    </row>
    <row r="20" spans="1:8" ht="18">
      <c r="A20" s="21"/>
      <c r="B20" s="22"/>
      <c r="C20" s="22"/>
      <c r="D20" s="22"/>
      <c r="E20" s="22"/>
      <c r="F20" s="22"/>
      <c r="G20" s="22"/>
      <c r="H20" s="23"/>
    </row>
    <row r="21" spans="1:8" ht="18">
      <c r="A21" s="14" t="s">
        <v>42</v>
      </c>
      <c r="B21" s="17" t="s">
        <v>25</v>
      </c>
      <c r="C21" s="15" t="s">
        <v>26</v>
      </c>
      <c r="D21" s="15"/>
      <c r="E21" s="15" t="s">
        <v>43</v>
      </c>
      <c r="F21" s="17" t="s">
        <v>25</v>
      </c>
      <c r="G21" s="15" t="s">
        <v>16</v>
      </c>
      <c r="H21" s="16"/>
    </row>
    <row r="22" spans="1:8" ht="18">
      <c r="A22" s="14"/>
      <c r="B22" s="17"/>
      <c r="C22" s="15"/>
      <c r="D22" s="15"/>
      <c r="E22" s="15"/>
      <c r="F22" s="17"/>
      <c r="G22" s="15"/>
      <c r="H22" s="16"/>
    </row>
    <row r="23" spans="1:8" ht="18">
      <c r="A23" s="14" t="s">
        <v>44</v>
      </c>
      <c r="B23" s="17" t="s">
        <v>25</v>
      </c>
      <c r="C23" s="15" t="s">
        <v>45</v>
      </c>
      <c r="D23" s="15"/>
      <c r="E23" s="15" t="s">
        <v>44</v>
      </c>
      <c r="F23" s="17" t="s">
        <v>25</v>
      </c>
      <c r="G23" s="15" t="s">
        <v>46</v>
      </c>
      <c r="H23" s="16"/>
    </row>
    <row r="24" spans="1:8" ht="18">
      <c r="A24" s="14"/>
      <c r="B24" s="17"/>
      <c r="C24" s="15"/>
      <c r="D24" s="15"/>
      <c r="E24" s="15"/>
      <c r="F24" s="17"/>
      <c r="G24" s="15"/>
      <c r="H24" s="16"/>
    </row>
    <row r="25" spans="1:8" ht="36">
      <c r="A25" s="14" t="s">
        <v>10</v>
      </c>
      <c r="B25" s="17" t="s">
        <v>25</v>
      </c>
      <c r="C25" s="25" t="s">
        <v>58</v>
      </c>
      <c r="D25" s="15"/>
      <c r="E25" s="15" t="s">
        <v>10</v>
      </c>
      <c r="F25" s="17" t="s">
        <v>25</v>
      </c>
      <c r="G25" s="15" t="s">
        <v>47</v>
      </c>
      <c r="H25" s="16"/>
    </row>
    <row r="26" spans="1:8">
      <c r="A26" s="4"/>
      <c r="B26" s="5"/>
      <c r="C26" s="5"/>
      <c r="D26" s="5"/>
      <c r="E26" s="5"/>
      <c r="F26" s="5"/>
      <c r="G26" s="5"/>
      <c r="H26" s="6"/>
    </row>
    <row r="27" spans="1:8" ht="17.399999999999999">
      <c r="A27" s="267" t="s">
        <v>31</v>
      </c>
      <c r="B27" s="267"/>
      <c r="C27" s="267"/>
      <c r="D27" s="267"/>
      <c r="E27" s="267"/>
      <c r="F27" s="267"/>
      <c r="G27" s="309" t="s">
        <v>23</v>
      </c>
      <c r="H27" s="310"/>
    </row>
    <row r="28" spans="1:8" ht="17.399999999999999">
      <c r="A28" s="267"/>
      <c r="B28" s="267"/>
      <c r="C28" s="267"/>
      <c r="D28" s="267"/>
      <c r="E28" s="267"/>
      <c r="F28" s="267"/>
      <c r="G28" s="26" t="s">
        <v>48</v>
      </c>
      <c r="H28" s="26" t="s">
        <v>27</v>
      </c>
    </row>
    <row r="29" spans="1:8" ht="56.25" customHeight="1">
      <c r="A29" s="298" t="s">
        <v>125</v>
      </c>
      <c r="B29" s="299"/>
      <c r="C29" s="299"/>
      <c r="D29" s="299"/>
      <c r="E29" s="299"/>
      <c r="F29" s="300"/>
      <c r="G29" s="35"/>
      <c r="H29" s="35">
        <f>SUMMARY!J12</f>
        <v>0</v>
      </c>
    </row>
    <row r="30" spans="1:8" ht="56.25" customHeight="1">
      <c r="A30" s="298" t="s">
        <v>100</v>
      </c>
      <c r="B30" s="299"/>
      <c r="C30" s="299"/>
      <c r="D30" s="299"/>
      <c r="E30" s="299"/>
      <c r="F30" s="300"/>
      <c r="G30" s="35">
        <v>0</v>
      </c>
      <c r="H30" s="35"/>
    </row>
    <row r="31" spans="1:8" ht="56.25" customHeight="1">
      <c r="A31" s="301" t="s">
        <v>117</v>
      </c>
      <c r="B31" s="301"/>
      <c r="C31" s="301"/>
      <c r="D31" s="301"/>
      <c r="E31" s="301"/>
      <c r="F31" s="301"/>
      <c r="G31" s="35"/>
      <c r="H31" s="36">
        <f>H29-G30</f>
        <v>0</v>
      </c>
    </row>
    <row r="32" spans="1:8" ht="56.25" customHeight="1">
      <c r="A32" s="301" t="s">
        <v>80</v>
      </c>
      <c r="B32" s="301"/>
      <c r="C32" s="301"/>
      <c r="D32" s="301"/>
      <c r="E32" s="301"/>
      <c r="F32" s="301"/>
      <c r="G32" s="35"/>
      <c r="H32" s="36">
        <f>H31*0.0256</f>
        <v>0</v>
      </c>
    </row>
    <row r="33" spans="1:8" ht="56.25" customHeight="1">
      <c r="A33" s="302" t="s">
        <v>81</v>
      </c>
      <c r="B33" s="303"/>
      <c r="C33" s="303"/>
      <c r="D33" s="303"/>
      <c r="E33" s="303"/>
      <c r="F33" s="304"/>
      <c r="G33" s="35"/>
      <c r="H33" s="36">
        <f>H31+H32</f>
        <v>0</v>
      </c>
    </row>
    <row r="34" spans="1:8" ht="56.25" customHeight="1">
      <c r="A34" s="301" t="s">
        <v>119</v>
      </c>
      <c r="B34" s="301"/>
      <c r="C34" s="301"/>
      <c r="D34" s="301"/>
      <c r="E34" s="301"/>
      <c r="F34" s="301"/>
      <c r="G34" s="35"/>
      <c r="H34" s="36">
        <f>(H33)*0.18</f>
        <v>0</v>
      </c>
    </row>
    <row r="35" spans="1:8" ht="56.25" customHeight="1">
      <c r="A35" s="301" t="s">
        <v>49</v>
      </c>
      <c r="B35" s="301"/>
      <c r="C35" s="301"/>
      <c r="D35" s="301"/>
      <c r="E35" s="301"/>
      <c r="F35" s="301"/>
      <c r="G35" s="35"/>
      <c r="H35" s="36">
        <f>H34+H33</f>
        <v>0</v>
      </c>
    </row>
    <row r="36" spans="1:8" ht="15" customHeight="1">
      <c r="A36" s="286" t="s">
        <v>56</v>
      </c>
      <c r="B36" s="22"/>
      <c r="C36" s="289" t="str" cm="1">
        <f t="array" ref="C36">SpellNumber(H35)</f>
        <v xml:space="preserve">NO RUPEES  ONLY </v>
      </c>
      <c r="D36" s="290"/>
      <c r="E36" s="290"/>
      <c r="F36" s="290"/>
      <c r="G36" s="290"/>
      <c r="H36" s="291"/>
    </row>
    <row r="37" spans="1:8" ht="15" customHeight="1">
      <c r="A37" s="287"/>
      <c r="B37" s="15"/>
      <c r="C37" s="292"/>
      <c r="D37" s="293"/>
      <c r="E37" s="293"/>
      <c r="F37" s="293"/>
      <c r="G37" s="293"/>
      <c r="H37" s="294"/>
    </row>
    <row r="38" spans="1:8" ht="15" customHeight="1">
      <c r="A38" s="288"/>
      <c r="B38" s="19"/>
      <c r="C38" s="295"/>
      <c r="D38" s="296"/>
      <c r="E38" s="296"/>
      <c r="F38" s="296"/>
      <c r="G38" s="296"/>
      <c r="H38" s="297"/>
    </row>
    <row r="39" spans="1:8">
      <c r="A39" s="7"/>
      <c r="B39" s="8"/>
      <c r="C39" s="8"/>
      <c r="D39" s="9"/>
      <c r="E39" s="7"/>
      <c r="F39" s="8"/>
      <c r="G39" s="8"/>
      <c r="H39" s="9"/>
    </row>
    <row r="40" spans="1:8">
      <c r="A40" s="3"/>
      <c r="D40" s="2"/>
      <c r="E40" s="3"/>
      <c r="H40" s="2"/>
    </row>
    <row r="41" spans="1:8">
      <c r="A41" s="3"/>
      <c r="D41" s="2"/>
      <c r="E41" s="3"/>
      <c r="H41" s="2"/>
    </row>
    <row r="42" spans="1:8" ht="18">
      <c r="A42" s="14" t="s">
        <v>50</v>
      </c>
      <c r="B42" s="15" t="s">
        <v>51</v>
      </c>
      <c r="C42" s="15"/>
      <c r="D42" s="2"/>
      <c r="E42" s="3"/>
      <c r="H42" s="2"/>
    </row>
    <row r="43" spans="1:8" ht="18">
      <c r="A43" s="14"/>
      <c r="B43" s="285" t="s">
        <v>52</v>
      </c>
      <c r="C43" s="285"/>
      <c r="D43" s="2"/>
      <c r="E43" s="3"/>
      <c r="H43" s="2"/>
    </row>
    <row r="44" spans="1:8" ht="18">
      <c r="A44" s="14"/>
      <c r="B44" s="15"/>
      <c r="C44" s="15"/>
      <c r="D44" s="2"/>
      <c r="E44" s="3"/>
      <c r="H44" s="2"/>
    </row>
    <row r="45" spans="1:8" ht="18">
      <c r="A45" s="14"/>
      <c r="B45" s="15"/>
      <c r="C45" s="15"/>
      <c r="D45" s="2"/>
      <c r="E45" s="3"/>
      <c r="H45" s="2"/>
    </row>
    <row r="46" spans="1:8" ht="18">
      <c r="A46" s="14"/>
      <c r="B46" s="15"/>
      <c r="C46" s="15"/>
      <c r="D46" s="2"/>
      <c r="E46" s="3"/>
      <c r="H46" s="2"/>
    </row>
    <row r="47" spans="1:8" ht="18">
      <c r="A47" s="14"/>
      <c r="B47" s="15"/>
      <c r="C47" s="15"/>
      <c r="D47" s="2"/>
      <c r="E47" s="3"/>
      <c r="H47" s="2"/>
    </row>
    <row r="48" spans="1:8" ht="18">
      <c r="A48" s="14"/>
      <c r="B48" s="15"/>
      <c r="C48" s="15"/>
      <c r="D48" s="2"/>
      <c r="E48" s="3"/>
      <c r="H48" s="2"/>
    </row>
    <row r="49" spans="1:8" ht="18">
      <c r="A49" s="14"/>
      <c r="B49" s="15"/>
      <c r="C49" s="15"/>
      <c r="D49" s="2"/>
      <c r="E49" s="3"/>
      <c r="H49" s="2"/>
    </row>
    <row r="50" spans="1:8" ht="18">
      <c r="A50" s="14" t="s">
        <v>53</v>
      </c>
      <c r="B50" s="15" t="s">
        <v>51</v>
      </c>
      <c r="C50" s="15"/>
      <c r="D50" s="2"/>
      <c r="E50" s="3"/>
      <c r="H50" s="2"/>
    </row>
    <row r="51" spans="1:8" ht="18">
      <c r="A51" s="14"/>
      <c r="B51" s="15"/>
      <c r="C51" s="15"/>
      <c r="D51" s="2"/>
      <c r="E51" s="3"/>
      <c r="H51" s="2"/>
    </row>
    <row r="52" spans="1:8">
      <c r="A52" s="3"/>
      <c r="D52" s="2"/>
      <c r="E52" s="3"/>
      <c r="H52" s="2"/>
    </row>
    <row r="53" spans="1:8">
      <c r="A53" s="4"/>
      <c r="B53" s="5"/>
      <c r="C53" s="5"/>
      <c r="D53" s="6"/>
      <c r="E53" s="4"/>
      <c r="F53" s="5"/>
      <c r="G53" s="5"/>
      <c r="H53" s="6"/>
    </row>
  </sheetData>
  <mergeCells count="16">
    <mergeCell ref="A3:H3"/>
    <mergeCell ref="A6:D6"/>
    <mergeCell ref="A27:F28"/>
    <mergeCell ref="G27:H27"/>
    <mergeCell ref="G9:H9"/>
    <mergeCell ref="B8:C8"/>
    <mergeCell ref="B43:C43"/>
    <mergeCell ref="A36:A38"/>
    <mergeCell ref="C36:H38"/>
    <mergeCell ref="A29:F29"/>
    <mergeCell ref="A31:F31"/>
    <mergeCell ref="A35:F35"/>
    <mergeCell ref="A34:F34"/>
    <mergeCell ref="A32:F32"/>
    <mergeCell ref="A33:F33"/>
    <mergeCell ref="A30:F30"/>
  </mergeCells>
  <pageMargins left="1.05" right="0.13" top="1.78" bottom="0.37" header="0.3" footer="0.3"/>
  <pageSetup paperSize="9" scale="5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2216-DE2F-431C-8809-3E85F72AD960}">
  <sheetPr codeName="Sheet2">
    <tabColor rgb="FFFFFF00"/>
    <pageSetUpPr fitToPage="1"/>
  </sheetPr>
  <dimension ref="A1:U23"/>
  <sheetViews>
    <sheetView tabSelected="1" view="pageBreakPreview" zoomScale="70" zoomScaleSheetLayoutView="70" workbookViewId="0">
      <selection activeCell="D11" sqref="D11"/>
    </sheetView>
  </sheetViews>
  <sheetFormatPr defaultColWidth="9.109375" defaultRowHeight="13.8"/>
  <cols>
    <col min="1" max="1" width="13.21875" style="42" customWidth="1"/>
    <col min="2" max="2" width="22.21875" style="42" customWidth="1"/>
    <col min="3" max="3" width="9.5546875" style="1" customWidth="1"/>
    <col min="4" max="4" width="67.6640625" style="51" customWidth="1"/>
    <col min="5" max="8" width="17.33203125" style="42" customWidth="1"/>
    <col min="9" max="10" width="29.6640625" style="42" customWidth="1"/>
    <col min="11" max="11" width="9.109375" style="42"/>
    <col min="12" max="12" width="22.21875" style="42" customWidth="1"/>
    <col min="13" max="16384" width="9.109375" style="42"/>
  </cols>
  <sheetData>
    <row r="1" spans="1:21" ht="34.5" customHeight="1">
      <c r="A1" s="178" t="s">
        <v>0</v>
      </c>
      <c r="B1" s="179"/>
      <c r="C1" s="180" t="s">
        <v>25</v>
      </c>
      <c r="D1" s="181" t="str">
        <f>KEY!C2</f>
        <v>FTTH &amp; PeoTV Connections 2026</v>
      </c>
      <c r="E1" s="181"/>
      <c r="F1" s="181"/>
      <c r="G1" s="181"/>
      <c r="H1" s="182"/>
      <c r="I1" s="199" t="s">
        <v>30</v>
      </c>
      <c r="J1" s="199"/>
    </row>
    <row r="2" spans="1:21" ht="17.399999999999999" customHeight="1">
      <c r="A2" s="183" t="s">
        <v>14</v>
      </c>
      <c r="B2" s="184"/>
      <c r="C2" s="118" t="s">
        <v>25</v>
      </c>
      <c r="D2" s="185">
        <f>KEY!C3</f>
        <v>260103</v>
      </c>
      <c r="E2" s="185"/>
      <c r="F2" s="185"/>
      <c r="G2" s="185"/>
      <c r="H2" s="186"/>
      <c r="I2" s="199"/>
      <c r="J2" s="199"/>
    </row>
    <row r="3" spans="1:21" ht="17.399999999999999" customHeight="1">
      <c r="A3" s="183" t="s">
        <v>1</v>
      </c>
      <c r="B3" s="184"/>
      <c r="C3" s="118" t="s">
        <v>25</v>
      </c>
      <c r="D3" s="187" t="str">
        <f>KEY!C4</f>
        <v>L/0733/2025</v>
      </c>
      <c r="E3" s="117"/>
      <c r="F3" s="117"/>
      <c r="G3" s="117"/>
      <c r="H3" s="188"/>
      <c r="I3" s="199"/>
      <c r="J3" s="199"/>
    </row>
    <row r="4" spans="1:21" ht="17.399999999999999" customHeight="1">
      <c r="A4" s="183" t="s">
        <v>2</v>
      </c>
      <c r="B4" s="184"/>
      <c r="C4" s="118" t="s">
        <v>25</v>
      </c>
      <c r="D4" s="185">
        <f>KEY!C5</f>
        <v>0</v>
      </c>
      <c r="E4" s="117"/>
      <c r="F4" s="117"/>
      <c r="G4" s="117"/>
      <c r="H4" s="188"/>
      <c r="I4" s="199"/>
      <c r="J4" s="199"/>
    </row>
    <row r="5" spans="1:21" ht="20.399999999999999">
      <c r="A5" s="183" t="s">
        <v>59</v>
      </c>
      <c r="B5" s="184"/>
      <c r="C5" s="118" t="s">
        <v>25</v>
      </c>
      <c r="D5" s="185" t="str">
        <f>KEY!C6</f>
        <v>SLTS/FN/26//JAN/01</v>
      </c>
      <c r="E5" s="117"/>
      <c r="F5" s="117"/>
      <c r="G5" s="117"/>
      <c r="H5" s="188"/>
      <c r="I5" s="154" t="str">
        <f>KEY!G6</f>
        <v>From: 1-Jan-2026</v>
      </c>
      <c r="J5" s="171" t="str">
        <f>KEY!J6</f>
        <v>To: 31-Jan-2026</v>
      </c>
    </row>
    <row r="6" spans="1:21" ht="27.6" customHeight="1">
      <c r="A6" s="189" t="s">
        <v>54</v>
      </c>
      <c r="B6" s="190"/>
      <c r="C6" s="191" t="s">
        <v>25</v>
      </c>
      <c r="D6" s="192">
        <f>KEY!F7</f>
        <v>0</v>
      </c>
      <c r="E6" s="193"/>
      <c r="F6" s="193"/>
      <c r="G6" s="193"/>
      <c r="H6" s="194"/>
      <c r="I6" s="154" t="s">
        <v>78</v>
      </c>
      <c r="J6" s="195">
        <f>KEY!J7</f>
        <v>0</v>
      </c>
    </row>
    <row r="7" spans="1:21" s="68" customFormat="1" ht="19.8" customHeight="1">
      <c r="A7" s="200" t="s">
        <v>164</v>
      </c>
      <c r="B7" s="202" t="s">
        <v>157</v>
      </c>
      <c r="C7" s="202" t="s">
        <v>3</v>
      </c>
      <c r="D7" s="200" t="s">
        <v>31</v>
      </c>
      <c r="E7" s="204" t="s">
        <v>159</v>
      </c>
      <c r="F7" s="205"/>
      <c r="G7" s="204" t="s">
        <v>160</v>
      </c>
      <c r="H7" s="205"/>
      <c r="I7" s="206" t="s">
        <v>32</v>
      </c>
      <c r="J7" s="207"/>
    </row>
    <row r="8" spans="1:21" s="15" customFormat="1" ht="19.8" customHeight="1">
      <c r="A8" s="201"/>
      <c r="B8" s="203"/>
      <c r="C8" s="203"/>
      <c r="D8" s="201"/>
      <c r="E8" s="155" t="s">
        <v>161</v>
      </c>
      <c r="F8" s="155" t="s">
        <v>162</v>
      </c>
      <c r="G8" s="155" t="s">
        <v>161</v>
      </c>
      <c r="H8" s="155" t="s">
        <v>162</v>
      </c>
      <c r="I8" s="171" t="s">
        <v>161</v>
      </c>
      <c r="J8" s="171" t="s">
        <v>162</v>
      </c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s="113" customFormat="1" ht="43.8" customHeight="1">
      <c r="A9" s="159" t="s">
        <v>165</v>
      </c>
      <c r="B9" s="159" t="s">
        <v>158</v>
      </c>
      <c r="C9" s="159" t="s">
        <v>163</v>
      </c>
      <c r="D9" s="160" t="s">
        <v>166</v>
      </c>
      <c r="E9" s="170">
        <v>0</v>
      </c>
      <c r="F9" s="170">
        <f>KEY!F7</f>
        <v>0</v>
      </c>
      <c r="G9" s="156"/>
      <c r="H9" s="156">
        <v>11000</v>
      </c>
      <c r="I9" s="157"/>
      <c r="J9" s="157">
        <f>F9*H9</f>
        <v>0</v>
      </c>
      <c r="L9" s="161"/>
      <c r="M9" s="161"/>
      <c r="N9" s="161"/>
      <c r="O9" s="161"/>
      <c r="P9" s="161"/>
      <c r="Q9" s="161"/>
      <c r="R9" s="161"/>
      <c r="S9" s="161"/>
      <c r="T9" s="161"/>
      <c r="U9" s="161"/>
    </row>
    <row r="10" spans="1:21" s="44" customFormat="1" ht="35.25" customHeight="1">
      <c r="A10" s="175"/>
      <c r="B10" s="176"/>
      <c r="C10" s="176"/>
      <c r="D10" s="177"/>
      <c r="E10" s="33"/>
      <c r="F10" s="33"/>
      <c r="G10" s="33"/>
      <c r="H10" s="33"/>
      <c r="I10" s="158">
        <f>SUM(I9:I9)</f>
        <v>0</v>
      </c>
      <c r="J10" s="158">
        <f>SUM(J9:J9)</f>
        <v>0</v>
      </c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1" s="44" customFormat="1" ht="70.5" customHeight="1">
      <c r="A11" s="162"/>
      <c r="B11" s="12"/>
      <c r="C11" s="12"/>
      <c r="D11" s="12"/>
      <c r="E11" s="13"/>
      <c r="F11" s="13"/>
      <c r="G11" s="13"/>
      <c r="H11" s="13"/>
      <c r="I11" s="45"/>
      <c r="J11" s="163"/>
      <c r="K11" s="46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1" s="15" customFormat="1" ht="67.8" customHeight="1">
      <c r="A12" s="164"/>
      <c r="B12" s="64"/>
      <c r="C12" s="64"/>
      <c r="D12" s="120"/>
      <c r="E12" s="208" t="s">
        <v>79</v>
      </c>
      <c r="F12" s="209"/>
      <c r="G12" s="209"/>
      <c r="H12" s="209"/>
      <c r="I12" s="210"/>
      <c r="J12" s="173">
        <f>I10+J10</f>
        <v>0</v>
      </c>
      <c r="K12" s="65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s="15" customFormat="1" ht="67.8" customHeight="1">
      <c r="A13" s="164"/>
      <c r="B13" s="64"/>
      <c r="C13" s="64"/>
      <c r="D13" s="120"/>
      <c r="E13" s="208" t="s">
        <v>100</v>
      </c>
      <c r="F13" s="209"/>
      <c r="G13" s="209"/>
      <c r="H13" s="209"/>
      <c r="I13" s="210"/>
      <c r="J13" s="173">
        <f>'[1]REF DOC'!G30</f>
        <v>0</v>
      </c>
      <c r="K13" s="66"/>
    </row>
    <row r="14" spans="1:21" s="15" customFormat="1" ht="67.8" customHeight="1">
      <c r="A14" s="164"/>
      <c r="B14" s="64"/>
      <c r="C14" s="64"/>
      <c r="D14" s="120"/>
      <c r="E14" s="208" t="s">
        <v>118</v>
      </c>
      <c r="F14" s="209"/>
      <c r="G14" s="209"/>
      <c r="H14" s="209"/>
      <c r="I14" s="210"/>
      <c r="J14" s="173">
        <f>J12-J13</f>
        <v>0</v>
      </c>
      <c r="K14" s="66"/>
    </row>
    <row r="15" spans="1:21" s="15" customFormat="1" ht="67.8" customHeight="1">
      <c r="A15" s="164"/>
      <c r="B15" s="64"/>
      <c r="C15" s="64"/>
      <c r="D15" s="120"/>
      <c r="E15" s="208" t="s">
        <v>121</v>
      </c>
      <c r="F15" s="209"/>
      <c r="G15" s="209"/>
      <c r="H15" s="209"/>
      <c r="I15" s="210"/>
      <c r="J15" s="174">
        <f>J14*0.0256</f>
        <v>0</v>
      </c>
      <c r="K15" s="66"/>
    </row>
    <row r="16" spans="1:21" s="15" customFormat="1" ht="67.8" customHeight="1">
      <c r="A16" s="164"/>
      <c r="B16" s="64"/>
      <c r="C16" s="64"/>
      <c r="D16" s="120"/>
      <c r="E16" s="208" t="s">
        <v>81</v>
      </c>
      <c r="F16" s="209"/>
      <c r="G16" s="209"/>
      <c r="H16" s="209"/>
      <c r="I16" s="210"/>
      <c r="J16" s="174">
        <f>J14+J15</f>
        <v>0</v>
      </c>
      <c r="K16" s="66"/>
    </row>
    <row r="17" spans="1:12" s="15" customFormat="1" ht="67.8" customHeight="1">
      <c r="A17" s="164"/>
      <c r="B17" s="64"/>
      <c r="C17" s="64"/>
      <c r="D17" s="121"/>
      <c r="E17" s="196" t="s">
        <v>120</v>
      </c>
      <c r="F17" s="197"/>
      <c r="G17" s="197"/>
      <c r="H17" s="197"/>
      <c r="I17" s="198"/>
      <c r="J17" s="174">
        <f>(J16)*0.18</f>
        <v>0</v>
      </c>
      <c r="K17" s="65"/>
    </row>
    <row r="18" spans="1:12" s="15" customFormat="1" ht="67.8" customHeight="1">
      <c r="A18" s="164"/>
      <c r="B18" s="64"/>
      <c r="C18" s="64"/>
      <c r="D18" s="121"/>
      <c r="E18" s="196" t="s">
        <v>33</v>
      </c>
      <c r="F18" s="197"/>
      <c r="G18" s="197"/>
      <c r="H18" s="197"/>
      <c r="I18" s="198"/>
      <c r="J18" s="174">
        <f>J17+J16</f>
        <v>0</v>
      </c>
      <c r="K18" s="65"/>
    </row>
    <row r="19" spans="1:12" s="44" customFormat="1" ht="70.5" customHeight="1" thickBot="1">
      <c r="A19" s="165"/>
      <c r="B19" s="47"/>
      <c r="C19" s="47"/>
      <c r="D19" s="47"/>
      <c r="E19" s="48"/>
      <c r="F19" s="48"/>
      <c r="G19" s="48"/>
      <c r="H19" s="48"/>
      <c r="I19" s="50"/>
      <c r="J19" s="166"/>
      <c r="K19" s="49"/>
      <c r="L19" s="49"/>
    </row>
    <row r="20" spans="1:12" s="68" customFormat="1" ht="33.6" customHeight="1" thickBot="1">
      <c r="A20" s="211" t="s">
        <v>76</v>
      </c>
      <c r="B20" s="212"/>
      <c r="C20" s="212"/>
      <c r="D20" s="212"/>
      <c r="E20" s="172"/>
      <c r="F20" s="213" t="s">
        <v>34</v>
      </c>
      <c r="G20" s="213"/>
      <c r="H20" s="213"/>
      <c r="I20" s="213"/>
      <c r="J20" s="214"/>
      <c r="K20" s="67"/>
    </row>
    <row r="21" spans="1:12" s="68" customFormat="1" ht="154.19999999999999" customHeight="1" thickBot="1">
      <c r="A21" s="215" t="s">
        <v>4</v>
      </c>
      <c r="B21" s="216"/>
      <c r="C21" s="217"/>
      <c r="D21" s="217"/>
      <c r="E21" s="215" t="s">
        <v>22</v>
      </c>
      <c r="F21" s="216"/>
      <c r="G21" s="167"/>
      <c r="H21" s="167"/>
      <c r="I21" s="218"/>
      <c r="J21" s="219"/>
      <c r="K21" s="69"/>
    </row>
    <row r="22" spans="1:12" s="68" customFormat="1" ht="195.6" customHeight="1" thickBot="1">
      <c r="A22" s="215" t="s">
        <v>5</v>
      </c>
      <c r="B22" s="216"/>
      <c r="C22" s="220"/>
      <c r="D22" s="220"/>
      <c r="E22" s="215" t="s">
        <v>28</v>
      </c>
      <c r="F22" s="216"/>
      <c r="G22" s="168"/>
      <c r="H22" s="167"/>
      <c r="I22" s="218"/>
      <c r="J22" s="219"/>
      <c r="K22" s="69"/>
    </row>
    <row r="23" spans="1:12" ht="233.4" customHeight="1" thickBot="1">
      <c r="A23" s="215" t="s">
        <v>15</v>
      </c>
      <c r="B23" s="216"/>
      <c r="C23" s="221"/>
      <c r="D23" s="221"/>
      <c r="E23" s="215" t="s">
        <v>29</v>
      </c>
      <c r="F23" s="216"/>
      <c r="G23" s="169"/>
      <c r="H23" s="167"/>
      <c r="I23" s="218"/>
      <c r="J23" s="219"/>
    </row>
  </sheetData>
  <mergeCells count="29">
    <mergeCell ref="A22:B22"/>
    <mergeCell ref="C22:D22"/>
    <mergeCell ref="E22:F22"/>
    <mergeCell ref="I22:J22"/>
    <mergeCell ref="A23:B23"/>
    <mergeCell ref="C23:D23"/>
    <mergeCell ref="E23:F23"/>
    <mergeCell ref="I23:J23"/>
    <mergeCell ref="E18:I18"/>
    <mergeCell ref="A20:D20"/>
    <mergeCell ref="F20:J20"/>
    <mergeCell ref="A21:B21"/>
    <mergeCell ref="C21:D21"/>
    <mergeCell ref="E21:F21"/>
    <mergeCell ref="I21:J21"/>
    <mergeCell ref="E17:I17"/>
    <mergeCell ref="I1:J4"/>
    <mergeCell ref="A7:A8"/>
    <mergeCell ref="B7:B8"/>
    <mergeCell ref="C7:C8"/>
    <mergeCell ref="D7:D8"/>
    <mergeCell ref="E7:F7"/>
    <mergeCell ref="G7:H7"/>
    <mergeCell ref="I7:J7"/>
    <mergeCell ref="E12:I12"/>
    <mergeCell ref="E13:I13"/>
    <mergeCell ref="E14:I14"/>
    <mergeCell ref="E15:I15"/>
    <mergeCell ref="E16:I16"/>
  </mergeCells>
  <pageMargins left="0.67" right="0.31" top="1.79" bottom="0.18" header="0.3" footer="0.16"/>
  <pageSetup paperSize="9" scale="3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1D2B-AD53-4E37-A558-0B58F94E09C0}">
  <sheetPr codeName="Sheet9">
    <tabColor theme="6" tint="0.39997558519241921"/>
  </sheetPr>
  <dimension ref="A1:AN163"/>
  <sheetViews>
    <sheetView view="pageBreakPreview" zoomScale="70" zoomScaleNormal="100" zoomScaleSheetLayoutView="70" workbookViewId="0">
      <pane xSplit="3" ySplit="5" topLeftCell="D150" activePane="bottomRight" state="frozen"/>
      <selection pane="topRight" activeCell="D1" sqref="D1"/>
      <selection pane="bottomLeft" activeCell="A6" sqref="A6"/>
      <selection pane="bottomRight" activeCell="A162" sqref="A162:C162"/>
    </sheetView>
  </sheetViews>
  <sheetFormatPr defaultColWidth="9.109375" defaultRowHeight="15.6"/>
  <cols>
    <col min="1" max="1" width="5.44140625" style="44" customWidth="1"/>
    <col min="2" max="2" width="22.33203125" style="91" bestFit="1" customWidth="1"/>
    <col min="3" max="3" width="10.6640625" style="12" customWidth="1"/>
    <col min="4" max="4" width="11.5546875" style="70" customWidth="1"/>
    <col min="5" max="5" width="18.109375" style="70" customWidth="1"/>
    <col min="6" max="6" width="8.44140625" style="135" customWidth="1"/>
    <col min="7" max="8" width="5.6640625" style="135" customWidth="1"/>
    <col min="9" max="9" width="6" style="135" customWidth="1"/>
    <col min="10" max="10" width="6.109375" style="135" customWidth="1"/>
    <col min="11" max="11" width="6.44140625" style="135" customWidth="1"/>
    <col min="12" max="14" width="7.109375" style="135" customWidth="1"/>
    <col min="15" max="15" width="7.33203125" style="135" customWidth="1"/>
    <col min="16" max="16" width="6.6640625" style="135" customWidth="1"/>
    <col min="17" max="17" width="7.5546875" style="135" customWidth="1"/>
    <col min="18" max="18" width="7.5546875" style="136" customWidth="1"/>
    <col min="19" max="19" width="6.88671875" style="136" customWidth="1"/>
    <col min="20" max="20" width="6.6640625" style="135" customWidth="1"/>
    <col min="21" max="21" width="6.5546875" style="135" customWidth="1"/>
    <col min="22" max="22" width="7.44140625" style="135" customWidth="1"/>
    <col min="23" max="23" width="5.44140625" style="135" customWidth="1"/>
    <col min="24" max="24" width="7.6640625" style="135" customWidth="1"/>
    <col min="25" max="25" width="7.109375" style="135" customWidth="1"/>
    <col min="26" max="26" width="6.5546875" style="135" customWidth="1"/>
    <col min="27" max="29" width="7" style="135" customWidth="1"/>
    <col min="30" max="30" width="8.109375" style="135" customWidth="1"/>
    <col min="31" max="33" width="9.109375" style="44"/>
    <col min="34" max="40" width="10.109375" style="44" customWidth="1"/>
    <col min="41" max="16384" width="9.109375" style="44"/>
  </cols>
  <sheetData>
    <row r="1" spans="1:30" ht="21.75" customHeight="1">
      <c r="A1" s="318"/>
      <c r="B1" s="318"/>
      <c r="C1" s="319"/>
      <c r="D1" s="319"/>
      <c r="E1" s="319"/>
      <c r="F1" s="319"/>
      <c r="G1" s="133"/>
      <c r="H1" s="133"/>
      <c r="I1" s="133"/>
      <c r="J1" s="133"/>
      <c r="K1" s="133"/>
      <c r="L1" s="133"/>
      <c r="M1" s="133"/>
      <c r="N1" s="133"/>
      <c r="O1" s="133"/>
      <c r="P1" s="134"/>
      <c r="U1" s="133"/>
      <c r="V1" s="133"/>
      <c r="W1" s="133"/>
      <c r="X1" s="133"/>
      <c r="Y1" s="133"/>
      <c r="Z1" s="133"/>
      <c r="AA1" s="133"/>
      <c r="AB1" s="133"/>
      <c r="AC1" s="134"/>
    </row>
    <row r="2" spans="1:30" ht="21.75" customHeight="1">
      <c r="A2" s="318" t="s">
        <v>82</v>
      </c>
      <c r="B2" s="318"/>
      <c r="C2" s="319" t="str">
        <f>KEY!C6</f>
        <v>SLTS/FN/26//JAN/01</v>
      </c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  <c r="Y2" s="319"/>
      <c r="Z2" s="319"/>
      <c r="AA2" s="319"/>
      <c r="AB2" s="319"/>
      <c r="AC2" s="134"/>
    </row>
    <row r="3" spans="1:30" ht="21.75" customHeight="1">
      <c r="A3" s="129"/>
      <c r="B3" s="129"/>
      <c r="C3" s="128"/>
      <c r="D3" s="128"/>
      <c r="E3" s="128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4"/>
      <c r="R3" s="135"/>
      <c r="S3" s="135"/>
      <c r="U3" s="133"/>
      <c r="V3" s="133"/>
      <c r="W3" s="133"/>
      <c r="X3" s="133"/>
      <c r="Y3" s="133"/>
      <c r="Z3" s="133"/>
      <c r="AA3" s="133"/>
      <c r="AB3" s="133"/>
      <c r="AC3" s="134"/>
    </row>
    <row r="4" spans="1:30" ht="26.25" customHeight="1">
      <c r="A4" s="317">
        <f>KEY!C8</f>
        <v>0</v>
      </c>
      <c r="B4" s="317"/>
      <c r="C4" s="317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  <c r="W4" s="317"/>
      <c r="X4" s="317"/>
      <c r="Y4" s="317"/>
      <c r="Z4" s="317"/>
      <c r="AA4" s="317"/>
      <c r="AB4" s="317"/>
      <c r="AC4" s="317"/>
      <c r="AD4" s="317"/>
    </row>
    <row r="5" spans="1:30" s="91" customFormat="1" ht="68.25" customHeight="1">
      <c r="A5" s="115" t="s">
        <v>55</v>
      </c>
      <c r="B5" s="115" t="s">
        <v>102</v>
      </c>
      <c r="C5" s="115" t="s">
        <v>103</v>
      </c>
      <c r="D5" s="115" t="s">
        <v>85</v>
      </c>
      <c r="E5" s="127" t="s">
        <v>104</v>
      </c>
      <c r="F5" s="115" t="s">
        <v>105</v>
      </c>
      <c r="G5" s="115" t="s">
        <v>106</v>
      </c>
      <c r="H5" s="115" t="s">
        <v>136</v>
      </c>
      <c r="I5" s="115" t="s">
        <v>107</v>
      </c>
      <c r="J5" s="115" t="s">
        <v>108</v>
      </c>
      <c r="K5" s="115" t="s">
        <v>109</v>
      </c>
      <c r="L5" s="115" t="s">
        <v>116</v>
      </c>
      <c r="M5" s="115" t="s">
        <v>110</v>
      </c>
      <c r="N5" s="115" t="s">
        <v>111</v>
      </c>
      <c r="O5" s="116" t="s">
        <v>112</v>
      </c>
      <c r="P5" s="115" t="s">
        <v>113</v>
      </c>
      <c r="Q5" s="115" t="s">
        <v>114</v>
      </c>
      <c r="R5" s="115" t="s">
        <v>115</v>
      </c>
      <c r="S5" s="115" t="s">
        <v>137</v>
      </c>
      <c r="T5" s="115" t="s">
        <v>138</v>
      </c>
      <c r="U5" s="115" t="s">
        <v>139</v>
      </c>
      <c r="V5" s="115" t="s">
        <v>140</v>
      </c>
      <c r="W5" s="115" t="s">
        <v>141</v>
      </c>
      <c r="X5" s="115" t="s">
        <v>142</v>
      </c>
      <c r="Y5" s="115" t="s">
        <v>143</v>
      </c>
      <c r="Z5" s="115" t="s">
        <v>144</v>
      </c>
      <c r="AA5" s="115" t="s">
        <v>145</v>
      </c>
      <c r="AB5" s="116" t="s">
        <v>146</v>
      </c>
      <c r="AC5" s="115" t="s">
        <v>147</v>
      </c>
      <c r="AD5" s="116" t="s">
        <v>148</v>
      </c>
    </row>
    <row r="6" spans="1:30" ht="14.4" customHeight="1">
      <c r="A6" s="93">
        <v>1</v>
      </c>
      <c r="B6" s="94"/>
      <c r="C6" s="94"/>
      <c r="D6" s="93"/>
      <c r="E6" s="94"/>
      <c r="F6" s="137"/>
      <c r="G6" s="138"/>
      <c r="H6" s="139"/>
      <c r="I6" s="140"/>
      <c r="J6" s="140"/>
      <c r="K6" s="137"/>
      <c r="L6" s="141"/>
      <c r="M6" s="142"/>
      <c r="N6" s="142"/>
      <c r="O6" s="143"/>
      <c r="P6" s="143"/>
      <c r="Q6" s="143"/>
      <c r="R6" s="143"/>
      <c r="S6" s="143"/>
      <c r="T6" s="138"/>
      <c r="U6" s="138"/>
      <c r="V6" s="139"/>
      <c r="W6" s="140"/>
      <c r="X6" s="140"/>
      <c r="Y6" s="137"/>
      <c r="Z6" s="141"/>
      <c r="AA6" s="141"/>
      <c r="AB6" s="138"/>
      <c r="AC6" s="138"/>
      <c r="AD6" s="144"/>
    </row>
    <row r="7" spans="1:30" ht="14.4" customHeight="1">
      <c r="A7" s="93">
        <v>2</v>
      </c>
      <c r="B7" s="94"/>
      <c r="C7" s="94"/>
      <c r="D7" s="93"/>
      <c r="E7" s="94"/>
      <c r="F7" s="137"/>
      <c r="G7" s="138"/>
      <c r="H7" s="139"/>
      <c r="I7" s="140"/>
      <c r="J7" s="140"/>
      <c r="K7" s="137"/>
      <c r="L7" s="141"/>
      <c r="M7" s="141"/>
      <c r="N7" s="141"/>
      <c r="O7" s="138"/>
      <c r="P7" s="138"/>
      <c r="Q7" s="138"/>
      <c r="R7" s="138"/>
      <c r="S7" s="138"/>
      <c r="T7" s="138"/>
      <c r="U7" s="138"/>
      <c r="V7" s="139"/>
      <c r="W7" s="140"/>
      <c r="X7" s="140"/>
      <c r="Y7" s="137"/>
      <c r="Z7" s="141"/>
      <c r="AA7" s="141"/>
      <c r="AB7" s="138"/>
      <c r="AC7" s="138"/>
      <c r="AD7" s="144"/>
    </row>
    <row r="8" spans="1:30" ht="14.4" customHeight="1">
      <c r="A8" s="93">
        <v>3</v>
      </c>
      <c r="B8" s="94"/>
      <c r="C8" s="94"/>
      <c r="D8" s="93"/>
      <c r="E8" s="94"/>
      <c r="F8" s="137"/>
      <c r="G8" s="138"/>
      <c r="H8" s="139"/>
      <c r="I8" s="140"/>
      <c r="J8" s="140"/>
      <c r="K8" s="137"/>
      <c r="L8" s="141"/>
      <c r="M8" s="141"/>
      <c r="N8" s="141"/>
      <c r="O8" s="138"/>
      <c r="P8" s="138"/>
      <c r="Q8" s="138"/>
      <c r="R8" s="138"/>
      <c r="S8" s="138"/>
      <c r="T8" s="138"/>
      <c r="U8" s="138"/>
      <c r="V8" s="139"/>
      <c r="W8" s="140"/>
      <c r="X8" s="140"/>
      <c r="Y8" s="137"/>
      <c r="Z8" s="141"/>
      <c r="AA8" s="141"/>
      <c r="AB8" s="138"/>
      <c r="AC8" s="138"/>
      <c r="AD8" s="144"/>
    </row>
    <row r="9" spans="1:30" s="1" customFormat="1" ht="14.4" customHeight="1">
      <c r="A9" s="93">
        <v>4</v>
      </c>
      <c r="B9" s="94"/>
      <c r="C9" s="94"/>
      <c r="D9" s="93"/>
      <c r="E9" s="94"/>
      <c r="F9" s="137"/>
      <c r="G9" s="138"/>
      <c r="H9" s="139"/>
      <c r="I9" s="140"/>
      <c r="J9" s="140"/>
      <c r="K9" s="137"/>
      <c r="L9" s="141"/>
      <c r="M9" s="141"/>
      <c r="N9" s="141"/>
      <c r="O9" s="138"/>
      <c r="P9" s="138"/>
      <c r="Q9" s="138"/>
      <c r="R9" s="138"/>
      <c r="S9" s="138"/>
      <c r="T9" s="138"/>
      <c r="U9" s="138"/>
      <c r="V9" s="139"/>
      <c r="W9" s="140"/>
      <c r="X9" s="140"/>
      <c r="Y9" s="137"/>
      <c r="Z9" s="141"/>
      <c r="AA9" s="141"/>
      <c r="AB9" s="138"/>
      <c r="AC9" s="138"/>
      <c r="AD9" s="144"/>
    </row>
    <row r="10" spans="1:30" s="1" customFormat="1" ht="14.4" customHeight="1">
      <c r="A10" s="93">
        <v>5</v>
      </c>
      <c r="B10" s="94"/>
      <c r="C10" s="94"/>
      <c r="D10" s="93"/>
      <c r="E10" s="94"/>
      <c r="F10" s="137"/>
      <c r="G10" s="138"/>
      <c r="H10" s="139"/>
      <c r="I10" s="140"/>
      <c r="J10" s="140"/>
      <c r="K10" s="137"/>
      <c r="L10" s="141"/>
      <c r="M10" s="141"/>
      <c r="N10" s="141"/>
      <c r="O10" s="138"/>
      <c r="P10" s="138"/>
      <c r="Q10" s="138"/>
      <c r="R10" s="138"/>
      <c r="S10" s="138"/>
      <c r="T10" s="138"/>
      <c r="U10" s="138"/>
      <c r="V10" s="139"/>
      <c r="W10" s="140"/>
      <c r="X10" s="140"/>
      <c r="Y10" s="137"/>
      <c r="Z10" s="141"/>
      <c r="AA10" s="141"/>
      <c r="AB10" s="138"/>
      <c r="AC10" s="138"/>
      <c r="AD10" s="144"/>
    </row>
    <row r="11" spans="1:30" s="1" customFormat="1" ht="14.4" customHeight="1">
      <c r="A11" s="93">
        <v>6</v>
      </c>
      <c r="B11" s="94"/>
      <c r="C11" s="94"/>
      <c r="D11" s="93"/>
      <c r="E11" s="94"/>
      <c r="F11" s="137"/>
      <c r="G11" s="138"/>
      <c r="H11" s="139"/>
      <c r="I11" s="140"/>
      <c r="J11" s="140"/>
      <c r="K11" s="137"/>
      <c r="L11" s="141"/>
      <c r="M11" s="141"/>
      <c r="N11" s="141"/>
      <c r="O11" s="138"/>
      <c r="P11" s="138"/>
      <c r="Q11" s="138"/>
      <c r="R11" s="138"/>
      <c r="S11" s="138"/>
      <c r="T11" s="138"/>
      <c r="U11" s="138"/>
      <c r="V11" s="139"/>
      <c r="W11" s="140"/>
      <c r="X11" s="140"/>
      <c r="Y11" s="137"/>
      <c r="Z11" s="141"/>
      <c r="AA11" s="141"/>
      <c r="AB11" s="138"/>
      <c r="AC11" s="138"/>
      <c r="AD11" s="144"/>
    </row>
    <row r="12" spans="1:30" s="1" customFormat="1" ht="14.4" customHeight="1">
      <c r="A12" s="93">
        <v>7</v>
      </c>
      <c r="B12" s="94"/>
      <c r="C12" s="94"/>
      <c r="D12" s="93"/>
      <c r="E12" s="94"/>
      <c r="F12" s="137"/>
      <c r="G12" s="138"/>
      <c r="H12" s="139"/>
      <c r="I12" s="140"/>
      <c r="J12" s="140"/>
      <c r="K12" s="137"/>
      <c r="L12" s="141"/>
      <c r="M12" s="141"/>
      <c r="N12" s="141"/>
      <c r="O12" s="138"/>
      <c r="P12" s="138"/>
      <c r="Q12" s="138"/>
      <c r="R12" s="138"/>
      <c r="S12" s="138"/>
      <c r="T12" s="138"/>
      <c r="U12" s="138"/>
      <c r="V12" s="139"/>
      <c r="W12" s="140"/>
      <c r="X12" s="140"/>
      <c r="Y12" s="137"/>
      <c r="Z12" s="141"/>
      <c r="AA12" s="141"/>
      <c r="AB12" s="138"/>
      <c r="AC12" s="138"/>
      <c r="AD12" s="144"/>
    </row>
    <row r="13" spans="1:30" s="1" customFormat="1" ht="14.4" customHeight="1">
      <c r="A13" s="93">
        <v>8</v>
      </c>
      <c r="B13" s="94"/>
      <c r="C13" s="94"/>
      <c r="D13" s="93"/>
      <c r="E13" s="94"/>
      <c r="F13" s="137"/>
      <c r="G13" s="138"/>
      <c r="H13" s="139"/>
      <c r="I13" s="140"/>
      <c r="J13" s="140"/>
      <c r="K13" s="137"/>
      <c r="L13" s="141"/>
      <c r="M13" s="141"/>
      <c r="N13" s="141"/>
      <c r="O13" s="138"/>
      <c r="P13" s="138"/>
      <c r="Q13" s="138"/>
      <c r="R13" s="138"/>
      <c r="S13" s="138"/>
      <c r="T13" s="138"/>
      <c r="U13" s="138"/>
      <c r="V13" s="139"/>
      <c r="W13" s="140"/>
      <c r="X13" s="140"/>
      <c r="Y13" s="137"/>
      <c r="Z13" s="141"/>
      <c r="AA13" s="141"/>
      <c r="AB13" s="138"/>
      <c r="AC13" s="138"/>
      <c r="AD13" s="144"/>
    </row>
    <row r="14" spans="1:30" s="1" customFormat="1" ht="14.4" customHeight="1">
      <c r="A14" s="93">
        <v>9</v>
      </c>
      <c r="B14" s="94"/>
      <c r="C14" s="94"/>
      <c r="D14" s="93"/>
      <c r="E14" s="94"/>
      <c r="F14" s="137"/>
      <c r="G14" s="138"/>
      <c r="H14" s="139"/>
      <c r="I14" s="140"/>
      <c r="J14" s="140"/>
      <c r="K14" s="137"/>
      <c r="L14" s="141"/>
      <c r="M14" s="141"/>
      <c r="N14" s="141"/>
      <c r="O14" s="138"/>
      <c r="P14" s="138"/>
      <c r="Q14" s="138"/>
      <c r="R14" s="138"/>
      <c r="S14" s="138"/>
      <c r="T14" s="138"/>
      <c r="U14" s="138"/>
      <c r="V14" s="139"/>
      <c r="W14" s="140"/>
      <c r="X14" s="140"/>
      <c r="Y14" s="137"/>
      <c r="Z14" s="141"/>
      <c r="AA14" s="141"/>
      <c r="AB14" s="138"/>
      <c r="AC14" s="138"/>
      <c r="AD14" s="144"/>
    </row>
    <row r="15" spans="1:30" s="1" customFormat="1" ht="14.4" customHeight="1">
      <c r="A15" s="93">
        <v>10</v>
      </c>
      <c r="B15" s="94"/>
      <c r="C15" s="94"/>
      <c r="D15" s="93"/>
      <c r="E15" s="94"/>
      <c r="F15" s="137"/>
      <c r="G15" s="138"/>
      <c r="H15" s="139"/>
      <c r="I15" s="140"/>
      <c r="J15" s="140"/>
      <c r="K15" s="137"/>
      <c r="L15" s="141"/>
      <c r="M15" s="141"/>
      <c r="N15" s="141"/>
      <c r="O15" s="138"/>
      <c r="P15" s="138"/>
      <c r="Q15" s="138"/>
      <c r="R15" s="138"/>
      <c r="S15" s="138"/>
      <c r="T15" s="138"/>
      <c r="U15" s="138"/>
      <c r="V15" s="139"/>
      <c r="W15" s="140"/>
      <c r="X15" s="140"/>
      <c r="Y15" s="137"/>
      <c r="Z15" s="141"/>
      <c r="AA15" s="141"/>
      <c r="AB15" s="138"/>
      <c r="AC15" s="138"/>
      <c r="AD15" s="144"/>
    </row>
    <row r="16" spans="1:30" s="1" customFormat="1" ht="14.4" customHeight="1">
      <c r="A16" s="93">
        <v>11</v>
      </c>
      <c r="B16" s="94"/>
      <c r="C16" s="94"/>
      <c r="D16" s="93"/>
      <c r="E16" s="94"/>
      <c r="F16" s="137"/>
      <c r="G16" s="138"/>
      <c r="H16" s="139"/>
      <c r="I16" s="140"/>
      <c r="J16" s="140"/>
      <c r="K16" s="137"/>
      <c r="L16" s="141"/>
      <c r="M16" s="141"/>
      <c r="N16" s="141"/>
      <c r="O16" s="138"/>
      <c r="P16" s="138"/>
      <c r="Q16" s="138"/>
      <c r="R16" s="145"/>
      <c r="S16" s="145"/>
      <c r="T16" s="145"/>
      <c r="U16" s="138"/>
      <c r="V16" s="139"/>
      <c r="W16" s="140"/>
      <c r="X16" s="140"/>
      <c r="Y16" s="137"/>
      <c r="Z16" s="141"/>
      <c r="AA16" s="141"/>
      <c r="AB16" s="138"/>
      <c r="AC16" s="138"/>
      <c r="AD16" s="144"/>
    </row>
    <row r="17" spans="1:31" s="1" customFormat="1" ht="14.4" customHeight="1">
      <c r="A17" s="93">
        <v>12</v>
      </c>
      <c r="B17" s="94"/>
      <c r="C17" s="94"/>
      <c r="D17" s="93"/>
      <c r="E17" s="94"/>
      <c r="F17" s="137"/>
      <c r="G17" s="138"/>
      <c r="H17" s="139"/>
      <c r="I17" s="140"/>
      <c r="J17" s="140"/>
      <c r="K17" s="137"/>
      <c r="L17" s="141"/>
      <c r="M17" s="141"/>
      <c r="N17" s="141"/>
      <c r="O17" s="138"/>
      <c r="P17" s="138"/>
      <c r="Q17" s="138"/>
      <c r="R17" s="145"/>
      <c r="S17" s="145"/>
      <c r="T17" s="145"/>
      <c r="U17" s="138"/>
      <c r="V17" s="139"/>
      <c r="W17" s="140"/>
      <c r="X17" s="140"/>
      <c r="Y17" s="137"/>
      <c r="Z17" s="141"/>
      <c r="AA17" s="141"/>
      <c r="AB17" s="138"/>
      <c r="AC17" s="138"/>
      <c r="AD17" s="144"/>
    </row>
    <row r="18" spans="1:31" s="1" customFormat="1" ht="14.4" customHeight="1">
      <c r="A18" s="93">
        <v>13</v>
      </c>
      <c r="B18" s="94"/>
      <c r="C18" s="94"/>
      <c r="D18" s="93"/>
      <c r="E18" s="94"/>
      <c r="F18" s="137"/>
      <c r="G18" s="138"/>
      <c r="H18" s="139"/>
      <c r="I18" s="140"/>
      <c r="J18" s="140"/>
      <c r="K18" s="137"/>
      <c r="L18" s="141"/>
      <c r="M18" s="141"/>
      <c r="N18" s="141"/>
      <c r="O18" s="138"/>
      <c r="P18" s="138"/>
      <c r="Q18" s="138"/>
      <c r="R18" s="145"/>
      <c r="S18" s="145"/>
      <c r="T18" s="145"/>
      <c r="U18" s="138"/>
      <c r="V18" s="139"/>
      <c r="W18" s="140"/>
      <c r="X18" s="140"/>
      <c r="Y18" s="137"/>
      <c r="Z18" s="141"/>
      <c r="AA18" s="141"/>
      <c r="AB18" s="138"/>
      <c r="AC18" s="138"/>
      <c r="AD18" s="144"/>
    </row>
    <row r="19" spans="1:31" ht="14.4" customHeight="1">
      <c r="A19" s="93">
        <v>14</v>
      </c>
      <c r="B19" s="94"/>
      <c r="C19" s="94"/>
      <c r="D19" s="93"/>
      <c r="E19" s="94"/>
      <c r="F19" s="137"/>
      <c r="G19" s="138"/>
      <c r="H19" s="139"/>
      <c r="I19" s="140"/>
      <c r="J19" s="140"/>
      <c r="K19" s="137"/>
      <c r="L19" s="141"/>
      <c r="M19" s="141"/>
      <c r="N19" s="141"/>
      <c r="O19" s="138"/>
      <c r="P19" s="138"/>
      <c r="Q19" s="138"/>
      <c r="R19" s="145"/>
      <c r="S19" s="145"/>
      <c r="T19" s="145"/>
      <c r="U19" s="138"/>
      <c r="V19" s="139"/>
      <c r="W19" s="140"/>
      <c r="X19" s="140"/>
      <c r="Y19" s="137"/>
      <c r="Z19" s="141"/>
      <c r="AA19" s="141"/>
      <c r="AB19" s="138"/>
      <c r="AC19" s="138"/>
      <c r="AD19" s="144"/>
    </row>
    <row r="20" spans="1:31" ht="14.4" customHeight="1">
      <c r="A20" s="93">
        <v>15</v>
      </c>
      <c r="B20" s="94"/>
      <c r="C20" s="94"/>
      <c r="D20" s="93"/>
      <c r="E20" s="94"/>
      <c r="F20" s="137"/>
      <c r="G20" s="138"/>
      <c r="H20" s="139"/>
      <c r="I20" s="140"/>
      <c r="J20" s="140"/>
      <c r="K20" s="137"/>
      <c r="L20" s="141"/>
      <c r="M20" s="141"/>
      <c r="N20" s="141"/>
      <c r="O20" s="138"/>
      <c r="P20" s="138"/>
      <c r="Q20" s="138"/>
      <c r="R20" s="145"/>
      <c r="S20" s="145"/>
      <c r="T20" s="145"/>
      <c r="U20" s="138"/>
      <c r="V20" s="139"/>
      <c r="W20" s="140"/>
      <c r="X20" s="140"/>
      <c r="Y20" s="137"/>
      <c r="Z20" s="141"/>
      <c r="AA20" s="141"/>
      <c r="AB20" s="138"/>
      <c r="AC20" s="138"/>
      <c r="AD20" s="144"/>
    </row>
    <row r="21" spans="1:31" ht="14.4" customHeight="1">
      <c r="A21" s="93">
        <v>16</v>
      </c>
      <c r="B21" s="94"/>
      <c r="C21" s="94"/>
      <c r="D21" s="93"/>
      <c r="E21" s="94"/>
      <c r="F21" s="137"/>
      <c r="G21" s="138"/>
      <c r="H21" s="139"/>
      <c r="I21" s="140"/>
      <c r="J21" s="140"/>
      <c r="K21" s="137"/>
      <c r="L21" s="141"/>
      <c r="M21" s="141"/>
      <c r="N21" s="141"/>
      <c r="O21" s="138"/>
      <c r="P21" s="138"/>
      <c r="Q21" s="138"/>
      <c r="R21" s="145"/>
      <c r="S21" s="145"/>
      <c r="T21" s="145"/>
      <c r="U21" s="138"/>
      <c r="V21" s="139"/>
      <c r="W21" s="140"/>
      <c r="X21" s="140"/>
      <c r="Y21" s="137"/>
      <c r="Z21" s="141"/>
      <c r="AA21" s="141"/>
      <c r="AB21" s="138"/>
      <c r="AC21" s="138"/>
      <c r="AD21" s="144"/>
    </row>
    <row r="22" spans="1:31" ht="14.4" customHeight="1">
      <c r="A22" s="93">
        <v>17</v>
      </c>
      <c r="B22" s="94"/>
      <c r="C22" s="94"/>
      <c r="D22" s="93"/>
      <c r="E22" s="94"/>
      <c r="F22" s="137"/>
      <c r="G22" s="138"/>
      <c r="H22" s="139"/>
      <c r="I22" s="140"/>
      <c r="J22" s="140"/>
      <c r="K22" s="137"/>
      <c r="L22" s="141"/>
      <c r="M22" s="141"/>
      <c r="N22" s="141"/>
      <c r="O22" s="138"/>
      <c r="P22" s="138"/>
      <c r="Q22" s="138"/>
      <c r="R22" s="145"/>
      <c r="S22" s="145"/>
      <c r="T22" s="145"/>
      <c r="U22" s="138"/>
      <c r="V22" s="139"/>
      <c r="W22" s="140"/>
      <c r="X22" s="140"/>
      <c r="Y22" s="137"/>
      <c r="Z22" s="141"/>
      <c r="AA22" s="141"/>
      <c r="AB22" s="138"/>
      <c r="AC22" s="138"/>
      <c r="AD22" s="144"/>
    </row>
    <row r="23" spans="1:31" ht="14.4" customHeight="1">
      <c r="A23" s="93">
        <v>18</v>
      </c>
      <c r="B23" s="94"/>
      <c r="C23" s="94"/>
      <c r="D23" s="93"/>
      <c r="E23" s="94"/>
      <c r="F23" s="137"/>
      <c r="G23" s="138"/>
      <c r="H23" s="139"/>
      <c r="I23" s="140"/>
      <c r="J23" s="140"/>
      <c r="K23" s="137"/>
      <c r="L23" s="141"/>
      <c r="M23" s="141"/>
      <c r="N23" s="141"/>
      <c r="O23" s="138"/>
      <c r="P23" s="138"/>
      <c r="Q23" s="138"/>
      <c r="R23" s="145"/>
      <c r="S23" s="145"/>
      <c r="T23" s="145"/>
      <c r="U23" s="138"/>
      <c r="V23" s="139"/>
      <c r="W23" s="140"/>
      <c r="X23" s="140"/>
      <c r="Y23" s="137"/>
      <c r="Z23" s="141"/>
      <c r="AA23" s="141"/>
      <c r="AB23" s="138"/>
      <c r="AC23" s="138"/>
      <c r="AD23" s="144"/>
    </row>
    <row r="24" spans="1:31" ht="14.4" customHeight="1">
      <c r="A24" s="93">
        <v>19</v>
      </c>
      <c r="B24" s="94"/>
      <c r="C24" s="94"/>
      <c r="D24" s="93"/>
      <c r="E24" s="94"/>
      <c r="F24" s="137"/>
      <c r="G24" s="138"/>
      <c r="H24" s="139"/>
      <c r="I24" s="140"/>
      <c r="J24" s="140"/>
      <c r="K24" s="137"/>
      <c r="L24" s="141"/>
      <c r="M24" s="141"/>
      <c r="N24" s="141"/>
      <c r="O24" s="138"/>
      <c r="P24" s="138"/>
      <c r="Q24" s="138"/>
      <c r="R24" s="145"/>
      <c r="S24" s="145"/>
      <c r="T24" s="145"/>
      <c r="U24" s="138"/>
      <c r="V24" s="139"/>
      <c r="W24" s="140"/>
      <c r="X24" s="140"/>
      <c r="Y24" s="137"/>
      <c r="Z24" s="141"/>
      <c r="AA24" s="141"/>
      <c r="AB24" s="138"/>
      <c r="AC24" s="138"/>
      <c r="AD24" s="144"/>
    </row>
    <row r="25" spans="1:31" ht="14.4" customHeight="1">
      <c r="A25" s="93">
        <v>20</v>
      </c>
      <c r="B25" s="94"/>
      <c r="C25" s="94"/>
      <c r="D25" s="93"/>
      <c r="E25" s="94"/>
      <c r="F25" s="137"/>
      <c r="G25" s="138"/>
      <c r="H25" s="139"/>
      <c r="I25" s="140"/>
      <c r="J25" s="140"/>
      <c r="K25" s="137"/>
      <c r="L25" s="141"/>
      <c r="M25" s="141"/>
      <c r="N25" s="141"/>
      <c r="O25" s="138"/>
      <c r="P25" s="138"/>
      <c r="Q25" s="138"/>
      <c r="R25" s="145"/>
      <c r="S25" s="145"/>
      <c r="T25" s="145"/>
      <c r="U25" s="138"/>
      <c r="V25" s="139"/>
      <c r="W25" s="140"/>
      <c r="X25" s="140"/>
      <c r="Y25" s="137"/>
      <c r="Z25" s="141"/>
      <c r="AA25" s="141"/>
      <c r="AB25" s="138"/>
      <c r="AC25" s="138"/>
      <c r="AD25" s="144"/>
      <c r="AE25" s="132" t="s">
        <v>130</v>
      </c>
    </row>
    <row r="26" spans="1:31" ht="14.4" customHeight="1">
      <c r="A26" s="93">
        <v>21</v>
      </c>
      <c r="B26" s="94"/>
      <c r="C26" s="94"/>
      <c r="D26" s="93"/>
      <c r="E26" s="94"/>
      <c r="F26" s="137"/>
      <c r="G26" s="138"/>
      <c r="H26" s="139"/>
      <c r="I26" s="140"/>
      <c r="J26" s="140"/>
      <c r="K26" s="137"/>
      <c r="L26" s="141"/>
      <c r="M26" s="141"/>
      <c r="N26" s="141"/>
      <c r="O26" s="138"/>
      <c r="P26" s="138"/>
      <c r="Q26" s="138"/>
      <c r="R26" s="145"/>
      <c r="S26" s="145"/>
      <c r="T26" s="145"/>
      <c r="U26" s="138"/>
      <c r="V26" s="139"/>
      <c r="W26" s="140"/>
      <c r="X26" s="140"/>
      <c r="Y26" s="137"/>
      <c r="Z26" s="141"/>
      <c r="AA26" s="141"/>
      <c r="AB26" s="138"/>
      <c r="AC26" s="138"/>
      <c r="AD26" s="144"/>
      <c r="AE26" s="132" t="s">
        <v>131</v>
      </c>
    </row>
    <row r="27" spans="1:31" ht="14.4" customHeight="1">
      <c r="A27" s="93">
        <v>22</v>
      </c>
      <c r="B27" s="94"/>
      <c r="C27" s="94"/>
      <c r="D27" s="93"/>
      <c r="E27" s="94"/>
      <c r="F27" s="137"/>
      <c r="G27" s="138"/>
      <c r="H27" s="139"/>
      <c r="I27" s="140"/>
      <c r="J27" s="140"/>
      <c r="K27" s="137"/>
      <c r="L27" s="141"/>
      <c r="M27" s="141"/>
      <c r="N27" s="141"/>
      <c r="O27" s="138"/>
      <c r="P27" s="138"/>
      <c r="Q27" s="138"/>
      <c r="R27" s="145"/>
      <c r="S27" s="145"/>
      <c r="T27" s="145"/>
      <c r="U27" s="138"/>
      <c r="V27" s="139"/>
      <c r="W27" s="140"/>
      <c r="X27" s="140"/>
      <c r="Y27" s="137"/>
      <c r="Z27" s="141"/>
      <c r="AA27" s="141"/>
      <c r="AB27" s="138"/>
      <c r="AC27" s="138"/>
      <c r="AD27" s="144"/>
      <c r="AE27" s="132" t="s">
        <v>132</v>
      </c>
    </row>
    <row r="28" spans="1:31" ht="14.4" customHeight="1">
      <c r="A28" s="93">
        <v>23</v>
      </c>
      <c r="B28" s="94"/>
      <c r="C28" s="94"/>
      <c r="D28" s="93"/>
      <c r="E28" s="94"/>
      <c r="F28" s="137"/>
      <c r="G28" s="138"/>
      <c r="H28" s="139"/>
      <c r="I28" s="140"/>
      <c r="J28" s="140"/>
      <c r="K28" s="137"/>
      <c r="L28" s="141"/>
      <c r="M28" s="141"/>
      <c r="N28" s="141"/>
      <c r="O28" s="138"/>
      <c r="P28" s="138"/>
      <c r="Q28" s="138"/>
      <c r="R28" s="145"/>
      <c r="S28" s="145"/>
      <c r="T28" s="145"/>
      <c r="U28" s="138"/>
      <c r="V28" s="139"/>
      <c r="W28" s="140"/>
      <c r="X28" s="140"/>
      <c r="Y28" s="137"/>
      <c r="Z28" s="141"/>
      <c r="AA28" s="141"/>
      <c r="AB28" s="138"/>
      <c r="AC28" s="138"/>
      <c r="AD28" s="144"/>
      <c r="AE28" s="132" t="s">
        <v>133</v>
      </c>
    </row>
    <row r="29" spans="1:31" ht="14.4" customHeight="1">
      <c r="A29" s="93">
        <v>24</v>
      </c>
      <c r="B29" s="94"/>
      <c r="C29" s="94"/>
      <c r="D29" s="93"/>
      <c r="E29" s="94"/>
      <c r="F29" s="137"/>
      <c r="G29" s="138"/>
      <c r="H29" s="139"/>
      <c r="I29" s="140"/>
      <c r="J29" s="140"/>
      <c r="K29" s="137"/>
      <c r="L29" s="141"/>
      <c r="M29" s="141"/>
      <c r="N29" s="141"/>
      <c r="O29" s="138"/>
      <c r="P29" s="138"/>
      <c r="Q29" s="138"/>
      <c r="R29" s="145"/>
      <c r="S29" s="145"/>
      <c r="T29" s="145"/>
      <c r="U29" s="138"/>
      <c r="V29" s="139"/>
      <c r="W29" s="140"/>
      <c r="X29" s="140"/>
      <c r="Y29" s="137"/>
      <c r="Z29" s="141"/>
      <c r="AA29" s="141"/>
      <c r="AB29" s="138"/>
      <c r="AC29" s="138"/>
      <c r="AD29" s="144"/>
      <c r="AE29" s="132" t="s">
        <v>134</v>
      </c>
    </row>
    <row r="30" spans="1:31" ht="14.4" customHeight="1">
      <c r="A30" s="93">
        <v>25</v>
      </c>
      <c r="B30" s="94"/>
      <c r="C30" s="94"/>
      <c r="D30" s="93"/>
      <c r="E30" s="94"/>
      <c r="F30" s="137"/>
      <c r="G30" s="138"/>
      <c r="H30" s="139"/>
      <c r="I30" s="140"/>
      <c r="J30" s="140"/>
      <c r="K30" s="137"/>
      <c r="L30" s="141"/>
      <c r="M30" s="141"/>
      <c r="N30" s="141"/>
      <c r="O30" s="138"/>
      <c r="P30" s="138"/>
      <c r="Q30" s="138"/>
      <c r="R30" s="145"/>
      <c r="S30" s="145"/>
      <c r="T30" s="145"/>
      <c r="U30" s="138"/>
      <c r="V30" s="139"/>
      <c r="W30" s="140"/>
      <c r="X30" s="140"/>
      <c r="Y30" s="137"/>
      <c r="Z30" s="141"/>
      <c r="AA30" s="141"/>
      <c r="AB30" s="138"/>
      <c r="AC30" s="138"/>
      <c r="AD30" s="144"/>
      <c r="AE30" s="132" t="s">
        <v>135</v>
      </c>
    </row>
    <row r="31" spans="1:31" ht="14.4" customHeight="1">
      <c r="A31" s="93">
        <v>26</v>
      </c>
      <c r="B31" s="94"/>
      <c r="C31" s="94"/>
      <c r="D31" s="93"/>
      <c r="E31" s="94"/>
      <c r="F31" s="137"/>
      <c r="G31" s="138"/>
      <c r="H31" s="139"/>
      <c r="I31" s="140"/>
      <c r="J31" s="140"/>
      <c r="K31" s="137"/>
      <c r="L31" s="141"/>
      <c r="M31" s="141"/>
      <c r="N31" s="141"/>
      <c r="O31" s="138"/>
      <c r="P31" s="138"/>
      <c r="Q31" s="138"/>
      <c r="R31" s="145"/>
      <c r="S31" s="145"/>
      <c r="T31" s="145"/>
      <c r="U31" s="138"/>
      <c r="V31" s="139"/>
      <c r="W31" s="140"/>
      <c r="X31" s="140"/>
      <c r="Y31" s="137"/>
      <c r="Z31" s="141"/>
      <c r="AA31" s="141"/>
      <c r="AB31" s="138"/>
      <c r="AC31" s="138"/>
      <c r="AD31" s="144"/>
    </row>
    <row r="32" spans="1:31" ht="14.4" customHeight="1">
      <c r="A32" s="93">
        <v>27</v>
      </c>
      <c r="B32" s="94"/>
      <c r="C32" s="94"/>
      <c r="D32" s="93"/>
      <c r="E32" s="94"/>
      <c r="F32" s="137"/>
      <c r="G32" s="138"/>
      <c r="H32" s="139"/>
      <c r="I32" s="140"/>
      <c r="J32" s="140"/>
      <c r="K32" s="137"/>
      <c r="L32" s="141"/>
      <c r="M32" s="141"/>
      <c r="N32" s="141"/>
      <c r="O32" s="138"/>
      <c r="P32" s="138"/>
      <c r="Q32" s="138"/>
      <c r="R32" s="145"/>
      <c r="S32" s="145"/>
      <c r="T32" s="145"/>
      <c r="U32" s="138"/>
      <c r="V32" s="139"/>
      <c r="W32" s="140"/>
      <c r="X32" s="140"/>
      <c r="Y32" s="137"/>
      <c r="Z32" s="141"/>
      <c r="AA32" s="141"/>
      <c r="AB32" s="138"/>
      <c r="AC32" s="138"/>
      <c r="AD32" s="144"/>
    </row>
    <row r="33" spans="1:40" ht="14.4" customHeight="1">
      <c r="A33" s="93">
        <v>28</v>
      </c>
      <c r="B33" s="94"/>
      <c r="C33" s="94"/>
      <c r="D33" s="93"/>
      <c r="E33" s="94"/>
      <c r="F33" s="137"/>
      <c r="G33" s="138"/>
      <c r="H33" s="139"/>
      <c r="I33" s="140"/>
      <c r="J33" s="140"/>
      <c r="K33" s="137"/>
      <c r="L33" s="141"/>
      <c r="M33" s="141"/>
      <c r="N33" s="141"/>
      <c r="O33" s="138"/>
      <c r="P33" s="138"/>
      <c r="Q33" s="138"/>
      <c r="R33" s="145"/>
      <c r="S33" s="145"/>
      <c r="T33" s="145"/>
      <c r="U33" s="138"/>
      <c r="V33" s="139"/>
      <c r="W33" s="140"/>
      <c r="X33" s="140"/>
      <c r="Y33" s="137"/>
      <c r="Z33" s="141"/>
      <c r="AA33" s="141"/>
      <c r="AB33" s="138"/>
      <c r="AC33" s="138"/>
      <c r="AD33" s="144"/>
    </row>
    <row r="34" spans="1:40" ht="14.4" customHeight="1">
      <c r="A34" s="93">
        <v>29</v>
      </c>
      <c r="B34" s="94"/>
      <c r="C34" s="94"/>
      <c r="D34" s="93"/>
      <c r="E34" s="94"/>
      <c r="F34" s="137"/>
      <c r="G34" s="138"/>
      <c r="H34" s="139"/>
      <c r="I34" s="140"/>
      <c r="J34" s="140"/>
      <c r="K34" s="137"/>
      <c r="L34" s="141"/>
      <c r="M34" s="141"/>
      <c r="N34" s="141"/>
      <c r="O34" s="138"/>
      <c r="P34" s="138"/>
      <c r="Q34" s="138"/>
      <c r="R34" s="145"/>
      <c r="S34" s="145"/>
      <c r="T34" s="145"/>
      <c r="U34" s="138"/>
      <c r="V34" s="139"/>
      <c r="W34" s="140"/>
      <c r="X34" s="140"/>
      <c r="Y34" s="137"/>
      <c r="Z34" s="141"/>
      <c r="AA34" s="141"/>
      <c r="AB34" s="138"/>
      <c r="AC34" s="138"/>
      <c r="AD34" s="144"/>
    </row>
    <row r="35" spans="1:40" ht="14.4" customHeight="1">
      <c r="A35" s="93">
        <v>30</v>
      </c>
      <c r="B35" s="94"/>
      <c r="C35" s="94"/>
      <c r="D35" s="93"/>
      <c r="E35" s="94"/>
      <c r="F35" s="137"/>
      <c r="G35" s="138"/>
      <c r="H35" s="139"/>
      <c r="I35" s="140"/>
      <c r="J35" s="140"/>
      <c r="K35" s="137"/>
      <c r="L35" s="141"/>
      <c r="M35" s="141"/>
      <c r="N35" s="141"/>
      <c r="O35" s="138"/>
      <c r="P35" s="138"/>
      <c r="Q35" s="138"/>
      <c r="R35" s="145"/>
      <c r="S35" s="145"/>
      <c r="T35" s="145"/>
      <c r="U35" s="138"/>
      <c r="V35" s="139"/>
      <c r="W35" s="140"/>
      <c r="X35" s="140"/>
      <c r="Y35" s="137"/>
      <c r="Z35" s="141"/>
      <c r="AA35" s="141"/>
      <c r="AB35" s="138"/>
      <c r="AC35" s="138"/>
      <c r="AD35" s="144"/>
    </row>
    <row r="36" spans="1:40" ht="14.4" customHeight="1">
      <c r="A36" s="93">
        <v>31</v>
      </c>
      <c r="B36" s="94"/>
      <c r="C36" s="94"/>
      <c r="D36" s="93"/>
      <c r="E36" s="94"/>
      <c r="F36" s="137"/>
      <c r="G36" s="138"/>
      <c r="H36" s="139"/>
      <c r="I36" s="140"/>
      <c r="J36" s="140"/>
      <c r="K36" s="137"/>
      <c r="L36" s="141"/>
      <c r="M36" s="141"/>
      <c r="N36" s="141"/>
      <c r="O36" s="138"/>
      <c r="P36" s="138"/>
      <c r="Q36" s="138"/>
      <c r="R36" s="145"/>
      <c r="S36" s="145"/>
      <c r="T36" s="145"/>
      <c r="U36" s="138"/>
      <c r="V36" s="139"/>
      <c r="W36" s="140"/>
      <c r="X36" s="140"/>
      <c r="Y36" s="137"/>
      <c r="Z36" s="141"/>
      <c r="AA36" s="141"/>
      <c r="AB36" s="138"/>
      <c r="AC36" s="138"/>
      <c r="AD36" s="144"/>
    </row>
    <row r="37" spans="1:40" s="70" customFormat="1" ht="14.4" customHeight="1">
      <c r="A37" s="93">
        <v>32</v>
      </c>
      <c r="B37" s="94"/>
      <c r="C37" s="94"/>
      <c r="D37" s="93"/>
      <c r="E37" s="94"/>
      <c r="F37" s="137"/>
      <c r="G37" s="138"/>
      <c r="H37" s="139"/>
      <c r="I37" s="140"/>
      <c r="J37" s="140"/>
      <c r="K37" s="137"/>
      <c r="L37" s="141"/>
      <c r="M37" s="141"/>
      <c r="N37" s="141"/>
      <c r="O37" s="138"/>
      <c r="P37" s="138"/>
      <c r="Q37" s="138"/>
      <c r="R37" s="145"/>
      <c r="S37" s="145"/>
      <c r="T37" s="145"/>
      <c r="U37" s="138"/>
      <c r="V37" s="139"/>
      <c r="W37" s="140"/>
      <c r="X37" s="140"/>
      <c r="Y37" s="137"/>
      <c r="Z37" s="141"/>
      <c r="AA37" s="141"/>
      <c r="AB37" s="138"/>
      <c r="AC37" s="138"/>
      <c r="AD37" s="1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</row>
    <row r="38" spans="1:40" s="70" customFormat="1" ht="14.4" customHeight="1">
      <c r="A38" s="93">
        <v>33</v>
      </c>
      <c r="B38" s="94"/>
      <c r="C38" s="94"/>
      <c r="D38" s="93"/>
      <c r="E38" s="94"/>
      <c r="F38" s="137"/>
      <c r="G38" s="138"/>
      <c r="H38" s="139"/>
      <c r="I38" s="140"/>
      <c r="J38" s="140"/>
      <c r="K38" s="137"/>
      <c r="L38" s="141"/>
      <c r="M38" s="141"/>
      <c r="N38" s="141"/>
      <c r="O38" s="138"/>
      <c r="P38" s="138"/>
      <c r="Q38" s="138"/>
      <c r="R38" s="145"/>
      <c r="S38" s="145"/>
      <c r="T38" s="145"/>
      <c r="U38" s="138"/>
      <c r="V38" s="139"/>
      <c r="W38" s="140"/>
      <c r="X38" s="140"/>
      <c r="Y38" s="137"/>
      <c r="Z38" s="141"/>
      <c r="AA38" s="141"/>
      <c r="AB38" s="138"/>
      <c r="AC38" s="138"/>
      <c r="AD38" s="1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</row>
    <row r="39" spans="1:40" s="70" customFormat="1" ht="14.4" customHeight="1">
      <c r="A39" s="93">
        <v>34</v>
      </c>
      <c r="B39" s="94"/>
      <c r="C39" s="94"/>
      <c r="D39" s="93"/>
      <c r="E39" s="94"/>
      <c r="F39" s="137"/>
      <c r="G39" s="138"/>
      <c r="H39" s="139"/>
      <c r="I39" s="140"/>
      <c r="J39" s="140"/>
      <c r="K39" s="137"/>
      <c r="L39" s="141"/>
      <c r="M39" s="141"/>
      <c r="N39" s="141"/>
      <c r="O39" s="138"/>
      <c r="P39" s="138"/>
      <c r="Q39" s="138"/>
      <c r="R39" s="145"/>
      <c r="S39" s="145"/>
      <c r="T39" s="145"/>
      <c r="U39" s="138"/>
      <c r="V39" s="139"/>
      <c r="W39" s="140"/>
      <c r="X39" s="140"/>
      <c r="Y39" s="137"/>
      <c r="Z39" s="141"/>
      <c r="AA39" s="141"/>
      <c r="AB39" s="138"/>
      <c r="AC39" s="138"/>
      <c r="AD39" s="1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</row>
    <row r="40" spans="1:40" s="70" customFormat="1" ht="14.4" customHeight="1">
      <c r="A40" s="93">
        <v>35</v>
      </c>
      <c r="B40" s="94"/>
      <c r="C40" s="94"/>
      <c r="D40" s="93"/>
      <c r="E40" s="94"/>
      <c r="F40" s="137"/>
      <c r="G40" s="138"/>
      <c r="H40" s="139"/>
      <c r="I40" s="140"/>
      <c r="J40" s="140"/>
      <c r="K40" s="137"/>
      <c r="L40" s="141"/>
      <c r="M40" s="141"/>
      <c r="N40" s="141"/>
      <c r="O40" s="138"/>
      <c r="P40" s="138"/>
      <c r="Q40" s="138"/>
      <c r="R40" s="145"/>
      <c r="S40" s="145"/>
      <c r="T40" s="145"/>
      <c r="U40" s="138"/>
      <c r="V40" s="139"/>
      <c r="W40" s="140"/>
      <c r="X40" s="140"/>
      <c r="Y40" s="137"/>
      <c r="Z40" s="141"/>
      <c r="AA40" s="141"/>
      <c r="AB40" s="138"/>
      <c r="AC40" s="138"/>
      <c r="AD40" s="1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</row>
    <row r="41" spans="1:40" s="70" customFormat="1" ht="14.4" customHeight="1">
      <c r="A41" s="93">
        <v>36</v>
      </c>
      <c r="B41" s="94"/>
      <c r="C41" s="94"/>
      <c r="D41" s="93"/>
      <c r="E41" s="94"/>
      <c r="F41" s="137"/>
      <c r="G41" s="138"/>
      <c r="H41" s="139"/>
      <c r="I41" s="140"/>
      <c r="J41" s="140"/>
      <c r="K41" s="137"/>
      <c r="L41" s="141"/>
      <c r="M41" s="141"/>
      <c r="N41" s="141"/>
      <c r="O41" s="138"/>
      <c r="P41" s="138"/>
      <c r="Q41" s="138"/>
      <c r="R41" s="145"/>
      <c r="S41" s="145"/>
      <c r="T41" s="145"/>
      <c r="U41" s="138"/>
      <c r="V41" s="139"/>
      <c r="W41" s="140"/>
      <c r="X41" s="140"/>
      <c r="Y41" s="137"/>
      <c r="Z41" s="141"/>
      <c r="AA41" s="141"/>
      <c r="AB41" s="138"/>
      <c r="AC41" s="138"/>
      <c r="AD41" s="1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</row>
    <row r="42" spans="1:40" s="70" customFormat="1" ht="14.4" customHeight="1">
      <c r="A42" s="93">
        <v>37</v>
      </c>
      <c r="B42" s="94"/>
      <c r="C42" s="94"/>
      <c r="D42" s="93"/>
      <c r="E42" s="94"/>
      <c r="F42" s="137"/>
      <c r="G42" s="138"/>
      <c r="H42" s="139"/>
      <c r="I42" s="140"/>
      <c r="J42" s="140"/>
      <c r="K42" s="137"/>
      <c r="L42" s="141"/>
      <c r="M42" s="141"/>
      <c r="N42" s="141"/>
      <c r="O42" s="138"/>
      <c r="P42" s="138"/>
      <c r="Q42" s="138"/>
      <c r="R42" s="145"/>
      <c r="S42" s="145"/>
      <c r="T42" s="145"/>
      <c r="U42" s="138"/>
      <c r="V42" s="139"/>
      <c r="W42" s="140"/>
      <c r="X42" s="140"/>
      <c r="Y42" s="137"/>
      <c r="Z42" s="141"/>
      <c r="AA42" s="141"/>
      <c r="AB42" s="138"/>
      <c r="AC42" s="138"/>
      <c r="AD42" s="1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</row>
    <row r="43" spans="1:40" s="70" customFormat="1" ht="14.4" customHeight="1">
      <c r="A43" s="93">
        <v>38</v>
      </c>
      <c r="B43" s="94"/>
      <c r="C43" s="94"/>
      <c r="D43" s="93"/>
      <c r="E43" s="94"/>
      <c r="F43" s="137"/>
      <c r="G43" s="138"/>
      <c r="H43" s="139"/>
      <c r="I43" s="140"/>
      <c r="J43" s="140"/>
      <c r="K43" s="137"/>
      <c r="L43" s="141"/>
      <c r="M43" s="141"/>
      <c r="N43" s="141"/>
      <c r="O43" s="138"/>
      <c r="P43" s="138"/>
      <c r="Q43" s="138"/>
      <c r="R43" s="145"/>
      <c r="S43" s="145"/>
      <c r="T43" s="145"/>
      <c r="U43" s="138"/>
      <c r="V43" s="139"/>
      <c r="W43" s="140"/>
      <c r="X43" s="140"/>
      <c r="Y43" s="137"/>
      <c r="Z43" s="141"/>
      <c r="AA43" s="141"/>
      <c r="AB43" s="138"/>
      <c r="AC43" s="138"/>
      <c r="AD43" s="1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</row>
    <row r="44" spans="1:40" s="70" customFormat="1" ht="14.4" customHeight="1">
      <c r="A44" s="93">
        <v>39</v>
      </c>
      <c r="B44" s="94"/>
      <c r="C44" s="94"/>
      <c r="D44" s="93"/>
      <c r="E44" s="94"/>
      <c r="F44" s="137"/>
      <c r="G44" s="138"/>
      <c r="H44" s="139"/>
      <c r="I44" s="140"/>
      <c r="J44" s="140"/>
      <c r="K44" s="137"/>
      <c r="L44" s="141"/>
      <c r="M44" s="141"/>
      <c r="N44" s="141"/>
      <c r="O44" s="138"/>
      <c r="P44" s="138"/>
      <c r="Q44" s="138"/>
      <c r="R44" s="145"/>
      <c r="S44" s="145"/>
      <c r="T44" s="145"/>
      <c r="U44" s="138"/>
      <c r="V44" s="139"/>
      <c r="W44" s="140"/>
      <c r="X44" s="140"/>
      <c r="Y44" s="137"/>
      <c r="Z44" s="141"/>
      <c r="AA44" s="141"/>
      <c r="AB44" s="138"/>
      <c r="AC44" s="138"/>
      <c r="AD44" s="1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</row>
    <row r="45" spans="1:40" s="70" customFormat="1" ht="14.4" customHeight="1">
      <c r="A45" s="93">
        <v>40</v>
      </c>
      <c r="B45" s="94"/>
      <c r="C45" s="94"/>
      <c r="D45" s="93"/>
      <c r="E45" s="94"/>
      <c r="F45" s="137"/>
      <c r="G45" s="138"/>
      <c r="H45" s="139"/>
      <c r="I45" s="140"/>
      <c r="J45" s="140"/>
      <c r="K45" s="137"/>
      <c r="L45" s="141"/>
      <c r="M45" s="141"/>
      <c r="N45" s="141"/>
      <c r="O45" s="138"/>
      <c r="P45" s="138"/>
      <c r="Q45" s="138"/>
      <c r="R45" s="145"/>
      <c r="S45" s="145"/>
      <c r="T45" s="145"/>
      <c r="U45" s="138"/>
      <c r="V45" s="139"/>
      <c r="W45" s="140"/>
      <c r="X45" s="140"/>
      <c r="Y45" s="137"/>
      <c r="Z45" s="141"/>
      <c r="AA45" s="141"/>
      <c r="AB45" s="138"/>
      <c r="AC45" s="138"/>
      <c r="AD45" s="1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</row>
    <row r="46" spans="1:40" s="70" customFormat="1" ht="14.4" customHeight="1">
      <c r="A46" s="93">
        <v>41</v>
      </c>
      <c r="B46" s="94"/>
      <c r="C46" s="94"/>
      <c r="D46" s="93"/>
      <c r="E46" s="94"/>
      <c r="F46" s="137"/>
      <c r="G46" s="138"/>
      <c r="H46" s="139"/>
      <c r="I46" s="140"/>
      <c r="J46" s="140"/>
      <c r="K46" s="137"/>
      <c r="L46" s="141"/>
      <c r="M46" s="141"/>
      <c r="N46" s="141"/>
      <c r="O46" s="138"/>
      <c r="P46" s="138"/>
      <c r="Q46" s="138"/>
      <c r="R46" s="145"/>
      <c r="S46" s="145"/>
      <c r="T46" s="145"/>
      <c r="U46" s="138"/>
      <c r="V46" s="139"/>
      <c r="W46" s="140"/>
      <c r="X46" s="140"/>
      <c r="Y46" s="137"/>
      <c r="Z46" s="141"/>
      <c r="AA46" s="141"/>
      <c r="AB46" s="138"/>
      <c r="AC46" s="138"/>
      <c r="AD46" s="1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</row>
    <row r="47" spans="1:40" s="70" customFormat="1" ht="14.4" customHeight="1">
      <c r="A47" s="93">
        <v>42</v>
      </c>
      <c r="B47" s="94"/>
      <c r="C47" s="94"/>
      <c r="D47" s="93"/>
      <c r="E47" s="94"/>
      <c r="F47" s="137"/>
      <c r="G47" s="138"/>
      <c r="H47" s="139"/>
      <c r="I47" s="140"/>
      <c r="J47" s="140"/>
      <c r="K47" s="137"/>
      <c r="L47" s="141"/>
      <c r="M47" s="141"/>
      <c r="N47" s="141"/>
      <c r="O47" s="138"/>
      <c r="P47" s="138"/>
      <c r="Q47" s="138"/>
      <c r="R47" s="145"/>
      <c r="S47" s="145"/>
      <c r="T47" s="145"/>
      <c r="U47" s="138"/>
      <c r="V47" s="139"/>
      <c r="W47" s="140"/>
      <c r="X47" s="140"/>
      <c r="Y47" s="137"/>
      <c r="Z47" s="141"/>
      <c r="AA47" s="141"/>
      <c r="AB47" s="138"/>
      <c r="AC47" s="138"/>
      <c r="AD47" s="1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</row>
    <row r="48" spans="1:40" s="70" customFormat="1" ht="14.4" customHeight="1">
      <c r="A48" s="93">
        <v>43</v>
      </c>
      <c r="B48" s="94"/>
      <c r="C48" s="94"/>
      <c r="D48" s="93"/>
      <c r="E48" s="94"/>
      <c r="F48" s="137"/>
      <c r="G48" s="138"/>
      <c r="H48" s="139"/>
      <c r="I48" s="140"/>
      <c r="J48" s="140"/>
      <c r="K48" s="137"/>
      <c r="L48" s="141"/>
      <c r="M48" s="141"/>
      <c r="N48" s="141"/>
      <c r="O48" s="138"/>
      <c r="P48" s="138"/>
      <c r="Q48" s="138"/>
      <c r="R48" s="145"/>
      <c r="S48" s="145"/>
      <c r="T48" s="145"/>
      <c r="U48" s="138"/>
      <c r="V48" s="139"/>
      <c r="W48" s="140"/>
      <c r="X48" s="140"/>
      <c r="Y48" s="137"/>
      <c r="Z48" s="141"/>
      <c r="AA48" s="141"/>
      <c r="AB48" s="138"/>
      <c r="AC48" s="138"/>
      <c r="AD48" s="1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</row>
    <row r="49" spans="1:40" s="70" customFormat="1" ht="14.4" customHeight="1">
      <c r="A49" s="93">
        <v>44</v>
      </c>
      <c r="B49" s="94"/>
      <c r="C49" s="94"/>
      <c r="D49" s="93"/>
      <c r="E49" s="94"/>
      <c r="F49" s="137"/>
      <c r="G49" s="138"/>
      <c r="H49" s="139"/>
      <c r="I49" s="140"/>
      <c r="J49" s="140"/>
      <c r="K49" s="137"/>
      <c r="L49" s="141"/>
      <c r="M49" s="141"/>
      <c r="N49" s="141"/>
      <c r="O49" s="138"/>
      <c r="P49" s="138"/>
      <c r="Q49" s="138"/>
      <c r="R49" s="145"/>
      <c r="S49" s="145"/>
      <c r="T49" s="145"/>
      <c r="U49" s="138"/>
      <c r="V49" s="139"/>
      <c r="W49" s="140"/>
      <c r="X49" s="140"/>
      <c r="Y49" s="137"/>
      <c r="Z49" s="141"/>
      <c r="AA49" s="141"/>
      <c r="AB49" s="138"/>
      <c r="AC49" s="138"/>
      <c r="AD49" s="1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</row>
    <row r="50" spans="1:40" s="70" customFormat="1" ht="14.4" customHeight="1">
      <c r="A50" s="93">
        <v>45</v>
      </c>
      <c r="B50" s="94"/>
      <c r="C50" s="94"/>
      <c r="D50" s="93"/>
      <c r="E50" s="94"/>
      <c r="F50" s="137"/>
      <c r="G50" s="138"/>
      <c r="H50" s="139"/>
      <c r="I50" s="140"/>
      <c r="J50" s="140"/>
      <c r="K50" s="137"/>
      <c r="L50" s="141"/>
      <c r="M50" s="141"/>
      <c r="N50" s="141"/>
      <c r="O50" s="138"/>
      <c r="P50" s="138"/>
      <c r="Q50" s="138"/>
      <c r="R50" s="145"/>
      <c r="S50" s="145"/>
      <c r="T50" s="145"/>
      <c r="U50" s="138"/>
      <c r="V50" s="139"/>
      <c r="W50" s="140"/>
      <c r="X50" s="140"/>
      <c r="Y50" s="137"/>
      <c r="Z50" s="141"/>
      <c r="AA50" s="141"/>
      <c r="AB50" s="138"/>
      <c r="AC50" s="138"/>
      <c r="AD50" s="1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</row>
    <row r="51" spans="1:40" s="70" customFormat="1" ht="14.4" customHeight="1">
      <c r="A51" s="93">
        <v>46</v>
      </c>
      <c r="B51" s="94"/>
      <c r="C51" s="94"/>
      <c r="D51" s="93"/>
      <c r="E51" s="94"/>
      <c r="F51" s="137"/>
      <c r="G51" s="138"/>
      <c r="H51" s="139"/>
      <c r="I51" s="140"/>
      <c r="J51" s="140"/>
      <c r="K51" s="137"/>
      <c r="L51" s="141"/>
      <c r="M51" s="141"/>
      <c r="N51" s="141"/>
      <c r="O51" s="138"/>
      <c r="P51" s="138"/>
      <c r="Q51" s="138"/>
      <c r="R51" s="145"/>
      <c r="S51" s="145"/>
      <c r="T51" s="145"/>
      <c r="U51" s="138"/>
      <c r="V51" s="139"/>
      <c r="W51" s="140"/>
      <c r="X51" s="140"/>
      <c r="Y51" s="137"/>
      <c r="Z51" s="141"/>
      <c r="AA51" s="141"/>
      <c r="AB51" s="138"/>
      <c r="AC51" s="138"/>
      <c r="AD51" s="1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</row>
    <row r="52" spans="1:40" s="70" customFormat="1" ht="14.4" customHeight="1">
      <c r="A52" s="93">
        <v>47</v>
      </c>
      <c r="B52" s="94"/>
      <c r="C52" s="94"/>
      <c r="D52" s="93"/>
      <c r="E52" s="94"/>
      <c r="F52" s="137"/>
      <c r="G52" s="138"/>
      <c r="H52" s="139"/>
      <c r="I52" s="140"/>
      <c r="J52" s="140"/>
      <c r="K52" s="137"/>
      <c r="L52" s="141"/>
      <c r="M52" s="141"/>
      <c r="N52" s="141"/>
      <c r="O52" s="138"/>
      <c r="P52" s="138"/>
      <c r="Q52" s="138"/>
      <c r="R52" s="145"/>
      <c r="S52" s="145"/>
      <c r="T52" s="145"/>
      <c r="U52" s="138"/>
      <c r="V52" s="139"/>
      <c r="W52" s="140"/>
      <c r="X52" s="140"/>
      <c r="Y52" s="137"/>
      <c r="Z52" s="141"/>
      <c r="AA52" s="141"/>
      <c r="AB52" s="138"/>
      <c r="AC52" s="138"/>
      <c r="AD52" s="1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</row>
    <row r="53" spans="1:40" s="70" customFormat="1" ht="14.4" customHeight="1">
      <c r="A53" s="93">
        <v>48</v>
      </c>
      <c r="B53" s="94"/>
      <c r="C53" s="94"/>
      <c r="D53" s="93"/>
      <c r="E53" s="94"/>
      <c r="F53" s="137"/>
      <c r="G53" s="138"/>
      <c r="H53" s="139"/>
      <c r="I53" s="140"/>
      <c r="J53" s="140"/>
      <c r="K53" s="137"/>
      <c r="L53" s="141"/>
      <c r="M53" s="141"/>
      <c r="N53" s="141"/>
      <c r="O53" s="138"/>
      <c r="P53" s="138"/>
      <c r="Q53" s="138"/>
      <c r="R53" s="145"/>
      <c r="S53" s="145"/>
      <c r="T53" s="145"/>
      <c r="U53" s="138"/>
      <c r="V53" s="139"/>
      <c r="W53" s="140"/>
      <c r="X53" s="140"/>
      <c r="Y53" s="137"/>
      <c r="Z53" s="141"/>
      <c r="AA53" s="141"/>
      <c r="AB53" s="138"/>
      <c r="AC53" s="138"/>
      <c r="AD53" s="1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</row>
    <row r="54" spans="1:40" s="70" customFormat="1" ht="14.4" customHeight="1">
      <c r="A54" s="93">
        <v>49</v>
      </c>
      <c r="B54" s="94"/>
      <c r="C54" s="94"/>
      <c r="D54" s="93"/>
      <c r="E54" s="94"/>
      <c r="F54" s="137"/>
      <c r="G54" s="138"/>
      <c r="H54" s="139"/>
      <c r="I54" s="140"/>
      <c r="J54" s="140"/>
      <c r="K54" s="137"/>
      <c r="L54" s="141"/>
      <c r="M54" s="141"/>
      <c r="N54" s="141"/>
      <c r="O54" s="138"/>
      <c r="P54" s="138"/>
      <c r="Q54" s="138"/>
      <c r="R54" s="145"/>
      <c r="S54" s="145"/>
      <c r="T54" s="145"/>
      <c r="U54" s="138"/>
      <c r="V54" s="139"/>
      <c r="W54" s="140"/>
      <c r="X54" s="140"/>
      <c r="Y54" s="137"/>
      <c r="Z54" s="141"/>
      <c r="AA54" s="141"/>
      <c r="AB54" s="138"/>
      <c r="AC54" s="138"/>
      <c r="AD54" s="1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</row>
    <row r="55" spans="1:40" s="70" customFormat="1" ht="14.4" customHeight="1">
      <c r="A55" s="93">
        <v>50</v>
      </c>
      <c r="B55" s="94"/>
      <c r="C55" s="94"/>
      <c r="D55" s="93"/>
      <c r="E55" s="94"/>
      <c r="F55" s="137"/>
      <c r="G55" s="138"/>
      <c r="H55" s="139"/>
      <c r="I55" s="140"/>
      <c r="J55" s="140"/>
      <c r="K55" s="137"/>
      <c r="L55" s="141"/>
      <c r="M55" s="141"/>
      <c r="N55" s="141"/>
      <c r="O55" s="138"/>
      <c r="P55" s="138"/>
      <c r="Q55" s="138"/>
      <c r="R55" s="145"/>
      <c r="S55" s="145"/>
      <c r="T55" s="145"/>
      <c r="U55" s="138"/>
      <c r="V55" s="139"/>
      <c r="W55" s="140"/>
      <c r="X55" s="140"/>
      <c r="Y55" s="137"/>
      <c r="Z55" s="141"/>
      <c r="AA55" s="141"/>
      <c r="AB55" s="138"/>
      <c r="AC55" s="138"/>
      <c r="AD55" s="1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0" s="70" customFormat="1" ht="14.4" customHeight="1">
      <c r="A56" s="93">
        <v>51</v>
      </c>
      <c r="B56" s="94"/>
      <c r="C56" s="94"/>
      <c r="D56" s="93"/>
      <c r="E56" s="94"/>
      <c r="F56" s="137"/>
      <c r="G56" s="138"/>
      <c r="H56" s="139"/>
      <c r="I56" s="140"/>
      <c r="J56" s="140"/>
      <c r="K56" s="137"/>
      <c r="L56" s="141"/>
      <c r="M56" s="141"/>
      <c r="N56" s="141"/>
      <c r="O56" s="138"/>
      <c r="P56" s="138"/>
      <c r="Q56" s="138"/>
      <c r="R56" s="145"/>
      <c r="S56" s="145"/>
      <c r="T56" s="145"/>
      <c r="U56" s="138"/>
      <c r="V56" s="139"/>
      <c r="W56" s="140"/>
      <c r="X56" s="140"/>
      <c r="Y56" s="137"/>
      <c r="Z56" s="141"/>
      <c r="AA56" s="141"/>
      <c r="AB56" s="138"/>
      <c r="AC56" s="138"/>
      <c r="AD56" s="1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</row>
    <row r="57" spans="1:40" s="70" customFormat="1" ht="14.4" customHeight="1">
      <c r="A57" s="93">
        <v>52</v>
      </c>
      <c r="B57" s="94"/>
      <c r="C57" s="94"/>
      <c r="D57" s="93"/>
      <c r="E57" s="94"/>
      <c r="F57" s="137"/>
      <c r="G57" s="138"/>
      <c r="H57" s="139"/>
      <c r="I57" s="140"/>
      <c r="J57" s="140"/>
      <c r="K57" s="137"/>
      <c r="L57" s="141"/>
      <c r="M57" s="141"/>
      <c r="N57" s="141"/>
      <c r="O57" s="138"/>
      <c r="P57" s="138"/>
      <c r="Q57" s="138"/>
      <c r="R57" s="145"/>
      <c r="S57" s="145"/>
      <c r="T57" s="145"/>
      <c r="U57" s="138"/>
      <c r="V57" s="139"/>
      <c r="W57" s="140"/>
      <c r="X57" s="140"/>
      <c r="Y57" s="137"/>
      <c r="Z57" s="141"/>
      <c r="AA57" s="141"/>
      <c r="AB57" s="138"/>
      <c r="AC57" s="138"/>
      <c r="AD57" s="1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</row>
    <row r="58" spans="1:40" s="70" customFormat="1" ht="14.4" customHeight="1">
      <c r="A58" s="93">
        <v>53</v>
      </c>
      <c r="B58" s="94"/>
      <c r="C58" s="94"/>
      <c r="D58" s="93"/>
      <c r="E58" s="94"/>
      <c r="F58" s="137"/>
      <c r="G58" s="138"/>
      <c r="H58" s="139"/>
      <c r="I58" s="140"/>
      <c r="J58" s="140"/>
      <c r="K58" s="137"/>
      <c r="L58" s="141"/>
      <c r="M58" s="141"/>
      <c r="N58" s="141"/>
      <c r="O58" s="138"/>
      <c r="P58" s="138"/>
      <c r="Q58" s="138"/>
      <c r="R58" s="145"/>
      <c r="S58" s="145"/>
      <c r="T58" s="145"/>
      <c r="U58" s="138"/>
      <c r="V58" s="139"/>
      <c r="W58" s="140"/>
      <c r="X58" s="140"/>
      <c r="Y58" s="137"/>
      <c r="Z58" s="141"/>
      <c r="AA58" s="141"/>
      <c r="AB58" s="138"/>
      <c r="AC58" s="138"/>
      <c r="AD58" s="1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</row>
    <row r="59" spans="1:40" s="70" customFormat="1" ht="14.4" customHeight="1">
      <c r="A59" s="93">
        <v>54</v>
      </c>
      <c r="B59" s="94"/>
      <c r="C59" s="94"/>
      <c r="D59" s="93"/>
      <c r="E59" s="94"/>
      <c r="F59" s="137"/>
      <c r="G59" s="138"/>
      <c r="H59" s="139"/>
      <c r="I59" s="140"/>
      <c r="J59" s="140"/>
      <c r="K59" s="137"/>
      <c r="L59" s="141"/>
      <c r="M59" s="141"/>
      <c r="N59" s="141"/>
      <c r="O59" s="138"/>
      <c r="P59" s="138"/>
      <c r="Q59" s="138"/>
      <c r="R59" s="145"/>
      <c r="S59" s="145"/>
      <c r="T59" s="145"/>
      <c r="U59" s="138"/>
      <c r="V59" s="139"/>
      <c r="W59" s="140"/>
      <c r="X59" s="140"/>
      <c r="Y59" s="137"/>
      <c r="Z59" s="141"/>
      <c r="AA59" s="141"/>
      <c r="AB59" s="138"/>
      <c r="AC59" s="138"/>
      <c r="AD59" s="1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</row>
    <row r="60" spans="1:40" s="70" customFormat="1" ht="14.4" customHeight="1">
      <c r="A60" s="93">
        <v>55</v>
      </c>
      <c r="B60" s="94"/>
      <c r="C60" s="94"/>
      <c r="D60" s="93"/>
      <c r="E60" s="94"/>
      <c r="F60" s="137"/>
      <c r="G60" s="138"/>
      <c r="H60" s="139"/>
      <c r="I60" s="140"/>
      <c r="J60" s="140"/>
      <c r="K60" s="137"/>
      <c r="L60" s="141"/>
      <c r="M60" s="141"/>
      <c r="N60" s="141"/>
      <c r="O60" s="138"/>
      <c r="P60" s="138"/>
      <c r="Q60" s="138"/>
      <c r="R60" s="145"/>
      <c r="S60" s="145"/>
      <c r="T60" s="145"/>
      <c r="U60" s="138"/>
      <c r="V60" s="139"/>
      <c r="W60" s="140"/>
      <c r="X60" s="140"/>
      <c r="Y60" s="137"/>
      <c r="Z60" s="141"/>
      <c r="AA60" s="141"/>
      <c r="AB60" s="138"/>
      <c r="AC60" s="138"/>
      <c r="AD60" s="1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</row>
    <row r="61" spans="1:40" s="70" customFormat="1" ht="14.4" customHeight="1">
      <c r="A61" s="93">
        <v>56</v>
      </c>
      <c r="B61" s="94"/>
      <c r="C61" s="94"/>
      <c r="D61" s="93"/>
      <c r="E61" s="94"/>
      <c r="F61" s="137"/>
      <c r="G61" s="138"/>
      <c r="H61" s="139"/>
      <c r="I61" s="140"/>
      <c r="J61" s="140"/>
      <c r="K61" s="137"/>
      <c r="L61" s="141"/>
      <c r="M61" s="141"/>
      <c r="N61" s="141"/>
      <c r="O61" s="138"/>
      <c r="P61" s="138"/>
      <c r="Q61" s="138"/>
      <c r="R61" s="145"/>
      <c r="S61" s="145"/>
      <c r="T61" s="145"/>
      <c r="U61" s="138"/>
      <c r="V61" s="139"/>
      <c r="W61" s="140"/>
      <c r="X61" s="140"/>
      <c r="Y61" s="137"/>
      <c r="Z61" s="141"/>
      <c r="AA61" s="141"/>
      <c r="AB61" s="138"/>
      <c r="AC61" s="138"/>
      <c r="AD61" s="1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</row>
    <row r="62" spans="1:40" s="70" customFormat="1" ht="14.4" customHeight="1">
      <c r="A62" s="93">
        <v>57</v>
      </c>
      <c r="B62" s="94"/>
      <c r="C62" s="94"/>
      <c r="D62" s="93"/>
      <c r="E62" s="94"/>
      <c r="F62" s="137"/>
      <c r="G62" s="138"/>
      <c r="H62" s="139"/>
      <c r="I62" s="140"/>
      <c r="J62" s="140"/>
      <c r="K62" s="137"/>
      <c r="L62" s="141"/>
      <c r="M62" s="141"/>
      <c r="N62" s="141"/>
      <c r="O62" s="138"/>
      <c r="P62" s="138"/>
      <c r="Q62" s="138"/>
      <c r="R62" s="145"/>
      <c r="S62" s="145"/>
      <c r="T62" s="145"/>
      <c r="U62" s="138"/>
      <c r="V62" s="139"/>
      <c r="W62" s="140"/>
      <c r="X62" s="140"/>
      <c r="Y62" s="137"/>
      <c r="Z62" s="141"/>
      <c r="AA62" s="141"/>
      <c r="AB62" s="138"/>
      <c r="AC62" s="138"/>
      <c r="AD62" s="1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</row>
    <row r="63" spans="1:40" s="70" customFormat="1" ht="14.4" customHeight="1">
      <c r="A63" s="93">
        <v>58</v>
      </c>
      <c r="B63" s="94"/>
      <c r="C63" s="94"/>
      <c r="D63" s="93"/>
      <c r="E63" s="94"/>
      <c r="F63" s="137"/>
      <c r="G63" s="138"/>
      <c r="H63" s="139"/>
      <c r="I63" s="140"/>
      <c r="J63" s="140"/>
      <c r="K63" s="137"/>
      <c r="L63" s="141"/>
      <c r="M63" s="141"/>
      <c r="N63" s="141"/>
      <c r="O63" s="138"/>
      <c r="P63" s="138"/>
      <c r="Q63" s="138"/>
      <c r="R63" s="145"/>
      <c r="S63" s="145"/>
      <c r="T63" s="145"/>
      <c r="U63" s="138"/>
      <c r="V63" s="139"/>
      <c r="W63" s="140"/>
      <c r="X63" s="140"/>
      <c r="Y63" s="137"/>
      <c r="Z63" s="141"/>
      <c r="AA63" s="141"/>
      <c r="AB63" s="138"/>
      <c r="AC63" s="138"/>
      <c r="AD63" s="1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</row>
    <row r="64" spans="1:40" s="70" customFormat="1" ht="14.4" customHeight="1">
      <c r="A64" s="93">
        <v>59</v>
      </c>
      <c r="B64" s="94"/>
      <c r="C64" s="94"/>
      <c r="D64" s="93"/>
      <c r="E64" s="94"/>
      <c r="F64" s="137"/>
      <c r="G64" s="138"/>
      <c r="H64" s="139"/>
      <c r="I64" s="140"/>
      <c r="J64" s="140"/>
      <c r="K64" s="137"/>
      <c r="L64" s="141"/>
      <c r="M64" s="141"/>
      <c r="N64" s="141"/>
      <c r="O64" s="138"/>
      <c r="P64" s="138"/>
      <c r="Q64" s="138"/>
      <c r="R64" s="145"/>
      <c r="S64" s="145"/>
      <c r="T64" s="145"/>
      <c r="U64" s="138"/>
      <c r="V64" s="139"/>
      <c r="W64" s="140"/>
      <c r="X64" s="140"/>
      <c r="Y64" s="137"/>
      <c r="Z64" s="141"/>
      <c r="AA64" s="141"/>
      <c r="AB64" s="138"/>
      <c r="AC64" s="138"/>
      <c r="AD64" s="1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</row>
    <row r="65" spans="1:40" s="70" customFormat="1" ht="14.4" customHeight="1">
      <c r="A65" s="93">
        <v>60</v>
      </c>
      <c r="B65" s="94"/>
      <c r="C65" s="94"/>
      <c r="D65" s="93"/>
      <c r="E65" s="94"/>
      <c r="F65" s="137"/>
      <c r="G65" s="138"/>
      <c r="H65" s="139"/>
      <c r="I65" s="140"/>
      <c r="J65" s="140"/>
      <c r="K65" s="137"/>
      <c r="L65" s="141"/>
      <c r="M65" s="141"/>
      <c r="N65" s="141"/>
      <c r="O65" s="138"/>
      <c r="P65" s="138"/>
      <c r="Q65" s="138"/>
      <c r="R65" s="145"/>
      <c r="S65" s="145"/>
      <c r="T65" s="145"/>
      <c r="U65" s="138"/>
      <c r="V65" s="139"/>
      <c r="W65" s="140"/>
      <c r="X65" s="140"/>
      <c r="Y65" s="137"/>
      <c r="Z65" s="141"/>
      <c r="AA65" s="141"/>
      <c r="AB65" s="138"/>
      <c r="AC65" s="138"/>
      <c r="AD65" s="1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</row>
    <row r="66" spans="1:40" s="70" customFormat="1" ht="14.4" customHeight="1">
      <c r="A66" s="93">
        <v>61</v>
      </c>
      <c r="B66" s="94"/>
      <c r="C66" s="94"/>
      <c r="D66" s="93"/>
      <c r="E66" s="94"/>
      <c r="F66" s="137"/>
      <c r="G66" s="138"/>
      <c r="H66" s="139"/>
      <c r="I66" s="140"/>
      <c r="J66" s="140"/>
      <c r="K66" s="137"/>
      <c r="L66" s="141"/>
      <c r="M66" s="141"/>
      <c r="N66" s="141"/>
      <c r="O66" s="138"/>
      <c r="P66" s="138"/>
      <c r="Q66" s="138"/>
      <c r="R66" s="145"/>
      <c r="S66" s="145"/>
      <c r="T66" s="145"/>
      <c r="U66" s="138"/>
      <c r="V66" s="139"/>
      <c r="W66" s="140"/>
      <c r="X66" s="140"/>
      <c r="Y66" s="137"/>
      <c r="Z66" s="141"/>
      <c r="AA66" s="141"/>
      <c r="AB66" s="138"/>
      <c r="AC66" s="138"/>
      <c r="AD66" s="1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</row>
    <row r="67" spans="1:40" s="70" customFormat="1" ht="14.4" customHeight="1">
      <c r="A67" s="93">
        <v>62</v>
      </c>
      <c r="B67" s="94"/>
      <c r="C67" s="94"/>
      <c r="D67" s="93"/>
      <c r="E67" s="94"/>
      <c r="F67" s="137"/>
      <c r="G67" s="138"/>
      <c r="H67" s="139"/>
      <c r="I67" s="140"/>
      <c r="J67" s="140"/>
      <c r="K67" s="137"/>
      <c r="L67" s="141"/>
      <c r="M67" s="141"/>
      <c r="N67" s="141"/>
      <c r="O67" s="138"/>
      <c r="P67" s="138"/>
      <c r="Q67" s="138"/>
      <c r="R67" s="145"/>
      <c r="S67" s="145"/>
      <c r="T67" s="145"/>
      <c r="U67" s="138"/>
      <c r="V67" s="139"/>
      <c r="W67" s="140"/>
      <c r="X67" s="140"/>
      <c r="Y67" s="137"/>
      <c r="Z67" s="141"/>
      <c r="AA67" s="141"/>
      <c r="AB67" s="138"/>
      <c r="AC67" s="138"/>
      <c r="AD67" s="1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</row>
    <row r="68" spans="1:40" s="70" customFormat="1" ht="14.4" customHeight="1">
      <c r="A68" s="93">
        <v>63</v>
      </c>
      <c r="B68" s="94"/>
      <c r="C68" s="94"/>
      <c r="D68" s="93"/>
      <c r="E68" s="94"/>
      <c r="F68" s="137"/>
      <c r="G68" s="138"/>
      <c r="H68" s="139"/>
      <c r="I68" s="140"/>
      <c r="J68" s="140"/>
      <c r="K68" s="137"/>
      <c r="L68" s="141"/>
      <c r="M68" s="141"/>
      <c r="N68" s="141"/>
      <c r="O68" s="138"/>
      <c r="P68" s="138"/>
      <c r="Q68" s="138"/>
      <c r="R68" s="145"/>
      <c r="S68" s="145"/>
      <c r="T68" s="145"/>
      <c r="U68" s="138"/>
      <c r="V68" s="139"/>
      <c r="W68" s="140"/>
      <c r="X68" s="140"/>
      <c r="Y68" s="137"/>
      <c r="Z68" s="141"/>
      <c r="AA68" s="141"/>
      <c r="AB68" s="138"/>
      <c r="AC68" s="138"/>
      <c r="AD68" s="1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</row>
    <row r="69" spans="1:40" s="70" customFormat="1" ht="14.4" customHeight="1">
      <c r="A69" s="93">
        <v>64</v>
      </c>
      <c r="B69" s="94"/>
      <c r="C69" s="94"/>
      <c r="D69" s="93"/>
      <c r="E69" s="94"/>
      <c r="F69" s="137"/>
      <c r="G69" s="138"/>
      <c r="H69" s="139"/>
      <c r="I69" s="140"/>
      <c r="J69" s="140"/>
      <c r="K69" s="137"/>
      <c r="L69" s="141"/>
      <c r="M69" s="141"/>
      <c r="N69" s="141"/>
      <c r="O69" s="138"/>
      <c r="P69" s="138"/>
      <c r="Q69" s="138"/>
      <c r="R69" s="145"/>
      <c r="S69" s="145"/>
      <c r="T69" s="145"/>
      <c r="U69" s="138"/>
      <c r="V69" s="139"/>
      <c r="W69" s="140"/>
      <c r="X69" s="140"/>
      <c r="Y69" s="137"/>
      <c r="Z69" s="141"/>
      <c r="AA69" s="141"/>
      <c r="AB69" s="138"/>
      <c r="AC69" s="138"/>
      <c r="AD69" s="1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</row>
    <row r="70" spans="1:40" s="70" customFormat="1" ht="14.4" customHeight="1">
      <c r="A70" s="93">
        <v>65</v>
      </c>
      <c r="B70" s="94"/>
      <c r="C70" s="94"/>
      <c r="D70" s="93"/>
      <c r="E70" s="94"/>
      <c r="F70" s="137"/>
      <c r="G70" s="138"/>
      <c r="H70" s="139"/>
      <c r="I70" s="140"/>
      <c r="J70" s="140"/>
      <c r="K70" s="137"/>
      <c r="L70" s="141"/>
      <c r="M70" s="141"/>
      <c r="N70" s="141"/>
      <c r="O70" s="138"/>
      <c r="P70" s="138"/>
      <c r="Q70" s="138"/>
      <c r="R70" s="145"/>
      <c r="S70" s="145"/>
      <c r="T70" s="145"/>
      <c r="U70" s="138"/>
      <c r="V70" s="139"/>
      <c r="W70" s="140"/>
      <c r="X70" s="140"/>
      <c r="Y70" s="137"/>
      <c r="Z70" s="141"/>
      <c r="AA70" s="141"/>
      <c r="AB70" s="138"/>
      <c r="AC70" s="138"/>
      <c r="AD70" s="1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</row>
    <row r="71" spans="1:40" s="70" customFormat="1" ht="14.4" customHeight="1">
      <c r="A71" s="93">
        <v>66</v>
      </c>
      <c r="B71" s="94"/>
      <c r="C71" s="94"/>
      <c r="D71" s="93"/>
      <c r="E71" s="94"/>
      <c r="F71" s="137"/>
      <c r="G71" s="138"/>
      <c r="H71" s="139"/>
      <c r="I71" s="140"/>
      <c r="J71" s="140"/>
      <c r="K71" s="137"/>
      <c r="L71" s="141"/>
      <c r="M71" s="141"/>
      <c r="N71" s="141"/>
      <c r="O71" s="138"/>
      <c r="P71" s="138"/>
      <c r="Q71" s="138"/>
      <c r="R71" s="145"/>
      <c r="S71" s="145"/>
      <c r="T71" s="145"/>
      <c r="U71" s="138"/>
      <c r="V71" s="139"/>
      <c r="W71" s="140"/>
      <c r="X71" s="140"/>
      <c r="Y71" s="137"/>
      <c r="Z71" s="141"/>
      <c r="AA71" s="141"/>
      <c r="AB71" s="138"/>
      <c r="AC71" s="138"/>
      <c r="AD71" s="1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</row>
    <row r="72" spans="1:40" s="70" customFormat="1" ht="14.4" customHeight="1">
      <c r="A72" s="93">
        <v>67</v>
      </c>
      <c r="B72" s="94"/>
      <c r="C72" s="94"/>
      <c r="D72" s="93"/>
      <c r="E72" s="94"/>
      <c r="F72" s="137"/>
      <c r="G72" s="138"/>
      <c r="H72" s="139"/>
      <c r="I72" s="140"/>
      <c r="J72" s="140"/>
      <c r="K72" s="137"/>
      <c r="L72" s="141"/>
      <c r="M72" s="141"/>
      <c r="N72" s="141"/>
      <c r="O72" s="138"/>
      <c r="P72" s="138"/>
      <c r="Q72" s="138"/>
      <c r="R72" s="145"/>
      <c r="S72" s="145"/>
      <c r="T72" s="145"/>
      <c r="U72" s="138"/>
      <c r="V72" s="139"/>
      <c r="W72" s="140"/>
      <c r="X72" s="140"/>
      <c r="Y72" s="137"/>
      <c r="Z72" s="141"/>
      <c r="AA72" s="141"/>
      <c r="AB72" s="138"/>
      <c r="AC72" s="138"/>
      <c r="AD72" s="1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</row>
    <row r="73" spans="1:40" s="70" customFormat="1" ht="14.4" customHeight="1">
      <c r="A73" s="93">
        <v>68</v>
      </c>
      <c r="B73" s="94"/>
      <c r="C73" s="94"/>
      <c r="D73" s="93"/>
      <c r="E73" s="94"/>
      <c r="F73" s="137"/>
      <c r="G73" s="138"/>
      <c r="H73" s="139"/>
      <c r="I73" s="140"/>
      <c r="J73" s="140"/>
      <c r="K73" s="137"/>
      <c r="L73" s="141"/>
      <c r="M73" s="141"/>
      <c r="N73" s="141"/>
      <c r="O73" s="138"/>
      <c r="P73" s="138"/>
      <c r="Q73" s="138"/>
      <c r="R73" s="145"/>
      <c r="S73" s="145"/>
      <c r="T73" s="145"/>
      <c r="U73" s="138"/>
      <c r="V73" s="139"/>
      <c r="W73" s="140"/>
      <c r="X73" s="140"/>
      <c r="Y73" s="137"/>
      <c r="Z73" s="141"/>
      <c r="AA73" s="141"/>
      <c r="AB73" s="138"/>
      <c r="AC73" s="138"/>
      <c r="AD73" s="1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</row>
    <row r="74" spans="1:40" s="70" customFormat="1" ht="14.4" customHeight="1">
      <c r="A74" s="93">
        <v>69</v>
      </c>
      <c r="B74" s="94"/>
      <c r="C74" s="94"/>
      <c r="D74" s="93"/>
      <c r="E74" s="94"/>
      <c r="F74" s="137"/>
      <c r="G74" s="138"/>
      <c r="H74" s="139"/>
      <c r="I74" s="140"/>
      <c r="J74" s="140"/>
      <c r="K74" s="137"/>
      <c r="L74" s="141"/>
      <c r="M74" s="141"/>
      <c r="N74" s="141"/>
      <c r="O74" s="138"/>
      <c r="P74" s="138"/>
      <c r="Q74" s="138"/>
      <c r="R74" s="145"/>
      <c r="S74" s="145"/>
      <c r="T74" s="145"/>
      <c r="U74" s="138"/>
      <c r="V74" s="139"/>
      <c r="W74" s="140"/>
      <c r="X74" s="140"/>
      <c r="Y74" s="137"/>
      <c r="Z74" s="141"/>
      <c r="AA74" s="141"/>
      <c r="AB74" s="138"/>
      <c r="AC74" s="138"/>
      <c r="AD74" s="1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</row>
    <row r="75" spans="1:40" s="70" customFormat="1" ht="14.4" customHeight="1">
      <c r="A75" s="93">
        <v>70</v>
      </c>
      <c r="B75" s="94"/>
      <c r="C75" s="94"/>
      <c r="D75" s="93"/>
      <c r="E75" s="94"/>
      <c r="F75" s="137"/>
      <c r="G75" s="138"/>
      <c r="H75" s="139"/>
      <c r="I75" s="140"/>
      <c r="J75" s="140"/>
      <c r="K75" s="137"/>
      <c r="L75" s="141"/>
      <c r="M75" s="141"/>
      <c r="N75" s="141"/>
      <c r="O75" s="138"/>
      <c r="P75" s="138"/>
      <c r="Q75" s="138"/>
      <c r="R75" s="145"/>
      <c r="S75" s="145"/>
      <c r="T75" s="145"/>
      <c r="U75" s="138"/>
      <c r="V75" s="139"/>
      <c r="W75" s="140"/>
      <c r="X75" s="140"/>
      <c r="Y75" s="137"/>
      <c r="Z75" s="141"/>
      <c r="AA75" s="141"/>
      <c r="AB75" s="138"/>
      <c r="AC75" s="138"/>
      <c r="AD75" s="1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</row>
    <row r="76" spans="1:40" s="70" customFormat="1" ht="14.4" customHeight="1">
      <c r="A76" s="93">
        <v>71</v>
      </c>
      <c r="B76" s="94"/>
      <c r="C76" s="94"/>
      <c r="D76" s="93"/>
      <c r="E76" s="94"/>
      <c r="F76" s="137"/>
      <c r="G76" s="138"/>
      <c r="H76" s="139"/>
      <c r="I76" s="140"/>
      <c r="J76" s="140"/>
      <c r="K76" s="137"/>
      <c r="L76" s="141"/>
      <c r="M76" s="141"/>
      <c r="N76" s="141"/>
      <c r="O76" s="138"/>
      <c r="P76" s="138"/>
      <c r="Q76" s="138"/>
      <c r="R76" s="145"/>
      <c r="S76" s="145"/>
      <c r="T76" s="145"/>
      <c r="U76" s="138"/>
      <c r="V76" s="139"/>
      <c r="W76" s="140"/>
      <c r="X76" s="140"/>
      <c r="Y76" s="137"/>
      <c r="Z76" s="141"/>
      <c r="AA76" s="141"/>
      <c r="AB76" s="138"/>
      <c r="AC76" s="138"/>
      <c r="AD76" s="1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</row>
    <row r="77" spans="1:40" s="70" customFormat="1" ht="14.4" customHeight="1">
      <c r="A77" s="93">
        <v>72</v>
      </c>
      <c r="B77" s="94"/>
      <c r="C77" s="94"/>
      <c r="D77" s="93"/>
      <c r="E77" s="94"/>
      <c r="F77" s="137"/>
      <c r="G77" s="138"/>
      <c r="H77" s="139"/>
      <c r="I77" s="140"/>
      <c r="J77" s="140"/>
      <c r="K77" s="137"/>
      <c r="L77" s="141"/>
      <c r="M77" s="141"/>
      <c r="N77" s="141"/>
      <c r="O77" s="138"/>
      <c r="P77" s="138"/>
      <c r="Q77" s="138"/>
      <c r="R77" s="145"/>
      <c r="S77" s="145"/>
      <c r="T77" s="145"/>
      <c r="U77" s="138"/>
      <c r="V77" s="139"/>
      <c r="W77" s="140"/>
      <c r="X77" s="140"/>
      <c r="Y77" s="137"/>
      <c r="Z77" s="141"/>
      <c r="AA77" s="141"/>
      <c r="AB77" s="138"/>
      <c r="AC77" s="138"/>
      <c r="AD77" s="1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</row>
    <row r="78" spans="1:40" s="70" customFormat="1" ht="14.4" customHeight="1">
      <c r="A78" s="93">
        <v>73</v>
      </c>
      <c r="B78" s="94"/>
      <c r="C78" s="94"/>
      <c r="D78" s="93"/>
      <c r="E78" s="94"/>
      <c r="F78" s="137"/>
      <c r="G78" s="138"/>
      <c r="H78" s="139"/>
      <c r="I78" s="140"/>
      <c r="J78" s="140"/>
      <c r="K78" s="137"/>
      <c r="L78" s="141"/>
      <c r="M78" s="141"/>
      <c r="N78" s="141"/>
      <c r="O78" s="138"/>
      <c r="P78" s="138"/>
      <c r="Q78" s="138"/>
      <c r="R78" s="145"/>
      <c r="S78" s="145"/>
      <c r="T78" s="145"/>
      <c r="U78" s="138"/>
      <c r="V78" s="139"/>
      <c r="W78" s="140"/>
      <c r="X78" s="140"/>
      <c r="Y78" s="137"/>
      <c r="Z78" s="141"/>
      <c r="AA78" s="141"/>
      <c r="AB78" s="138"/>
      <c r="AC78" s="138"/>
      <c r="AD78" s="1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</row>
    <row r="79" spans="1:40" s="70" customFormat="1" ht="14.4" customHeight="1">
      <c r="A79" s="93">
        <v>74</v>
      </c>
      <c r="B79" s="94"/>
      <c r="C79" s="94"/>
      <c r="D79" s="93"/>
      <c r="E79" s="94"/>
      <c r="F79" s="137"/>
      <c r="G79" s="138"/>
      <c r="H79" s="139"/>
      <c r="I79" s="140"/>
      <c r="J79" s="140"/>
      <c r="K79" s="137"/>
      <c r="L79" s="141"/>
      <c r="M79" s="141"/>
      <c r="N79" s="141"/>
      <c r="O79" s="138"/>
      <c r="P79" s="138"/>
      <c r="Q79" s="138"/>
      <c r="R79" s="145"/>
      <c r="S79" s="145"/>
      <c r="T79" s="145"/>
      <c r="U79" s="138"/>
      <c r="V79" s="139"/>
      <c r="W79" s="140"/>
      <c r="X79" s="140"/>
      <c r="Y79" s="137"/>
      <c r="Z79" s="141"/>
      <c r="AA79" s="141"/>
      <c r="AB79" s="138"/>
      <c r="AC79" s="138"/>
      <c r="AD79" s="1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</row>
    <row r="80" spans="1:40" s="70" customFormat="1" ht="14.4" customHeight="1">
      <c r="A80" s="93">
        <v>75</v>
      </c>
      <c r="B80" s="94"/>
      <c r="C80" s="94"/>
      <c r="D80" s="93"/>
      <c r="E80" s="94"/>
      <c r="F80" s="137"/>
      <c r="G80" s="138"/>
      <c r="H80" s="139"/>
      <c r="I80" s="140"/>
      <c r="J80" s="140"/>
      <c r="K80" s="137"/>
      <c r="L80" s="141"/>
      <c r="M80" s="141"/>
      <c r="N80" s="141"/>
      <c r="O80" s="138"/>
      <c r="P80" s="138"/>
      <c r="Q80" s="138"/>
      <c r="R80" s="145"/>
      <c r="S80" s="145"/>
      <c r="T80" s="145"/>
      <c r="U80" s="138"/>
      <c r="V80" s="139"/>
      <c r="W80" s="140"/>
      <c r="X80" s="140"/>
      <c r="Y80" s="137"/>
      <c r="Z80" s="141"/>
      <c r="AA80" s="141"/>
      <c r="AB80" s="138"/>
      <c r="AC80" s="138"/>
      <c r="AD80" s="1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</row>
    <row r="81" spans="1:40" s="70" customFormat="1" ht="14.4" customHeight="1">
      <c r="A81" s="93">
        <v>76</v>
      </c>
      <c r="B81" s="94"/>
      <c r="C81" s="94"/>
      <c r="D81" s="93"/>
      <c r="E81" s="94"/>
      <c r="F81" s="137"/>
      <c r="G81" s="138"/>
      <c r="H81" s="139"/>
      <c r="I81" s="140"/>
      <c r="J81" s="140"/>
      <c r="K81" s="137"/>
      <c r="L81" s="141"/>
      <c r="M81" s="141"/>
      <c r="N81" s="141"/>
      <c r="O81" s="138"/>
      <c r="P81" s="138"/>
      <c r="Q81" s="138"/>
      <c r="R81" s="145"/>
      <c r="S81" s="145"/>
      <c r="T81" s="145"/>
      <c r="U81" s="138"/>
      <c r="V81" s="139"/>
      <c r="W81" s="140"/>
      <c r="X81" s="140"/>
      <c r="Y81" s="137"/>
      <c r="Z81" s="141"/>
      <c r="AA81" s="141"/>
      <c r="AB81" s="138"/>
      <c r="AC81" s="138"/>
      <c r="AD81" s="1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</row>
    <row r="82" spans="1:40" s="70" customFormat="1" ht="14.4" customHeight="1">
      <c r="A82" s="93">
        <v>77</v>
      </c>
      <c r="B82" s="94"/>
      <c r="C82" s="94"/>
      <c r="D82" s="93"/>
      <c r="E82" s="94"/>
      <c r="F82" s="137"/>
      <c r="G82" s="138"/>
      <c r="H82" s="139"/>
      <c r="I82" s="140"/>
      <c r="J82" s="140"/>
      <c r="K82" s="137"/>
      <c r="L82" s="141"/>
      <c r="M82" s="141"/>
      <c r="N82" s="141"/>
      <c r="O82" s="138"/>
      <c r="P82" s="138"/>
      <c r="Q82" s="138"/>
      <c r="R82" s="145"/>
      <c r="S82" s="145"/>
      <c r="T82" s="145"/>
      <c r="U82" s="138"/>
      <c r="V82" s="139"/>
      <c r="W82" s="140"/>
      <c r="X82" s="140"/>
      <c r="Y82" s="137"/>
      <c r="Z82" s="141"/>
      <c r="AA82" s="141"/>
      <c r="AB82" s="138"/>
      <c r="AC82" s="138"/>
      <c r="AD82" s="1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</row>
    <row r="83" spans="1:40" s="70" customFormat="1" ht="14.4" customHeight="1">
      <c r="A83" s="93">
        <v>78</v>
      </c>
      <c r="B83" s="94"/>
      <c r="C83" s="94"/>
      <c r="D83" s="93"/>
      <c r="E83" s="94"/>
      <c r="F83" s="137"/>
      <c r="G83" s="138"/>
      <c r="H83" s="139"/>
      <c r="I83" s="140"/>
      <c r="J83" s="140"/>
      <c r="K83" s="137"/>
      <c r="L83" s="141"/>
      <c r="M83" s="141"/>
      <c r="N83" s="141"/>
      <c r="O83" s="138"/>
      <c r="P83" s="138"/>
      <c r="Q83" s="138"/>
      <c r="R83" s="145"/>
      <c r="S83" s="145"/>
      <c r="T83" s="145"/>
      <c r="U83" s="138"/>
      <c r="V83" s="139"/>
      <c r="W83" s="140"/>
      <c r="X83" s="140"/>
      <c r="Y83" s="137"/>
      <c r="Z83" s="141"/>
      <c r="AA83" s="141"/>
      <c r="AB83" s="138"/>
      <c r="AC83" s="138"/>
      <c r="AD83" s="1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</row>
    <row r="84" spans="1:40" s="70" customFormat="1" ht="14.4" customHeight="1">
      <c r="A84" s="93">
        <v>79</v>
      </c>
      <c r="B84" s="94"/>
      <c r="C84" s="94"/>
      <c r="D84" s="93"/>
      <c r="E84" s="94"/>
      <c r="F84" s="137"/>
      <c r="G84" s="138"/>
      <c r="H84" s="139"/>
      <c r="I84" s="140"/>
      <c r="J84" s="140"/>
      <c r="K84" s="137"/>
      <c r="L84" s="141"/>
      <c r="M84" s="141"/>
      <c r="N84" s="141"/>
      <c r="O84" s="138"/>
      <c r="P84" s="138"/>
      <c r="Q84" s="138"/>
      <c r="R84" s="145"/>
      <c r="S84" s="145"/>
      <c r="T84" s="145"/>
      <c r="U84" s="138"/>
      <c r="V84" s="139"/>
      <c r="W84" s="140"/>
      <c r="X84" s="140"/>
      <c r="Y84" s="137"/>
      <c r="Z84" s="141"/>
      <c r="AA84" s="141"/>
      <c r="AB84" s="138"/>
      <c r="AC84" s="138"/>
      <c r="AD84" s="1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</row>
    <row r="85" spans="1:40" s="70" customFormat="1" ht="14.4" customHeight="1">
      <c r="A85" s="93">
        <v>80</v>
      </c>
      <c r="B85" s="94"/>
      <c r="C85" s="94"/>
      <c r="D85" s="93"/>
      <c r="E85" s="94"/>
      <c r="F85" s="137"/>
      <c r="G85" s="138"/>
      <c r="H85" s="139"/>
      <c r="I85" s="140"/>
      <c r="J85" s="140"/>
      <c r="K85" s="137"/>
      <c r="L85" s="141"/>
      <c r="M85" s="141"/>
      <c r="N85" s="141"/>
      <c r="O85" s="138"/>
      <c r="P85" s="138"/>
      <c r="Q85" s="138"/>
      <c r="R85" s="145"/>
      <c r="S85" s="145"/>
      <c r="T85" s="145"/>
      <c r="U85" s="138"/>
      <c r="V85" s="139"/>
      <c r="W85" s="140"/>
      <c r="X85" s="140"/>
      <c r="Y85" s="137"/>
      <c r="Z85" s="141"/>
      <c r="AA85" s="141"/>
      <c r="AB85" s="138"/>
      <c r="AC85" s="138"/>
      <c r="AD85" s="1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</row>
    <row r="86" spans="1:40" s="70" customFormat="1" ht="14.4" customHeight="1">
      <c r="A86" s="93">
        <v>81</v>
      </c>
      <c r="B86" s="94"/>
      <c r="C86" s="94"/>
      <c r="D86" s="93"/>
      <c r="E86" s="94"/>
      <c r="F86" s="137"/>
      <c r="G86" s="138"/>
      <c r="H86" s="139"/>
      <c r="I86" s="140"/>
      <c r="J86" s="140"/>
      <c r="K86" s="137"/>
      <c r="L86" s="141"/>
      <c r="M86" s="141"/>
      <c r="N86" s="141"/>
      <c r="O86" s="138"/>
      <c r="P86" s="138"/>
      <c r="Q86" s="138"/>
      <c r="R86" s="145"/>
      <c r="S86" s="145"/>
      <c r="T86" s="145"/>
      <c r="U86" s="138"/>
      <c r="V86" s="139"/>
      <c r="W86" s="140"/>
      <c r="X86" s="140"/>
      <c r="Y86" s="137"/>
      <c r="Z86" s="141"/>
      <c r="AA86" s="141"/>
      <c r="AB86" s="138"/>
      <c r="AC86" s="138"/>
      <c r="AD86" s="1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</row>
    <row r="87" spans="1:40" s="70" customFormat="1" ht="14.4" customHeight="1">
      <c r="A87" s="93">
        <v>82</v>
      </c>
      <c r="B87" s="94"/>
      <c r="C87" s="94"/>
      <c r="D87" s="93"/>
      <c r="E87" s="94"/>
      <c r="F87" s="137"/>
      <c r="G87" s="138"/>
      <c r="H87" s="139"/>
      <c r="I87" s="140"/>
      <c r="J87" s="140"/>
      <c r="K87" s="137"/>
      <c r="L87" s="141"/>
      <c r="M87" s="141"/>
      <c r="N87" s="141"/>
      <c r="O87" s="138"/>
      <c r="P87" s="138"/>
      <c r="Q87" s="138"/>
      <c r="R87" s="145"/>
      <c r="S87" s="145"/>
      <c r="T87" s="145"/>
      <c r="U87" s="138"/>
      <c r="V87" s="139"/>
      <c r="W87" s="140"/>
      <c r="X87" s="140"/>
      <c r="Y87" s="137"/>
      <c r="Z87" s="141"/>
      <c r="AA87" s="141"/>
      <c r="AB87" s="138"/>
      <c r="AC87" s="138"/>
      <c r="AD87" s="1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</row>
    <row r="88" spans="1:40" s="70" customFormat="1" ht="14.4" customHeight="1">
      <c r="A88" s="93">
        <v>83</v>
      </c>
      <c r="B88" s="94"/>
      <c r="C88" s="94"/>
      <c r="D88" s="93"/>
      <c r="E88" s="94"/>
      <c r="F88" s="137"/>
      <c r="G88" s="138"/>
      <c r="H88" s="139"/>
      <c r="I88" s="140"/>
      <c r="J88" s="140"/>
      <c r="K88" s="137"/>
      <c r="L88" s="141"/>
      <c r="M88" s="141"/>
      <c r="N88" s="141"/>
      <c r="O88" s="138"/>
      <c r="P88" s="138"/>
      <c r="Q88" s="138"/>
      <c r="R88" s="145"/>
      <c r="S88" s="145"/>
      <c r="T88" s="145"/>
      <c r="U88" s="138"/>
      <c r="V88" s="139"/>
      <c r="W88" s="140"/>
      <c r="X88" s="140"/>
      <c r="Y88" s="137"/>
      <c r="Z88" s="141"/>
      <c r="AA88" s="141"/>
      <c r="AB88" s="138"/>
      <c r="AC88" s="138"/>
      <c r="AD88" s="1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</row>
    <row r="89" spans="1:40" s="70" customFormat="1" ht="14.4" customHeight="1">
      <c r="A89" s="93">
        <v>84</v>
      </c>
      <c r="B89" s="94"/>
      <c r="C89" s="94"/>
      <c r="D89" s="93"/>
      <c r="E89" s="94"/>
      <c r="F89" s="137"/>
      <c r="G89" s="138"/>
      <c r="H89" s="139"/>
      <c r="I89" s="140"/>
      <c r="J89" s="140"/>
      <c r="K89" s="137"/>
      <c r="L89" s="141"/>
      <c r="M89" s="141"/>
      <c r="N89" s="141"/>
      <c r="O89" s="138"/>
      <c r="P89" s="138"/>
      <c r="Q89" s="138"/>
      <c r="R89" s="145"/>
      <c r="S89" s="145"/>
      <c r="T89" s="145"/>
      <c r="U89" s="138"/>
      <c r="V89" s="139"/>
      <c r="W89" s="140"/>
      <c r="X89" s="140"/>
      <c r="Y89" s="137"/>
      <c r="Z89" s="141"/>
      <c r="AA89" s="141"/>
      <c r="AB89" s="138"/>
      <c r="AC89" s="138"/>
      <c r="AD89" s="1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</row>
    <row r="90" spans="1:40" s="70" customFormat="1" ht="14.4" customHeight="1">
      <c r="A90" s="93">
        <v>85</v>
      </c>
      <c r="B90" s="94"/>
      <c r="C90" s="94"/>
      <c r="D90" s="93"/>
      <c r="E90" s="94"/>
      <c r="F90" s="137"/>
      <c r="G90" s="138"/>
      <c r="H90" s="139"/>
      <c r="I90" s="140"/>
      <c r="J90" s="140"/>
      <c r="K90" s="137"/>
      <c r="L90" s="141"/>
      <c r="M90" s="141"/>
      <c r="N90" s="141"/>
      <c r="O90" s="138"/>
      <c r="P90" s="138"/>
      <c r="Q90" s="138"/>
      <c r="R90" s="145"/>
      <c r="S90" s="145"/>
      <c r="T90" s="145"/>
      <c r="U90" s="138"/>
      <c r="V90" s="139"/>
      <c r="W90" s="140"/>
      <c r="X90" s="140"/>
      <c r="Y90" s="137"/>
      <c r="Z90" s="141"/>
      <c r="AA90" s="141"/>
      <c r="AB90" s="138"/>
      <c r="AC90" s="138"/>
      <c r="AD90" s="1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</row>
    <row r="91" spans="1:40" s="70" customFormat="1" ht="14.4" customHeight="1">
      <c r="A91" s="93">
        <v>86</v>
      </c>
      <c r="B91" s="94"/>
      <c r="C91" s="94"/>
      <c r="D91" s="93"/>
      <c r="E91" s="94"/>
      <c r="F91" s="137"/>
      <c r="G91" s="138"/>
      <c r="H91" s="139"/>
      <c r="I91" s="140"/>
      <c r="J91" s="140"/>
      <c r="K91" s="137"/>
      <c r="L91" s="141"/>
      <c r="M91" s="141"/>
      <c r="N91" s="141"/>
      <c r="O91" s="138"/>
      <c r="P91" s="138"/>
      <c r="Q91" s="138"/>
      <c r="R91" s="145"/>
      <c r="S91" s="145"/>
      <c r="T91" s="145"/>
      <c r="U91" s="138"/>
      <c r="V91" s="139"/>
      <c r="W91" s="140"/>
      <c r="X91" s="140"/>
      <c r="Y91" s="137"/>
      <c r="Z91" s="141"/>
      <c r="AA91" s="141"/>
      <c r="AB91" s="138"/>
      <c r="AC91" s="138"/>
      <c r="AD91" s="1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</row>
    <row r="92" spans="1:40" s="70" customFormat="1" ht="14.4" customHeight="1">
      <c r="A92" s="93">
        <v>87</v>
      </c>
      <c r="B92" s="94"/>
      <c r="C92" s="94"/>
      <c r="D92" s="93"/>
      <c r="E92" s="94"/>
      <c r="F92" s="137"/>
      <c r="G92" s="138"/>
      <c r="H92" s="139"/>
      <c r="I92" s="140"/>
      <c r="J92" s="140"/>
      <c r="K92" s="137"/>
      <c r="L92" s="141"/>
      <c r="M92" s="141"/>
      <c r="N92" s="141"/>
      <c r="O92" s="138"/>
      <c r="P92" s="138"/>
      <c r="Q92" s="138"/>
      <c r="R92" s="145"/>
      <c r="S92" s="145"/>
      <c r="T92" s="145"/>
      <c r="U92" s="138"/>
      <c r="V92" s="139"/>
      <c r="W92" s="140"/>
      <c r="X92" s="140"/>
      <c r="Y92" s="137"/>
      <c r="Z92" s="141"/>
      <c r="AA92" s="141"/>
      <c r="AB92" s="138"/>
      <c r="AC92" s="138"/>
      <c r="AD92" s="1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</row>
    <row r="93" spans="1:40" s="70" customFormat="1" ht="14.4" customHeight="1">
      <c r="A93" s="93">
        <v>88</v>
      </c>
      <c r="B93" s="94"/>
      <c r="C93" s="94"/>
      <c r="D93" s="93"/>
      <c r="E93" s="94"/>
      <c r="F93" s="137"/>
      <c r="G93" s="138"/>
      <c r="H93" s="139"/>
      <c r="I93" s="140"/>
      <c r="J93" s="140"/>
      <c r="K93" s="137"/>
      <c r="L93" s="141"/>
      <c r="M93" s="141"/>
      <c r="N93" s="141"/>
      <c r="O93" s="138"/>
      <c r="P93" s="138"/>
      <c r="Q93" s="138"/>
      <c r="R93" s="145"/>
      <c r="S93" s="145"/>
      <c r="T93" s="145"/>
      <c r="U93" s="138"/>
      <c r="V93" s="139"/>
      <c r="W93" s="140"/>
      <c r="X93" s="140"/>
      <c r="Y93" s="137"/>
      <c r="Z93" s="141"/>
      <c r="AA93" s="141"/>
      <c r="AB93" s="138"/>
      <c r="AC93" s="138"/>
      <c r="AD93" s="1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</row>
    <row r="94" spans="1:40" s="70" customFormat="1" ht="14.4" customHeight="1">
      <c r="A94" s="93">
        <v>89</v>
      </c>
      <c r="B94" s="94"/>
      <c r="C94" s="94"/>
      <c r="D94" s="93"/>
      <c r="E94" s="94"/>
      <c r="F94" s="137"/>
      <c r="G94" s="138"/>
      <c r="H94" s="139"/>
      <c r="I94" s="140"/>
      <c r="J94" s="140"/>
      <c r="K94" s="137"/>
      <c r="L94" s="141"/>
      <c r="M94" s="141"/>
      <c r="N94" s="141"/>
      <c r="O94" s="138"/>
      <c r="P94" s="138"/>
      <c r="Q94" s="138"/>
      <c r="R94" s="145"/>
      <c r="S94" s="145"/>
      <c r="T94" s="145"/>
      <c r="U94" s="138"/>
      <c r="V94" s="139"/>
      <c r="W94" s="140"/>
      <c r="X94" s="140"/>
      <c r="Y94" s="137"/>
      <c r="Z94" s="141"/>
      <c r="AA94" s="141"/>
      <c r="AB94" s="138"/>
      <c r="AC94" s="138"/>
      <c r="AD94" s="1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</row>
    <row r="95" spans="1:40" s="70" customFormat="1" ht="14.4" customHeight="1">
      <c r="A95" s="93">
        <v>90</v>
      </c>
      <c r="B95" s="94"/>
      <c r="C95" s="94"/>
      <c r="D95" s="93"/>
      <c r="E95" s="94"/>
      <c r="F95" s="137"/>
      <c r="G95" s="138"/>
      <c r="H95" s="139"/>
      <c r="I95" s="140"/>
      <c r="J95" s="140"/>
      <c r="K95" s="137"/>
      <c r="L95" s="141"/>
      <c r="M95" s="141"/>
      <c r="N95" s="141"/>
      <c r="O95" s="138"/>
      <c r="P95" s="138"/>
      <c r="Q95" s="138"/>
      <c r="R95" s="145"/>
      <c r="S95" s="145"/>
      <c r="T95" s="145"/>
      <c r="U95" s="138"/>
      <c r="V95" s="139"/>
      <c r="W95" s="140"/>
      <c r="X95" s="140"/>
      <c r="Y95" s="137"/>
      <c r="Z95" s="141"/>
      <c r="AA95" s="141"/>
      <c r="AB95" s="138"/>
      <c r="AC95" s="138"/>
      <c r="AD95" s="1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</row>
    <row r="96" spans="1:40" s="70" customFormat="1" ht="14.4" customHeight="1">
      <c r="A96" s="93">
        <v>91</v>
      </c>
      <c r="B96" s="94"/>
      <c r="C96" s="94"/>
      <c r="D96" s="93"/>
      <c r="E96" s="94"/>
      <c r="F96" s="137"/>
      <c r="G96" s="138"/>
      <c r="H96" s="139"/>
      <c r="I96" s="140"/>
      <c r="J96" s="140"/>
      <c r="K96" s="137"/>
      <c r="L96" s="141"/>
      <c r="M96" s="141"/>
      <c r="N96" s="141"/>
      <c r="O96" s="138"/>
      <c r="P96" s="138"/>
      <c r="Q96" s="138"/>
      <c r="R96" s="145"/>
      <c r="S96" s="145"/>
      <c r="T96" s="145"/>
      <c r="U96" s="138"/>
      <c r="V96" s="139"/>
      <c r="W96" s="140"/>
      <c r="X96" s="140"/>
      <c r="Y96" s="137"/>
      <c r="Z96" s="141"/>
      <c r="AA96" s="141"/>
      <c r="AB96" s="138"/>
      <c r="AC96" s="138"/>
      <c r="AD96" s="1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</row>
    <row r="97" spans="1:40" s="70" customFormat="1" ht="14.4" customHeight="1">
      <c r="A97" s="93">
        <v>92</v>
      </c>
      <c r="B97" s="94"/>
      <c r="C97" s="94"/>
      <c r="D97" s="93"/>
      <c r="E97" s="94"/>
      <c r="F97" s="137"/>
      <c r="G97" s="138"/>
      <c r="H97" s="139"/>
      <c r="I97" s="140"/>
      <c r="J97" s="140"/>
      <c r="K97" s="137"/>
      <c r="L97" s="141"/>
      <c r="M97" s="141"/>
      <c r="N97" s="141"/>
      <c r="O97" s="138"/>
      <c r="P97" s="138"/>
      <c r="Q97" s="138"/>
      <c r="R97" s="145"/>
      <c r="S97" s="145"/>
      <c r="T97" s="145"/>
      <c r="U97" s="138"/>
      <c r="V97" s="139"/>
      <c r="W97" s="140"/>
      <c r="X97" s="140"/>
      <c r="Y97" s="137"/>
      <c r="Z97" s="141"/>
      <c r="AA97" s="141"/>
      <c r="AB97" s="138"/>
      <c r="AC97" s="138"/>
      <c r="AD97" s="1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</row>
    <row r="98" spans="1:40" s="70" customFormat="1" ht="14.4" customHeight="1">
      <c r="A98" s="93">
        <v>93</v>
      </c>
      <c r="B98" s="94"/>
      <c r="C98" s="94"/>
      <c r="D98" s="93"/>
      <c r="E98" s="94"/>
      <c r="F98" s="137"/>
      <c r="G98" s="138"/>
      <c r="H98" s="139"/>
      <c r="I98" s="140"/>
      <c r="J98" s="140"/>
      <c r="K98" s="137"/>
      <c r="L98" s="141"/>
      <c r="M98" s="141"/>
      <c r="N98" s="141"/>
      <c r="O98" s="138"/>
      <c r="P98" s="138"/>
      <c r="Q98" s="138"/>
      <c r="R98" s="145"/>
      <c r="S98" s="145"/>
      <c r="T98" s="145"/>
      <c r="U98" s="138"/>
      <c r="V98" s="139"/>
      <c r="W98" s="140"/>
      <c r="X98" s="140"/>
      <c r="Y98" s="137"/>
      <c r="Z98" s="141"/>
      <c r="AA98" s="141"/>
      <c r="AB98" s="138"/>
      <c r="AC98" s="138"/>
      <c r="AD98" s="1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</row>
    <row r="99" spans="1:40" s="70" customFormat="1" ht="14.4" customHeight="1">
      <c r="A99" s="93">
        <v>94</v>
      </c>
      <c r="B99" s="94"/>
      <c r="C99" s="94"/>
      <c r="D99" s="93"/>
      <c r="E99" s="94"/>
      <c r="F99" s="137"/>
      <c r="G99" s="138"/>
      <c r="H99" s="139"/>
      <c r="I99" s="140"/>
      <c r="J99" s="140"/>
      <c r="K99" s="137"/>
      <c r="L99" s="141"/>
      <c r="M99" s="141"/>
      <c r="N99" s="141"/>
      <c r="O99" s="138"/>
      <c r="P99" s="138"/>
      <c r="Q99" s="138"/>
      <c r="R99" s="145"/>
      <c r="S99" s="145"/>
      <c r="T99" s="145"/>
      <c r="U99" s="138"/>
      <c r="V99" s="139"/>
      <c r="W99" s="140"/>
      <c r="X99" s="140"/>
      <c r="Y99" s="137"/>
      <c r="Z99" s="141"/>
      <c r="AA99" s="141"/>
      <c r="AB99" s="138"/>
      <c r="AC99" s="138"/>
      <c r="AD99" s="1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</row>
    <row r="100" spans="1:40" s="70" customFormat="1" ht="14.4" customHeight="1">
      <c r="A100" s="93">
        <v>95</v>
      </c>
      <c r="B100" s="94"/>
      <c r="C100" s="94"/>
      <c r="D100" s="93"/>
      <c r="E100" s="94"/>
      <c r="F100" s="137"/>
      <c r="G100" s="138"/>
      <c r="H100" s="139"/>
      <c r="I100" s="140"/>
      <c r="J100" s="140"/>
      <c r="K100" s="137"/>
      <c r="L100" s="141"/>
      <c r="M100" s="141"/>
      <c r="N100" s="141"/>
      <c r="O100" s="138"/>
      <c r="P100" s="138"/>
      <c r="Q100" s="138"/>
      <c r="R100" s="145"/>
      <c r="S100" s="145"/>
      <c r="T100" s="145"/>
      <c r="U100" s="138"/>
      <c r="V100" s="139"/>
      <c r="W100" s="140"/>
      <c r="X100" s="140"/>
      <c r="Y100" s="137"/>
      <c r="Z100" s="141"/>
      <c r="AA100" s="141"/>
      <c r="AB100" s="138"/>
      <c r="AC100" s="138"/>
      <c r="AD100" s="1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</row>
    <row r="101" spans="1:40" s="70" customFormat="1" ht="14.4" customHeight="1">
      <c r="A101" s="93">
        <v>96</v>
      </c>
      <c r="B101" s="94"/>
      <c r="C101" s="94"/>
      <c r="D101" s="93"/>
      <c r="E101" s="94"/>
      <c r="F101" s="137"/>
      <c r="G101" s="138"/>
      <c r="H101" s="139"/>
      <c r="I101" s="140"/>
      <c r="J101" s="140"/>
      <c r="K101" s="137"/>
      <c r="L101" s="141"/>
      <c r="M101" s="141"/>
      <c r="N101" s="141"/>
      <c r="O101" s="138"/>
      <c r="P101" s="138"/>
      <c r="Q101" s="138"/>
      <c r="R101" s="145"/>
      <c r="S101" s="145"/>
      <c r="T101" s="145"/>
      <c r="U101" s="138"/>
      <c r="V101" s="139"/>
      <c r="W101" s="140"/>
      <c r="X101" s="140"/>
      <c r="Y101" s="137"/>
      <c r="Z101" s="141"/>
      <c r="AA101" s="141"/>
      <c r="AB101" s="138"/>
      <c r="AC101" s="138"/>
      <c r="AD101" s="1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</row>
    <row r="102" spans="1:40" s="70" customFormat="1" ht="14.4" customHeight="1">
      <c r="A102" s="93">
        <v>97</v>
      </c>
      <c r="B102" s="94"/>
      <c r="C102" s="94"/>
      <c r="D102" s="93"/>
      <c r="E102" s="94"/>
      <c r="F102" s="137"/>
      <c r="G102" s="138"/>
      <c r="H102" s="139"/>
      <c r="I102" s="140"/>
      <c r="J102" s="140"/>
      <c r="K102" s="137"/>
      <c r="L102" s="141"/>
      <c r="M102" s="141"/>
      <c r="N102" s="141"/>
      <c r="O102" s="138"/>
      <c r="P102" s="138"/>
      <c r="Q102" s="138"/>
      <c r="R102" s="145"/>
      <c r="S102" s="145"/>
      <c r="T102" s="145"/>
      <c r="U102" s="138"/>
      <c r="V102" s="139"/>
      <c r="W102" s="140"/>
      <c r="X102" s="140"/>
      <c r="Y102" s="137"/>
      <c r="Z102" s="141"/>
      <c r="AA102" s="141"/>
      <c r="AB102" s="138"/>
      <c r="AC102" s="138"/>
      <c r="AD102" s="1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</row>
    <row r="103" spans="1:40" s="70" customFormat="1" ht="14.4" customHeight="1">
      <c r="A103" s="93">
        <v>98</v>
      </c>
      <c r="B103" s="94"/>
      <c r="C103" s="94"/>
      <c r="D103" s="93"/>
      <c r="E103" s="94"/>
      <c r="F103" s="137"/>
      <c r="G103" s="138"/>
      <c r="H103" s="139"/>
      <c r="I103" s="140"/>
      <c r="J103" s="140"/>
      <c r="K103" s="137"/>
      <c r="L103" s="141"/>
      <c r="M103" s="141"/>
      <c r="N103" s="141"/>
      <c r="O103" s="138"/>
      <c r="P103" s="138"/>
      <c r="Q103" s="138"/>
      <c r="R103" s="145"/>
      <c r="S103" s="145"/>
      <c r="T103" s="145"/>
      <c r="U103" s="138"/>
      <c r="V103" s="139"/>
      <c r="W103" s="140"/>
      <c r="X103" s="140"/>
      <c r="Y103" s="137"/>
      <c r="Z103" s="141"/>
      <c r="AA103" s="141"/>
      <c r="AB103" s="138"/>
      <c r="AC103" s="138"/>
      <c r="AD103" s="1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</row>
    <row r="104" spans="1:40" s="70" customFormat="1" ht="14.4" customHeight="1">
      <c r="A104" s="93">
        <v>99</v>
      </c>
      <c r="B104" s="94"/>
      <c r="C104" s="94"/>
      <c r="D104" s="93"/>
      <c r="E104" s="94"/>
      <c r="F104" s="137"/>
      <c r="G104" s="138"/>
      <c r="H104" s="139"/>
      <c r="I104" s="140"/>
      <c r="J104" s="140"/>
      <c r="K104" s="137"/>
      <c r="L104" s="141"/>
      <c r="M104" s="141"/>
      <c r="N104" s="141"/>
      <c r="O104" s="138"/>
      <c r="P104" s="138"/>
      <c r="Q104" s="138"/>
      <c r="R104" s="145"/>
      <c r="S104" s="145"/>
      <c r="T104" s="145"/>
      <c r="U104" s="138"/>
      <c r="V104" s="139"/>
      <c r="W104" s="140"/>
      <c r="X104" s="140"/>
      <c r="Y104" s="137"/>
      <c r="Z104" s="141"/>
      <c r="AA104" s="141"/>
      <c r="AB104" s="138"/>
      <c r="AC104" s="138"/>
      <c r="AD104" s="1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</row>
    <row r="105" spans="1:40" s="70" customFormat="1" ht="14.4" customHeight="1">
      <c r="A105" s="93">
        <v>100</v>
      </c>
      <c r="B105" s="94"/>
      <c r="C105" s="94"/>
      <c r="D105" s="93"/>
      <c r="E105" s="94"/>
      <c r="F105" s="137"/>
      <c r="G105" s="138"/>
      <c r="H105" s="139"/>
      <c r="I105" s="140"/>
      <c r="J105" s="140"/>
      <c r="K105" s="137"/>
      <c r="L105" s="141"/>
      <c r="M105" s="141"/>
      <c r="N105" s="141"/>
      <c r="O105" s="138"/>
      <c r="P105" s="138"/>
      <c r="Q105" s="138"/>
      <c r="R105" s="145"/>
      <c r="S105" s="145"/>
      <c r="T105" s="145"/>
      <c r="U105" s="138"/>
      <c r="V105" s="139"/>
      <c r="W105" s="140"/>
      <c r="X105" s="140"/>
      <c r="Y105" s="137"/>
      <c r="Z105" s="141"/>
      <c r="AA105" s="141"/>
      <c r="AB105" s="138"/>
      <c r="AC105" s="138"/>
      <c r="AD105" s="1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</row>
    <row r="106" spans="1:40" s="70" customFormat="1" ht="14.4" customHeight="1">
      <c r="A106" s="93">
        <v>101</v>
      </c>
      <c r="B106" s="94"/>
      <c r="C106" s="94"/>
      <c r="D106" s="93"/>
      <c r="E106" s="94"/>
      <c r="F106" s="137"/>
      <c r="G106" s="138"/>
      <c r="H106" s="139"/>
      <c r="I106" s="140"/>
      <c r="J106" s="140"/>
      <c r="K106" s="137"/>
      <c r="L106" s="141"/>
      <c r="M106" s="141"/>
      <c r="N106" s="141"/>
      <c r="O106" s="138"/>
      <c r="P106" s="138"/>
      <c r="Q106" s="138"/>
      <c r="R106" s="145"/>
      <c r="S106" s="145"/>
      <c r="T106" s="145"/>
      <c r="U106" s="138"/>
      <c r="V106" s="139"/>
      <c r="W106" s="140"/>
      <c r="X106" s="140"/>
      <c r="Y106" s="137"/>
      <c r="Z106" s="141"/>
      <c r="AA106" s="141"/>
      <c r="AB106" s="138"/>
      <c r="AC106" s="138"/>
      <c r="AD106" s="1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</row>
    <row r="107" spans="1:40" s="70" customFormat="1" ht="14.4" customHeight="1">
      <c r="A107" s="93">
        <v>102</v>
      </c>
      <c r="B107" s="94"/>
      <c r="C107" s="94"/>
      <c r="D107" s="93"/>
      <c r="E107" s="94"/>
      <c r="F107" s="137"/>
      <c r="G107" s="138"/>
      <c r="H107" s="139"/>
      <c r="I107" s="140"/>
      <c r="J107" s="140"/>
      <c r="K107" s="137"/>
      <c r="L107" s="141"/>
      <c r="M107" s="141"/>
      <c r="N107" s="141"/>
      <c r="O107" s="138"/>
      <c r="P107" s="138"/>
      <c r="Q107" s="138"/>
      <c r="R107" s="145"/>
      <c r="S107" s="145"/>
      <c r="T107" s="145"/>
      <c r="U107" s="138"/>
      <c r="V107" s="139"/>
      <c r="W107" s="140"/>
      <c r="X107" s="140"/>
      <c r="Y107" s="137"/>
      <c r="Z107" s="141"/>
      <c r="AA107" s="141"/>
      <c r="AB107" s="138"/>
      <c r="AC107" s="138"/>
      <c r="AD107" s="1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</row>
    <row r="108" spans="1:40" s="70" customFormat="1" ht="14.4" customHeight="1">
      <c r="A108" s="93">
        <v>103</v>
      </c>
      <c r="B108" s="94"/>
      <c r="C108" s="94"/>
      <c r="D108" s="93"/>
      <c r="E108" s="94"/>
      <c r="F108" s="137"/>
      <c r="G108" s="138"/>
      <c r="H108" s="139"/>
      <c r="I108" s="140"/>
      <c r="J108" s="140"/>
      <c r="K108" s="137"/>
      <c r="L108" s="141"/>
      <c r="M108" s="141"/>
      <c r="N108" s="141"/>
      <c r="O108" s="138"/>
      <c r="P108" s="138"/>
      <c r="Q108" s="138"/>
      <c r="R108" s="145"/>
      <c r="S108" s="145"/>
      <c r="T108" s="145"/>
      <c r="U108" s="138"/>
      <c r="V108" s="139"/>
      <c r="W108" s="140"/>
      <c r="X108" s="140"/>
      <c r="Y108" s="137"/>
      <c r="Z108" s="141"/>
      <c r="AA108" s="141"/>
      <c r="AB108" s="138"/>
      <c r="AC108" s="138"/>
      <c r="AD108" s="1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</row>
    <row r="109" spans="1:40" s="70" customFormat="1" ht="14.4" customHeight="1">
      <c r="A109" s="93">
        <v>104</v>
      </c>
      <c r="B109" s="94"/>
      <c r="C109" s="94"/>
      <c r="D109" s="93"/>
      <c r="E109" s="94"/>
      <c r="F109" s="137"/>
      <c r="G109" s="138"/>
      <c r="H109" s="139"/>
      <c r="I109" s="140"/>
      <c r="J109" s="140"/>
      <c r="K109" s="137"/>
      <c r="L109" s="141"/>
      <c r="M109" s="141"/>
      <c r="N109" s="141"/>
      <c r="O109" s="138"/>
      <c r="P109" s="138"/>
      <c r="Q109" s="138"/>
      <c r="R109" s="145"/>
      <c r="S109" s="145"/>
      <c r="T109" s="145"/>
      <c r="U109" s="138"/>
      <c r="V109" s="139"/>
      <c r="W109" s="140"/>
      <c r="X109" s="140"/>
      <c r="Y109" s="137"/>
      <c r="Z109" s="141"/>
      <c r="AA109" s="141"/>
      <c r="AB109" s="138"/>
      <c r="AC109" s="138"/>
      <c r="AD109" s="1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</row>
    <row r="110" spans="1:40" s="70" customFormat="1" ht="14.4" customHeight="1">
      <c r="A110" s="93">
        <v>105</v>
      </c>
      <c r="B110" s="94"/>
      <c r="C110" s="94"/>
      <c r="D110" s="93"/>
      <c r="E110" s="94"/>
      <c r="F110" s="137"/>
      <c r="G110" s="138"/>
      <c r="H110" s="139"/>
      <c r="I110" s="140"/>
      <c r="J110" s="140"/>
      <c r="K110" s="137"/>
      <c r="L110" s="141"/>
      <c r="M110" s="141"/>
      <c r="N110" s="141"/>
      <c r="O110" s="138"/>
      <c r="P110" s="138"/>
      <c r="Q110" s="138"/>
      <c r="R110" s="145"/>
      <c r="S110" s="145"/>
      <c r="T110" s="145"/>
      <c r="U110" s="138"/>
      <c r="V110" s="139"/>
      <c r="W110" s="140"/>
      <c r="X110" s="140"/>
      <c r="Y110" s="137"/>
      <c r="Z110" s="141"/>
      <c r="AA110" s="141"/>
      <c r="AB110" s="138"/>
      <c r="AC110" s="138"/>
      <c r="AD110" s="1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</row>
    <row r="111" spans="1:40" s="70" customFormat="1" ht="14.4" customHeight="1">
      <c r="A111" s="93">
        <v>106</v>
      </c>
      <c r="B111" s="94"/>
      <c r="C111" s="94"/>
      <c r="D111" s="93"/>
      <c r="E111" s="94"/>
      <c r="F111" s="137"/>
      <c r="G111" s="138"/>
      <c r="H111" s="139"/>
      <c r="I111" s="140"/>
      <c r="J111" s="140"/>
      <c r="K111" s="137"/>
      <c r="L111" s="141"/>
      <c r="M111" s="141"/>
      <c r="N111" s="141"/>
      <c r="O111" s="138"/>
      <c r="P111" s="138"/>
      <c r="Q111" s="138"/>
      <c r="R111" s="145"/>
      <c r="S111" s="145"/>
      <c r="T111" s="145"/>
      <c r="U111" s="138"/>
      <c r="V111" s="139"/>
      <c r="W111" s="140"/>
      <c r="X111" s="140"/>
      <c r="Y111" s="137"/>
      <c r="Z111" s="141"/>
      <c r="AA111" s="141"/>
      <c r="AB111" s="138"/>
      <c r="AC111" s="138"/>
      <c r="AD111" s="1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</row>
    <row r="112" spans="1:40" s="70" customFormat="1" ht="14.4" customHeight="1">
      <c r="A112" s="93">
        <v>107</v>
      </c>
      <c r="B112" s="94"/>
      <c r="C112" s="94"/>
      <c r="D112" s="93"/>
      <c r="E112" s="94"/>
      <c r="F112" s="137"/>
      <c r="G112" s="138"/>
      <c r="H112" s="139"/>
      <c r="I112" s="140"/>
      <c r="J112" s="140"/>
      <c r="K112" s="137"/>
      <c r="L112" s="141"/>
      <c r="M112" s="141"/>
      <c r="N112" s="141"/>
      <c r="O112" s="138"/>
      <c r="P112" s="138"/>
      <c r="Q112" s="138"/>
      <c r="R112" s="145"/>
      <c r="S112" s="145"/>
      <c r="T112" s="145"/>
      <c r="U112" s="138"/>
      <c r="V112" s="139"/>
      <c r="W112" s="140"/>
      <c r="X112" s="140"/>
      <c r="Y112" s="137"/>
      <c r="Z112" s="141"/>
      <c r="AA112" s="141"/>
      <c r="AB112" s="138"/>
      <c r="AC112" s="138"/>
      <c r="AD112" s="1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</row>
    <row r="113" spans="1:40" s="70" customFormat="1" ht="14.4" customHeight="1">
      <c r="A113" s="93">
        <v>108</v>
      </c>
      <c r="B113" s="94"/>
      <c r="C113" s="94"/>
      <c r="D113" s="93"/>
      <c r="E113" s="94"/>
      <c r="F113" s="137"/>
      <c r="G113" s="138"/>
      <c r="H113" s="139"/>
      <c r="I113" s="140"/>
      <c r="J113" s="140"/>
      <c r="K113" s="137"/>
      <c r="L113" s="141"/>
      <c r="M113" s="141"/>
      <c r="N113" s="141"/>
      <c r="O113" s="138"/>
      <c r="P113" s="138"/>
      <c r="Q113" s="138"/>
      <c r="R113" s="145"/>
      <c r="S113" s="145"/>
      <c r="T113" s="145"/>
      <c r="U113" s="138"/>
      <c r="V113" s="139"/>
      <c r="W113" s="140"/>
      <c r="X113" s="140"/>
      <c r="Y113" s="137"/>
      <c r="Z113" s="141"/>
      <c r="AA113" s="141"/>
      <c r="AB113" s="138"/>
      <c r="AC113" s="138"/>
      <c r="AD113" s="1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</row>
    <row r="114" spans="1:40" s="70" customFormat="1" ht="14.4" customHeight="1">
      <c r="A114" s="93">
        <v>109</v>
      </c>
      <c r="B114" s="94"/>
      <c r="C114" s="94"/>
      <c r="D114" s="93"/>
      <c r="E114" s="94"/>
      <c r="F114" s="137"/>
      <c r="G114" s="138"/>
      <c r="H114" s="139"/>
      <c r="I114" s="140"/>
      <c r="J114" s="140"/>
      <c r="K114" s="137"/>
      <c r="L114" s="141"/>
      <c r="M114" s="141"/>
      <c r="N114" s="141"/>
      <c r="O114" s="138"/>
      <c r="P114" s="138"/>
      <c r="Q114" s="138"/>
      <c r="R114" s="145"/>
      <c r="S114" s="145"/>
      <c r="T114" s="145"/>
      <c r="U114" s="138"/>
      <c r="V114" s="139"/>
      <c r="W114" s="140"/>
      <c r="X114" s="140"/>
      <c r="Y114" s="137"/>
      <c r="Z114" s="141"/>
      <c r="AA114" s="141"/>
      <c r="AB114" s="138"/>
      <c r="AC114" s="138"/>
      <c r="AD114" s="1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</row>
    <row r="115" spans="1:40" s="70" customFormat="1" ht="14.4" customHeight="1">
      <c r="A115" s="93">
        <v>110</v>
      </c>
      <c r="B115" s="94"/>
      <c r="C115" s="94"/>
      <c r="D115" s="93"/>
      <c r="E115" s="94"/>
      <c r="F115" s="137"/>
      <c r="G115" s="138"/>
      <c r="H115" s="139"/>
      <c r="I115" s="140"/>
      <c r="J115" s="140"/>
      <c r="K115" s="137"/>
      <c r="L115" s="141"/>
      <c r="M115" s="141"/>
      <c r="N115" s="141"/>
      <c r="O115" s="138"/>
      <c r="P115" s="138"/>
      <c r="Q115" s="138"/>
      <c r="R115" s="145"/>
      <c r="S115" s="145"/>
      <c r="T115" s="145"/>
      <c r="U115" s="138"/>
      <c r="V115" s="139"/>
      <c r="W115" s="140"/>
      <c r="X115" s="140"/>
      <c r="Y115" s="137"/>
      <c r="Z115" s="141"/>
      <c r="AA115" s="141"/>
      <c r="AB115" s="138"/>
      <c r="AC115" s="138"/>
      <c r="AD115" s="1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</row>
    <row r="116" spans="1:40" s="70" customFormat="1" ht="14.4" customHeight="1">
      <c r="A116" s="93">
        <v>111</v>
      </c>
      <c r="B116" s="94"/>
      <c r="C116" s="94"/>
      <c r="D116" s="93"/>
      <c r="E116" s="94"/>
      <c r="F116" s="137"/>
      <c r="G116" s="138"/>
      <c r="H116" s="139"/>
      <c r="I116" s="140"/>
      <c r="J116" s="140"/>
      <c r="K116" s="137"/>
      <c r="L116" s="141"/>
      <c r="M116" s="141"/>
      <c r="N116" s="141"/>
      <c r="O116" s="138"/>
      <c r="P116" s="138"/>
      <c r="Q116" s="138"/>
      <c r="R116" s="145"/>
      <c r="S116" s="145"/>
      <c r="T116" s="145"/>
      <c r="U116" s="138"/>
      <c r="V116" s="139"/>
      <c r="W116" s="140"/>
      <c r="X116" s="140"/>
      <c r="Y116" s="137"/>
      <c r="Z116" s="141"/>
      <c r="AA116" s="141"/>
      <c r="AB116" s="138"/>
      <c r="AC116" s="138"/>
      <c r="AD116" s="1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</row>
    <row r="117" spans="1:40" ht="14.4" customHeight="1">
      <c r="A117" s="93">
        <v>112</v>
      </c>
      <c r="B117" s="94"/>
      <c r="C117" s="94"/>
      <c r="D117" s="93"/>
      <c r="E117" s="94"/>
      <c r="F117" s="137"/>
      <c r="G117" s="138"/>
      <c r="H117" s="139"/>
      <c r="I117" s="140"/>
      <c r="J117" s="140"/>
      <c r="K117" s="137"/>
      <c r="L117" s="141"/>
      <c r="M117" s="141"/>
      <c r="N117" s="141"/>
      <c r="O117" s="138"/>
      <c r="P117" s="138"/>
      <c r="Q117" s="138"/>
      <c r="R117" s="145"/>
      <c r="S117" s="145"/>
      <c r="T117" s="145"/>
      <c r="U117" s="138"/>
      <c r="V117" s="139"/>
      <c r="W117" s="140"/>
      <c r="X117" s="140"/>
      <c r="Y117" s="137"/>
      <c r="Z117" s="141"/>
      <c r="AA117" s="141"/>
      <c r="AB117" s="138"/>
      <c r="AC117" s="138"/>
      <c r="AD117" s="144"/>
    </row>
    <row r="118" spans="1:40" ht="14.4" customHeight="1">
      <c r="A118" s="93">
        <v>113</v>
      </c>
      <c r="B118" s="94"/>
      <c r="C118" s="94"/>
      <c r="D118" s="93"/>
      <c r="E118" s="94"/>
      <c r="F118" s="137"/>
      <c r="G118" s="138"/>
      <c r="H118" s="139"/>
      <c r="I118" s="140"/>
      <c r="J118" s="140"/>
      <c r="K118" s="137"/>
      <c r="L118" s="141"/>
      <c r="M118" s="141"/>
      <c r="N118" s="141"/>
      <c r="O118" s="138"/>
      <c r="P118" s="138"/>
      <c r="Q118" s="138"/>
      <c r="R118" s="145"/>
      <c r="S118" s="145"/>
      <c r="T118" s="145"/>
      <c r="U118" s="138"/>
      <c r="V118" s="139"/>
      <c r="W118" s="140"/>
      <c r="X118" s="140"/>
      <c r="Y118" s="137"/>
      <c r="Z118" s="141"/>
      <c r="AA118" s="141"/>
      <c r="AB118" s="138"/>
      <c r="AC118" s="138"/>
      <c r="AD118" s="144"/>
    </row>
    <row r="119" spans="1:40" ht="14.4" customHeight="1">
      <c r="A119" s="93">
        <v>114</v>
      </c>
      <c r="B119" s="94"/>
      <c r="C119" s="94"/>
      <c r="D119" s="93"/>
      <c r="E119" s="94"/>
      <c r="F119" s="137"/>
      <c r="G119" s="138"/>
      <c r="H119" s="139"/>
      <c r="I119" s="140"/>
      <c r="J119" s="140"/>
      <c r="K119" s="137"/>
      <c r="L119" s="141"/>
      <c r="M119" s="141"/>
      <c r="N119" s="141"/>
      <c r="O119" s="138"/>
      <c r="P119" s="138"/>
      <c r="Q119" s="138"/>
      <c r="R119" s="145"/>
      <c r="S119" s="145"/>
      <c r="T119" s="145"/>
      <c r="U119" s="138"/>
      <c r="V119" s="139"/>
      <c r="W119" s="140"/>
      <c r="X119" s="140"/>
      <c r="Y119" s="137"/>
      <c r="Z119" s="141"/>
      <c r="AA119" s="141"/>
      <c r="AB119" s="138"/>
      <c r="AC119" s="138"/>
      <c r="AD119" s="144"/>
    </row>
    <row r="120" spans="1:40" ht="14.4" customHeight="1">
      <c r="A120" s="93">
        <v>115</v>
      </c>
      <c r="B120" s="94"/>
      <c r="C120" s="94"/>
      <c r="D120" s="93"/>
      <c r="E120" s="94"/>
      <c r="F120" s="137"/>
      <c r="G120" s="138"/>
      <c r="H120" s="139"/>
      <c r="I120" s="140"/>
      <c r="J120" s="140"/>
      <c r="K120" s="137"/>
      <c r="L120" s="141"/>
      <c r="M120" s="141"/>
      <c r="N120" s="141"/>
      <c r="O120" s="138"/>
      <c r="P120" s="138"/>
      <c r="Q120" s="138"/>
      <c r="R120" s="145"/>
      <c r="S120" s="145"/>
      <c r="T120" s="145"/>
      <c r="U120" s="138"/>
      <c r="V120" s="139"/>
      <c r="W120" s="140"/>
      <c r="X120" s="140"/>
      <c r="Y120" s="137"/>
      <c r="Z120" s="141"/>
      <c r="AA120" s="141"/>
      <c r="AB120" s="138"/>
      <c r="AC120" s="138"/>
      <c r="AD120" s="144"/>
    </row>
    <row r="121" spans="1:40" ht="14.4" customHeight="1">
      <c r="A121" s="93">
        <v>116</v>
      </c>
      <c r="B121" s="94"/>
      <c r="C121" s="94"/>
      <c r="D121" s="93"/>
      <c r="E121" s="94"/>
      <c r="F121" s="137"/>
      <c r="G121" s="138"/>
      <c r="H121" s="139"/>
      <c r="I121" s="140"/>
      <c r="J121" s="140"/>
      <c r="K121" s="137"/>
      <c r="L121" s="141"/>
      <c r="M121" s="141"/>
      <c r="N121" s="141"/>
      <c r="O121" s="138"/>
      <c r="P121" s="138"/>
      <c r="Q121" s="138"/>
      <c r="R121" s="145"/>
      <c r="S121" s="145"/>
      <c r="T121" s="145"/>
      <c r="U121" s="138"/>
      <c r="V121" s="139"/>
      <c r="W121" s="140"/>
      <c r="X121" s="140"/>
      <c r="Y121" s="137"/>
      <c r="Z121" s="141"/>
      <c r="AA121" s="141"/>
      <c r="AB121" s="138"/>
      <c r="AC121" s="138"/>
      <c r="AD121" s="144"/>
    </row>
    <row r="122" spans="1:40" ht="14.4" customHeight="1">
      <c r="A122" s="93">
        <v>117</v>
      </c>
      <c r="B122" s="94"/>
      <c r="C122" s="94"/>
      <c r="D122" s="93"/>
      <c r="E122" s="94"/>
      <c r="F122" s="137"/>
      <c r="G122" s="138"/>
      <c r="H122" s="139"/>
      <c r="I122" s="140"/>
      <c r="J122" s="140"/>
      <c r="K122" s="137"/>
      <c r="L122" s="141"/>
      <c r="M122" s="141"/>
      <c r="N122" s="141"/>
      <c r="O122" s="138"/>
      <c r="P122" s="138"/>
      <c r="Q122" s="138"/>
      <c r="R122" s="145"/>
      <c r="S122" s="145"/>
      <c r="T122" s="145"/>
      <c r="U122" s="138"/>
      <c r="V122" s="139"/>
      <c r="W122" s="140"/>
      <c r="X122" s="140"/>
      <c r="Y122" s="137"/>
      <c r="Z122" s="141"/>
      <c r="AA122" s="141"/>
      <c r="AB122" s="138"/>
      <c r="AC122" s="138"/>
      <c r="AD122" s="144"/>
    </row>
    <row r="123" spans="1:40" ht="14.4" customHeight="1">
      <c r="A123" s="93">
        <v>118</v>
      </c>
      <c r="B123" s="94"/>
      <c r="C123" s="94"/>
      <c r="D123" s="93"/>
      <c r="E123" s="94"/>
      <c r="F123" s="137"/>
      <c r="G123" s="138"/>
      <c r="H123" s="139"/>
      <c r="I123" s="140"/>
      <c r="J123" s="140"/>
      <c r="K123" s="137"/>
      <c r="L123" s="141"/>
      <c r="M123" s="141"/>
      <c r="N123" s="141"/>
      <c r="O123" s="138"/>
      <c r="P123" s="138"/>
      <c r="Q123" s="138"/>
      <c r="R123" s="145"/>
      <c r="S123" s="145"/>
      <c r="T123" s="145"/>
      <c r="U123" s="138"/>
      <c r="V123" s="139"/>
      <c r="W123" s="140"/>
      <c r="X123" s="140"/>
      <c r="Y123" s="137"/>
      <c r="Z123" s="141"/>
      <c r="AA123" s="141"/>
      <c r="AB123" s="138"/>
      <c r="AC123" s="138"/>
      <c r="AD123" s="144"/>
    </row>
    <row r="124" spans="1:40" ht="14.4" customHeight="1">
      <c r="A124" s="93">
        <v>119</v>
      </c>
      <c r="B124" s="94"/>
      <c r="C124" s="94"/>
      <c r="D124" s="93"/>
      <c r="E124" s="94"/>
      <c r="F124" s="137"/>
      <c r="G124" s="138"/>
      <c r="H124" s="139"/>
      <c r="I124" s="140"/>
      <c r="J124" s="140"/>
      <c r="K124" s="137"/>
      <c r="L124" s="141"/>
      <c r="M124" s="141"/>
      <c r="N124" s="141"/>
      <c r="O124" s="138"/>
      <c r="P124" s="138"/>
      <c r="Q124" s="138"/>
      <c r="R124" s="145"/>
      <c r="S124" s="145"/>
      <c r="T124" s="145"/>
      <c r="U124" s="138"/>
      <c r="V124" s="139"/>
      <c r="W124" s="140"/>
      <c r="X124" s="140"/>
      <c r="Y124" s="137"/>
      <c r="Z124" s="141"/>
      <c r="AA124" s="141"/>
      <c r="AB124" s="138"/>
      <c r="AC124" s="138"/>
      <c r="AD124" s="144"/>
    </row>
    <row r="125" spans="1:40" ht="14.4" customHeight="1">
      <c r="A125" s="93">
        <v>120</v>
      </c>
      <c r="B125" s="94"/>
      <c r="C125" s="94"/>
      <c r="D125" s="93"/>
      <c r="E125" s="94"/>
      <c r="F125" s="137"/>
      <c r="G125" s="138"/>
      <c r="H125" s="139"/>
      <c r="I125" s="140"/>
      <c r="J125" s="140"/>
      <c r="K125" s="137"/>
      <c r="L125" s="141"/>
      <c r="M125" s="141"/>
      <c r="N125" s="141"/>
      <c r="O125" s="138"/>
      <c r="P125" s="138"/>
      <c r="Q125" s="138"/>
      <c r="R125" s="145"/>
      <c r="S125" s="145"/>
      <c r="T125" s="145"/>
      <c r="U125" s="138"/>
      <c r="V125" s="139"/>
      <c r="W125" s="140"/>
      <c r="X125" s="140"/>
      <c r="Y125" s="137"/>
      <c r="Z125" s="141"/>
      <c r="AA125" s="141"/>
      <c r="AB125" s="138"/>
      <c r="AC125" s="138"/>
      <c r="AD125" s="144"/>
    </row>
    <row r="126" spans="1:40" s="70" customFormat="1" ht="14.4" customHeight="1">
      <c r="A126" s="93">
        <v>121</v>
      </c>
      <c r="B126" s="94"/>
      <c r="C126" s="94"/>
      <c r="D126" s="93"/>
      <c r="E126" s="94"/>
      <c r="F126" s="137"/>
      <c r="G126" s="138"/>
      <c r="H126" s="139"/>
      <c r="I126" s="140"/>
      <c r="J126" s="140"/>
      <c r="K126" s="137"/>
      <c r="L126" s="141"/>
      <c r="M126" s="141"/>
      <c r="N126" s="141"/>
      <c r="O126" s="138"/>
      <c r="P126" s="138"/>
      <c r="Q126" s="138"/>
      <c r="R126" s="145"/>
      <c r="S126" s="145"/>
      <c r="T126" s="145"/>
      <c r="U126" s="138"/>
      <c r="V126" s="139"/>
      <c r="W126" s="140"/>
      <c r="X126" s="140"/>
      <c r="Y126" s="137"/>
      <c r="Z126" s="141"/>
      <c r="AA126" s="141"/>
      <c r="AB126" s="138"/>
      <c r="AC126" s="138"/>
      <c r="AD126" s="1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</row>
    <row r="127" spans="1:40" s="70" customFormat="1" ht="14.4" customHeight="1">
      <c r="A127" s="93">
        <v>122</v>
      </c>
      <c r="B127" s="94"/>
      <c r="C127" s="94"/>
      <c r="D127" s="93"/>
      <c r="E127" s="94"/>
      <c r="F127" s="137"/>
      <c r="G127" s="138"/>
      <c r="H127" s="139"/>
      <c r="I127" s="140"/>
      <c r="J127" s="140"/>
      <c r="K127" s="137"/>
      <c r="L127" s="141"/>
      <c r="M127" s="141"/>
      <c r="N127" s="141"/>
      <c r="O127" s="138"/>
      <c r="P127" s="138"/>
      <c r="Q127" s="138"/>
      <c r="R127" s="145"/>
      <c r="S127" s="145"/>
      <c r="T127" s="145"/>
      <c r="U127" s="138"/>
      <c r="V127" s="139"/>
      <c r="W127" s="140"/>
      <c r="X127" s="140"/>
      <c r="Y127" s="137"/>
      <c r="Z127" s="141"/>
      <c r="AA127" s="141"/>
      <c r="AB127" s="138"/>
      <c r="AC127" s="138"/>
      <c r="AD127" s="1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</row>
    <row r="128" spans="1:40" s="70" customFormat="1" ht="14.4" customHeight="1">
      <c r="A128" s="93">
        <v>123</v>
      </c>
      <c r="B128" s="94"/>
      <c r="C128" s="94"/>
      <c r="D128" s="93"/>
      <c r="E128" s="94"/>
      <c r="F128" s="137"/>
      <c r="G128" s="138"/>
      <c r="H128" s="139"/>
      <c r="I128" s="140"/>
      <c r="J128" s="140"/>
      <c r="K128" s="137"/>
      <c r="L128" s="141"/>
      <c r="M128" s="141"/>
      <c r="N128" s="141"/>
      <c r="O128" s="138"/>
      <c r="P128" s="138"/>
      <c r="Q128" s="138"/>
      <c r="R128" s="145"/>
      <c r="S128" s="145"/>
      <c r="T128" s="145"/>
      <c r="U128" s="138"/>
      <c r="V128" s="139"/>
      <c r="W128" s="140"/>
      <c r="X128" s="140"/>
      <c r="Y128" s="137"/>
      <c r="Z128" s="141"/>
      <c r="AA128" s="141"/>
      <c r="AB128" s="138"/>
      <c r="AC128" s="138"/>
      <c r="AD128" s="1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</row>
    <row r="129" spans="1:40" s="70" customFormat="1" ht="14.4" customHeight="1">
      <c r="A129" s="93">
        <v>124</v>
      </c>
      <c r="B129" s="94"/>
      <c r="C129" s="94"/>
      <c r="D129" s="93"/>
      <c r="E129" s="94"/>
      <c r="F129" s="137"/>
      <c r="G129" s="138"/>
      <c r="H129" s="139"/>
      <c r="I129" s="140"/>
      <c r="J129" s="140"/>
      <c r="K129" s="137"/>
      <c r="L129" s="141"/>
      <c r="M129" s="141"/>
      <c r="N129" s="141"/>
      <c r="O129" s="138"/>
      <c r="P129" s="138"/>
      <c r="Q129" s="138"/>
      <c r="R129" s="145"/>
      <c r="S129" s="145"/>
      <c r="T129" s="145"/>
      <c r="U129" s="138"/>
      <c r="V129" s="139"/>
      <c r="W129" s="140"/>
      <c r="X129" s="140"/>
      <c r="Y129" s="137"/>
      <c r="Z129" s="141"/>
      <c r="AA129" s="141"/>
      <c r="AB129" s="138"/>
      <c r="AC129" s="138"/>
      <c r="AD129" s="1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</row>
    <row r="130" spans="1:40" s="70" customFormat="1" ht="14.4" customHeight="1">
      <c r="A130" s="93">
        <v>125</v>
      </c>
      <c r="B130" s="94"/>
      <c r="C130" s="94"/>
      <c r="D130" s="93"/>
      <c r="E130" s="94"/>
      <c r="F130" s="137"/>
      <c r="G130" s="138"/>
      <c r="H130" s="139"/>
      <c r="I130" s="140"/>
      <c r="J130" s="140"/>
      <c r="K130" s="137"/>
      <c r="L130" s="141"/>
      <c r="M130" s="141"/>
      <c r="N130" s="141"/>
      <c r="O130" s="138"/>
      <c r="P130" s="138"/>
      <c r="Q130" s="138"/>
      <c r="R130" s="145"/>
      <c r="S130" s="145"/>
      <c r="T130" s="145"/>
      <c r="U130" s="138"/>
      <c r="V130" s="139"/>
      <c r="W130" s="140"/>
      <c r="X130" s="140"/>
      <c r="Y130" s="137"/>
      <c r="Z130" s="141"/>
      <c r="AA130" s="141"/>
      <c r="AB130" s="138"/>
      <c r="AC130" s="138"/>
      <c r="AD130" s="1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</row>
    <row r="131" spans="1:40" s="70" customFormat="1" ht="14.4" customHeight="1">
      <c r="A131" s="93">
        <v>126</v>
      </c>
      <c r="B131" s="94"/>
      <c r="C131" s="94"/>
      <c r="D131" s="93"/>
      <c r="E131" s="94"/>
      <c r="F131" s="137"/>
      <c r="G131" s="138"/>
      <c r="H131" s="139"/>
      <c r="I131" s="140"/>
      <c r="J131" s="140"/>
      <c r="K131" s="137"/>
      <c r="L131" s="141"/>
      <c r="M131" s="141"/>
      <c r="N131" s="141"/>
      <c r="O131" s="138"/>
      <c r="P131" s="138"/>
      <c r="Q131" s="138"/>
      <c r="R131" s="145"/>
      <c r="S131" s="145"/>
      <c r="T131" s="145"/>
      <c r="U131" s="138"/>
      <c r="V131" s="139"/>
      <c r="W131" s="140"/>
      <c r="X131" s="140"/>
      <c r="Y131" s="137"/>
      <c r="Z131" s="141"/>
      <c r="AA131" s="141"/>
      <c r="AB131" s="138"/>
      <c r="AC131" s="138"/>
      <c r="AD131" s="1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</row>
    <row r="132" spans="1:40" s="70" customFormat="1" ht="14.4" customHeight="1">
      <c r="A132" s="93">
        <v>127</v>
      </c>
      <c r="B132" s="94"/>
      <c r="C132" s="94"/>
      <c r="D132" s="93"/>
      <c r="E132" s="94"/>
      <c r="F132" s="137"/>
      <c r="G132" s="138"/>
      <c r="H132" s="139"/>
      <c r="I132" s="140"/>
      <c r="J132" s="140"/>
      <c r="K132" s="137"/>
      <c r="L132" s="141"/>
      <c r="M132" s="141"/>
      <c r="N132" s="141"/>
      <c r="O132" s="138"/>
      <c r="P132" s="138"/>
      <c r="Q132" s="138"/>
      <c r="R132" s="145"/>
      <c r="S132" s="145"/>
      <c r="T132" s="145"/>
      <c r="U132" s="138"/>
      <c r="V132" s="139"/>
      <c r="W132" s="140"/>
      <c r="X132" s="140"/>
      <c r="Y132" s="137"/>
      <c r="Z132" s="141"/>
      <c r="AA132" s="141"/>
      <c r="AB132" s="138"/>
      <c r="AC132" s="138"/>
      <c r="AD132" s="1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</row>
    <row r="133" spans="1:40" ht="14.4" customHeight="1">
      <c r="A133" s="93">
        <v>128</v>
      </c>
      <c r="B133" s="94"/>
      <c r="C133" s="94"/>
      <c r="D133" s="93"/>
      <c r="E133" s="94"/>
      <c r="F133" s="137"/>
      <c r="G133" s="138"/>
      <c r="H133" s="139"/>
      <c r="I133" s="140"/>
      <c r="J133" s="140"/>
      <c r="K133" s="137"/>
      <c r="L133" s="141"/>
      <c r="M133" s="141"/>
      <c r="N133" s="141"/>
      <c r="O133" s="138"/>
      <c r="P133" s="138"/>
      <c r="Q133" s="138"/>
      <c r="R133" s="145"/>
      <c r="S133" s="145"/>
      <c r="T133" s="145"/>
      <c r="U133" s="138"/>
      <c r="V133" s="139"/>
      <c r="W133" s="140"/>
      <c r="X133" s="140"/>
      <c r="Y133" s="137"/>
      <c r="Z133" s="141"/>
      <c r="AA133" s="141"/>
      <c r="AB133" s="138"/>
      <c r="AC133" s="138"/>
      <c r="AD133" s="144"/>
    </row>
    <row r="134" spans="1:40" ht="14.4" customHeight="1">
      <c r="A134" s="93">
        <v>129</v>
      </c>
      <c r="B134" s="94"/>
      <c r="C134" s="94"/>
      <c r="D134" s="93"/>
      <c r="E134" s="94"/>
      <c r="F134" s="137"/>
      <c r="G134" s="138"/>
      <c r="H134" s="139"/>
      <c r="I134" s="140"/>
      <c r="J134" s="140"/>
      <c r="K134" s="137"/>
      <c r="L134" s="141"/>
      <c r="M134" s="141"/>
      <c r="N134" s="141"/>
      <c r="O134" s="138"/>
      <c r="P134" s="138"/>
      <c r="Q134" s="138"/>
      <c r="R134" s="145"/>
      <c r="S134" s="145"/>
      <c r="T134" s="145"/>
      <c r="U134" s="138"/>
      <c r="V134" s="139"/>
      <c r="W134" s="140"/>
      <c r="X134" s="140"/>
      <c r="Y134" s="137"/>
      <c r="Z134" s="141"/>
      <c r="AA134" s="141"/>
      <c r="AB134" s="138"/>
      <c r="AC134" s="138"/>
      <c r="AD134" s="144"/>
    </row>
    <row r="135" spans="1:40" ht="14.4" customHeight="1">
      <c r="A135" s="93">
        <v>130</v>
      </c>
      <c r="B135" s="94"/>
      <c r="C135" s="94"/>
      <c r="D135" s="93"/>
      <c r="E135" s="94"/>
      <c r="F135" s="137"/>
      <c r="G135" s="138"/>
      <c r="H135" s="139"/>
      <c r="I135" s="140"/>
      <c r="J135" s="140"/>
      <c r="K135" s="137"/>
      <c r="L135" s="141"/>
      <c r="M135" s="141"/>
      <c r="N135" s="141"/>
      <c r="O135" s="138"/>
      <c r="P135" s="138"/>
      <c r="Q135" s="138"/>
      <c r="R135" s="145"/>
      <c r="S135" s="145"/>
      <c r="T135" s="145"/>
      <c r="U135" s="138"/>
      <c r="V135" s="139"/>
      <c r="W135" s="140"/>
      <c r="X135" s="140"/>
      <c r="Y135" s="137"/>
      <c r="Z135" s="141"/>
      <c r="AA135" s="141"/>
      <c r="AB135" s="138"/>
      <c r="AC135" s="138"/>
      <c r="AD135" s="144"/>
    </row>
    <row r="136" spans="1:40" ht="14.4" customHeight="1">
      <c r="A136" s="93">
        <v>131</v>
      </c>
      <c r="B136" s="94"/>
      <c r="C136" s="94"/>
      <c r="D136" s="93"/>
      <c r="E136" s="94"/>
      <c r="F136" s="137"/>
      <c r="G136" s="138"/>
      <c r="H136" s="139"/>
      <c r="I136" s="140"/>
      <c r="J136" s="140"/>
      <c r="K136" s="137"/>
      <c r="L136" s="141"/>
      <c r="M136" s="141"/>
      <c r="N136" s="141"/>
      <c r="O136" s="138"/>
      <c r="P136" s="138"/>
      <c r="Q136" s="138"/>
      <c r="R136" s="145"/>
      <c r="S136" s="145"/>
      <c r="T136" s="145"/>
      <c r="U136" s="138"/>
      <c r="V136" s="139"/>
      <c r="W136" s="140"/>
      <c r="X136" s="140"/>
      <c r="Y136" s="137"/>
      <c r="Z136" s="141"/>
      <c r="AA136" s="141"/>
      <c r="AB136" s="138"/>
      <c r="AC136" s="138"/>
      <c r="AD136" s="144"/>
    </row>
    <row r="137" spans="1:40" ht="14.4" customHeight="1">
      <c r="A137" s="93">
        <v>132</v>
      </c>
      <c r="B137" s="94"/>
      <c r="C137" s="94"/>
      <c r="D137" s="93"/>
      <c r="E137" s="94"/>
      <c r="F137" s="137"/>
      <c r="G137" s="138"/>
      <c r="H137" s="139"/>
      <c r="I137" s="140"/>
      <c r="J137" s="140"/>
      <c r="K137" s="137"/>
      <c r="L137" s="141"/>
      <c r="M137" s="141"/>
      <c r="N137" s="141"/>
      <c r="O137" s="138"/>
      <c r="P137" s="138"/>
      <c r="Q137" s="138"/>
      <c r="R137" s="145"/>
      <c r="S137" s="145"/>
      <c r="T137" s="145"/>
      <c r="U137" s="138"/>
      <c r="V137" s="139"/>
      <c r="W137" s="140"/>
      <c r="X137" s="140"/>
      <c r="Y137" s="137"/>
      <c r="Z137" s="141"/>
      <c r="AA137" s="141"/>
      <c r="AB137" s="138"/>
      <c r="AC137" s="138"/>
      <c r="AD137" s="144"/>
    </row>
    <row r="138" spans="1:40" ht="14.4" customHeight="1">
      <c r="A138" s="93">
        <v>133</v>
      </c>
      <c r="B138" s="94"/>
      <c r="C138" s="94"/>
      <c r="D138" s="93"/>
      <c r="E138" s="94"/>
      <c r="F138" s="137"/>
      <c r="G138" s="138"/>
      <c r="H138" s="139"/>
      <c r="I138" s="140"/>
      <c r="J138" s="140"/>
      <c r="K138" s="137"/>
      <c r="L138" s="141"/>
      <c r="M138" s="141"/>
      <c r="N138" s="141"/>
      <c r="O138" s="138"/>
      <c r="P138" s="138"/>
      <c r="Q138" s="138"/>
      <c r="R138" s="145"/>
      <c r="S138" s="145"/>
      <c r="T138" s="145"/>
      <c r="U138" s="138"/>
      <c r="V138" s="139"/>
      <c r="W138" s="140"/>
      <c r="X138" s="140"/>
      <c r="Y138" s="137"/>
      <c r="Z138" s="141"/>
      <c r="AA138" s="141"/>
      <c r="AB138" s="138"/>
      <c r="AC138" s="138"/>
      <c r="AD138" s="144"/>
    </row>
    <row r="139" spans="1:40" ht="14.4" customHeight="1">
      <c r="A139" s="93">
        <v>134</v>
      </c>
      <c r="B139" s="94"/>
      <c r="C139" s="94"/>
      <c r="D139" s="93"/>
      <c r="E139" s="94"/>
      <c r="F139" s="137"/>
      <c r="G139" s="138"/>
      <c r="H139" s="139"/>
      <c r="I139" s="140"/>
      <c r="J139" s="140"/>
      <c r="K139" s="137"/>
      <c r="L139" s="141"/>
      <c r="M139" s="141"/>
      <c r="N139" s="141"/>
      <c r="O139" s="138"/>
      <c r="P139" s="138"/>
      <c r="Q139" s="138"/>
      <c r="R139" s="145"/>
      <c r="S139" s="145"/>
      <c r="T139" s="145"/>
      <c r="U139" s="138"/>
      <c r="V139" s="139"/>
      <c r="W139" s="140"/>
      <c r="X139" s="140"/>
      <c r="Y139" s="137"/>
      <c r="Z139" s="141"/>
      <c r="AA139" s="141"/>
      <c r="AB139" s="138"/>
      <c r="AC139" s="138"/>
      <c r="AD139" s="144"/>
    </row>
    <row r="140" spans="1:40" ht="14.4" customHeight="1">
      <c r="A140" s="93">
        <v>135</v>
      </c>
      <c r="B140" s="94"/>
      <c r="C140" s="94"/>
      <c r="D140" s="93"/>
      <c r="E140" s="94"/>
      <c r="F140" s="137"/>
      <c r="G140" s="138"/>
      <c r="H140" s="139"/>
      <c r="I140" s="140"/>
      <c r="J140" s="140"/>
      <c r="K140" s="137"/>
      <c r="L140" s="141"/>
      <c r="M140" s="141"/>
      <c r="N140" s="141"/>
      <c r="O140" s="138"/>
      <c r="P140" s="138"/>
      <c r="Q140" s="138"/>
      <c r="R140" s="145"/>
      <c r="S140" s="145"/>
      <c r="T140" s="145"/>
      <c r="U140" s="138"/>
      <c r="V140" s="139"/>
      <c r="W140" s="140"/>
      <c r="X140" s="140"/>
      <c r="Y140" s="137"/>
      <c r="Z140" s="141"/>
      <c r="AA140" s="141"/>
      <c r="AB140" s="138"/>
      <c r="AC140" s="138"/>
      <c r="AD140" s="144"/>
    </row>
    <row r="141" spans="1:40" ht="14.4" customHeight="1">
      <c r="A141" s="93">
        <v>136</v>
      </c>
      <c r="B141" s="94"/>
      <c r="C141" s="94"/>
      <c r="D141" s="93"/>
      <c r="E141" s="94"/>
      <c r="F141" s="137"/>
      <c r="G141" s="138"/>
      <c r="H141" s="139"/>
      <c r="I141" s="140"/>
      <c r="J141" s="140"/>
      <c r="K141" s="137"/>
      <c r="L141" s="141"/>
      <c r="M141" s="141"/>
      <c r="N141" s="141"/>
      <c r="O141" s="138"/>
      <c r="P141" s="138"/>
      <c r="Q141" s="138"/>
      <c r="R141" s="145"/>
      <c r="S141" s="145"/>
      <c r="T141" s="145"/>
      <c r="U141" s="138"/>
      <c r="V141" s="139"/>
      <c r="W141" s="140"/>
      <c r="X141" s="140"/>
      <c r="Y141" s="137"/>
      <c r="Z141" s="141"/>
      <c r="AA141" s="141"/>
      <c r="AB141" s="138"/>
      <c r="AC141" s="138"/>
      <c r="AD141" s="144"/>
    </row>
    <row r="142" spans="1:40" s="70" customFormat="1" ht="14.4" customHeight="1">
      <c r="A142" s="93">
        <v>137</v>
      </c>
      <c r="B142" s="94"/>
      <c r="C142" s="94"/>
      <c r="D142" s="93"/>
      <c r="E142" s="94"/>
      <c r="F142" s="137"/>
      <c r="G142" s="138"/>
      <c r="H142" s="139"/>
      <c r="I142" s="140"/>
      <c r="J142" s="140"/>
      <c r="K142" s="137"/>
      <c r="L142" s="141"/>
      <c r="M142" s="141"/>
      <c r="N142" s="141"/>
      <c r="O142" s="138"/>
      <c r="P142" s="138"/>
      <c r="Q142" s="138"/>
      <c r="R142" s="145"/>
      <c r="S142" s="145"/>
      <c r="T142" s="145"/>
      <c r="U142" s="138"/>
      <c r="V142" s="139"/>
      <c r="W142" s="140"/>
      <c r="X142" s="140"/>
      <c r="Y142" s="137"/>
      <c r="Z142" s="141"/>
      <c r="AA142" s="141"/>
      <c r="AB142" s="138"/>
      <c r="AC142" s="138"/>
      <c r="AD142" s="1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</row>
    <row r="143" spans="1:40" s="70" customFormat="1" ht="14.4" customHeight="1">
      <c r="A143" s="93">
        <v>138</v>
      </c>
      <c r="B143" s="94"/>
      <c r="C143" s="94"/>
      <c r="D143" s="93"/>
      <c r="E143" s="94"/>
      <c r="F143" s="137"/>
      <c r="G143" s="138"/>
      <c r="H143" s="139"/>
      <c r="I143" s="140"/>
      <c r="J143" s="140"/>
      <c r="K143" s="137"/>
      <c r="L143" s="141"/>
      <c r="M143" s="141"/>
      <c r="N143" s="141"/>
      <c r="O143" s="138"/>
      <c r="P143" s="138"/>
      <c r="Q143" s="138"/>
      <c r="R143" s="145"/>
      <c r="S143" s="145"/>
      <c r="T143" s="145"/>
      <c r="U143" s="138"/>
      <c r="V143" s="139"/>
      <c r="W143" s="140"/>
      <c r="X143" s="140"/>
      <c r="Y143" s="137"/>
      <c r="Z143" s="141"/>
      <c r="AA143" s="141"/>
      <c r="AB143" s="138"/>
      <c r="AC143" s="138"/>
      <c r="AD143" s="1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</row>
    <row r="144" spans="1:40" s="70" customFormat="1" ht="14.4" customHeight="1">
      <c r="A144" s="93">
        <v>139</v>
      </c>
      <c r="B144" s="94"/>
      <c r="C144" s="94"/>
      <c r="D144" s="93"/>
      <c r="E144" s="94"/>
      <c r="F144" s="137"/>
      <c r="G144" s="138"/>
      <c r="H144" s="139"/>
      <c r="I144" s="140"/>
      <c r="J144" s="140"/>
      <c r="K144" s="137"/>
      <c r="L144" s="141"/>
      <c r="M144" s="141"/>
      <c r="N144" s="141"/>
      <c r="O144" s="138"/>
      <c r="P144" s="138"/>
      <c r="Q144" s="138"/>
      <c r="R144" s="145"/>
      <c r="S144" s="145"/>
      <c r="T144" s="145"/>
      <c r="U144" s="138"/>
      <c r="V144" s="139"/>
      <c r="W144" s="140"/>
      <c r="X144" s="140"/>
      <c r="Y144" s="137"/>
      <c r="Z144" s="141"/>
      <c r="AA144" s="141"/>
      <c r="AB144" s="138"/>
      <c r="AC144" s="138"/>
      <c r="AD144" s="1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</row>
    <row r="145" spans="1:40" s="70" customFormat="1" ht="14.4" customHeight="1">
      <c r="A145" s="93">
        <v>140</v>
      </c>
      <c r="B145" s="94"/>
      <c r="C145" s="94"/>
      <c r="D145" s="93"/>
      <c r="E145" s="94"/>
      <c r="F145" s="137"/>
      <c r="G145" s="138"/>
      <c r="H145" s="139"/>
      <c r="I145" s="140"/>
      <c r="J145" s="140"/>
      <c r="K145" s="137"/>
      <c r="L145" s="141"/>
      <c r="M145" s="141"/>
      <c r="N145" s="141"/>
      <c r="O145" s="138"/>
      <c r="P145" s="138"/>
      <c r="Q145" s="138"/>
      <c r="R145" s="145"/>
      <c r="S145" s="145"/>
      <c r="T145" s="145"/>
      <c r="U145" s="138"/>
      <c r="V145" s="139"/>
      <c r="W145" s="140"/>
      <c r="X145" s="140"/>
      <c r="Y145" s="137"/>
      <c r="Z145" s="141"/>
      <c r="AA145" s="141"/>
      <c r="AB145" s="138"/>
      <c r="AC145" s="138"/>
      <c r="AD145" s="1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</row>
    <row r="146" spans="1:40" s="70" customFormat="1" ht="14.4" customHeight="1">
      <c r="A146" s="93">
        <v>141</v>
      </c>
      <c r="B146" s="94"/>
      <c r="C146" s="94"/>
      <c r="D146" s="93"/>
      <c r="E146" s="94"/>
      <c r="F146" s="137"/>
      <c r="G146" s="138"/>
      <c r="H146" s="139"/>
      <c r="I146" s="140"/>
      <c r="J146" s="140"/>
      <c r="K146" s="137"/>
      <c r="L146" s="141"/>
      <c r="M146" s="141"/>
      <c r="N146" s="141"/>
      <c r="O146" s="138"/>
      <c r="P146" s="138"/>
      <c r="Q146" s="138"/>
      <c r="R146" s="145"/>
      <c r="S146" s="145"/>
      <c r="T146" s="145"/>
      <c r="U146" s="138"/>
      <c r="V146" s="139"/>
      <c r="W146" s="140"/>
      <c r="X146" s="140"/>
      <c r="Y146" s="137"/>
      <c r="Z146" s="141"/>
      <c r="AA146" s="141"/>
      <c r="AB146" s="138"/>
      <c r="AC146" s="138"/>
      <c r="AD146" s="1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</row>
    <row r="147" spans="1:40" s="70" customFormat="1" ht="14.4" customHeight="1">
      <c r="A147" s="93">
        <v>142</v>
      </c>
      <c r="B147" s="94"/>
      <c r="C147" s="94"/>
      <c r="D147" s="93"/>
      <c r="E147" s="94"/>
      <c r="F147" s="137"/>
      <c r="G147" s="138"/>
      <c r="H147" s="139"/>
      <c r="I147" s="140"/>
      <c r="J147" s="140"/>
      <c r="K147" s="137"/>
      <c r="L147" s="141"/>
      <c r="M147" s="141"/>
      <c r="N147" s="141"/>
      <c r="O147" s="138"/>
      <c r="P147" s="138"/>
      <c r="Q147" s="138"/>
      <c r="R147" s="145"/>
      <c r="S147" s="145"/>
      <c r="T147" s="145"/>
      <c r="U147" s="138"/>
      <c r="V147" s="139"/>
      <c r="W147" s="140"/>
      <c r="X147" s="140"/>
      <c r="Y147" s="137"/>
      <c r="Z147" s="141"/>
      <c r="AA147" s="141"/>
      <c r="AB147" s="138"/>
      <c r="AC147" s="138"/>
      <c r="AD147" s="1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</row>
    <row r="148" spans="1:40" s="70" customFormat="1" ht="14.4" customHeight="1">
      <c r="A148" s="93">
        <v>143</v>
      </c>
      <c r="B148" s="94"/>
      <c r="C148" s="94"/>
      <c r="D148" s="93"/>
      <c r="E148" s="94"/>
      <c r="F148" s="137"/>
      <c r="G148" s="138"/>
      <c r="H148" s="139"/>
      <c r="I148" s="140"/>
      <c r="J148" s="140"/>
      <c r="K148" s="137"/>
      <c r="L148" s="141"/>
      <c r="M148" s="141"/>
      <c r="N148" s="141"/>
      <c r="O148" s="138"/>
      <c r="P148" s="138"/>
      <c r="Q148" s="138"/>
      <c r="R148" s="145"/>
      <c r="S148" s="145"/>
      <c r="T148" s="145"/>
      <c r="U148" s="138"/>
      <c r="V148" s="139"/>
      <c r="W148" s="140"/>
      <c r="X148" s="140"/>
      <c r="Y148" s="137"/>
      <c r="Z148" s="141"/>
      <c r="AA148" s="141"/>
      <c r="AB148" s="138"/>
      <c r="AC148" s="138"/>
      <c r="AD148" s="1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</row>
    <row r="149" spans="1:40" s="70" customFormat="1" ht="14.4" customHeight="1">
      <c r="A149" s="93">
        <v>144</v>
      </c>
      <c r="B149" s="94"/>
      <c r="C149" s="94"/>
      <c r="D149" s="93"/>
      <c r="E149" s="94"/>
      <c r="F149" s="137"/>
      <c r="G149" s="138"/>
      <c r="H149" s="139"/>
      <c r="I149" s="140"/>
      <c r="J149" s="140"/>
      <c r="K149" s="137"/>
      <c r="L149" s="141"/>
      <c r="M149" s="141"/>
      <c r="N149" s="141"/>
      <c r="O149" s="138"/>
      <c r="P149" s="138"/>
      <c r="Q149" s="138"/>
      <c r="R149" s="145"/>
      <c r="S149" s="145"/>
      <c r="T149" s="145"/>
      <c r="U149" s="138"/>
      <c r="V149" s="139"/>
      <c r="W149" s="140"/>
      <c r="X149" s="140"/>
      <c r="Y149" s="137"/>
      <c r="Z149" s="141"/>
      <c r="AA149" s="141"/>
      <c r="AB149" s="138"/>
      <c r="AC149" s="138"/>
      <c r="AD149" s="1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</row>
    <row r="150" spans="1:40" s="70" customFormat="1" ht="14.4" customHeight="1">
      <c r="A150" s="93">
        <v>145</v>
      </c>
      <c r="B150" s="94"/>
      <c r="C150" s="94"/>
      <c r="D150" s="93"/>
      <c r="E150" s="94"/>
      <c r="F150" s="137"/>
      <c r="G150" s="138"/>
      <c r="H150" s="139"/>
      <c r="I150" s="140"/>
      <c r="J150" s="140"/>
      <c r="K150" s="137"/>
      <c r="L150" s="141"/>
      <c r="M150" s="141"/>
      <c r="N150" s="141"/>
      <c r="O150" s="138"/>
      <c r="P150" s="138"/>
      <c r="Q150" s="138"/>
      <c r="R150" s="145"/>
      <c r="S150" s="145"/>
      <c r="T150" s="145"/>
      <c r="U150" s="138"/>
      <c r="V150" s="139"/>
      <c r="W150" s="140"/>
      <c r="X150" s="140"/>
      <c r="Y150" s="137"/>
      <c r="Z150" s="141"/>
      <c r="AA150" s="141"/>
      <c r="AB150" s="138"/>
      <c r="AC150" s="138"/>
      <c r="AD150" s="1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</row>
    <row r="151" spans="1:40" s="70" customFormat="1" ht="14.4" customHeight="1">
      <c r="A151" s="93">
        <v>146</v>
      </c>
      <c r="B151" s="94"/>
      <c r="C151" s="94"/>
      <c r="D151" s="93"/>
      <c r="E151" s="94"/>
      <c r="F151" s="137"/>
      <c r="G151" s="138"/>
      <c r="H151" s="139"/>
      <c r="I151" s="140"/>
      <c r="J151" s="140"/>
      <c r="K151" s="137"/>
      <c r="L151" s="141"/>
      <c r="M151" s="141"/>
      <c r="N151" s="141"/>
      <c r="O151" s="138"/>
      <c r="P151" s="138"/>
      <c r="Q151" s="138"/>
      <c r="R151" s="145"/>
      <c r="S151" s="145"/>
      <c r="T151" s="145"/>
      <c r="U151" s="138"/>
      <c r="V151" s="139"/>
      <c r="W151" s="140"/>
      <c r="X151" s="140"/>
      <c r="Y151" s="137"/>
      <c r="Z151" s="141"/>
      <c r="AA151" s="141"/>
      <c r="AB151" s="138"/>
      <c r="AC151" s="138"/>
      <c r="AD151" s="1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</row>
    <row r="152" spans="1:40" s="70" customFormat="1" ht="14.4" customHeight="1">
      <c r="A152" s="93">
        <v>147</v>
      </c>
      <c r="B152" s="94"/>
      <c r="C152" s="94"/>
      <c r="D152" s="93"/>
      <c r="E152" s="94"/>
      <c r="F152" s="137"/>
      <c r="G152" s="138"/>
      <c r="H152" s="139"/>
      <c r="I152" s="140"/>
      <c r="J152" s="140"/>
      <c r="K152" s="137"/>
      <c r="L152" s="141"/>
      <c r="M152" s="141"/>
      <c r="N152" s="141"/>
      <c r="O152" s="138"/>
      <c r="P152" s="138"/>
      <c r="Q152" s="138"/>
      <c r="R152" s="145"/>
      <c r="S152" s="145"/>
      <c r="T152" s="145"/>
      <c r="U152" s="138"/>
      <c r="V152" s="139"/>
      <c r="W152" s="140"/>
      <c r="X152" s="140"/>
      <c r="Y152" s="137"/>
      <c r="Z152" s="141"/>
      <c r="AA152" s="141"/>
      <c r="AB152" s="138"/>
      <c r="AC152" s="138"/>
      <c r="AD152" s="1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</row>
    <row r="153" spans="1:40" s="70" customFormat="1" ht="14.4" customHeight="1">
      <c r="A153" s="93">
        <v>148</v>
      </c>
      <c r="B153" s="94"/>
      <c r="C153" s="94"/>
      <c r="D153" s="93"/>
      <c r="E153" s="94"/>
      <c r="F153" s="137"/>
      <c r="G153" s="138"/>
      <c r="H153" s="139"/>
      <c r="I153" s="140"/>
      <c r="J153" s="140"/>
      <c r="K153" s="137"/>
      <c r="L153" s="141"/>
      <c r="M153" s="141"/>
      <c r="N153" s="141"/>
      <c r="O153" s="138"/>
      <c r="P153" s="138"/>
      <c r="Q153" s="138"/>
      <c r="R153" s="145"/>
      <c r="S153" s="145"/>
      <c r="T153" s="145"/>
      <c r="U153" s="138"/>
      <c r="V153" s="139"/>
      <c r="W153" s="140"/>
      <c r="X153" s="140"/>
      <c r="Y153" s="137"/>
      <c r="Z153" s="141"/>
      <c r="AA153" s="141"/>
      <c r="AB153" s="138"/>
      <c r="AC153" s="138"/>
      <c r="AD153" s="1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</row>
    <row r="154" spans="1:40" s="70" customFormat="1" ht="14.4" customHeight="1">
      <c r="A154" s="93">
        <v>149</v>
      </c>
      <c r="B154" s="94"/>
      <c r="C154" s="94"/>
      <c r="D154" s="93"/>
      <c r="E154" s="94"/>
      <c r="F154" s="137"/>
      <c r="G154" s="138"/>
      <c r="H154" s="139"/>
      <c r="I154" s="140"/>
      <c r="J154" s="140"/>
      <c r="K154" s="137"/>
      <c r="L154" s="141"/>
      <c r="M154" s="141"/>
      <c r="N154" s="141"/>
      <c r="O154" s="138"/>
      <c r="P154" s="138"/>
      <c r="Q154" s="138"/>
      <c r="R154" s="145"/>
      <c r="S154" s="145"/>
      <c r="T154" s="145"/>
      <c r="U154" s="138"/>
      <c r="V154" s="139"/>
      <c r="W154" s="140"/>
      <c r="X154" s="140"/>
      <c r="Y154" s="137"/>
      <c r="Z154" s="141"/>
      <c r="AA154" s="141"/>
      <c r="AB154" s="138"/>
      <c r="AC154" s="138"/>
      <c r="AD154" s="1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</row>
    <row r="155" spans="1:40" s="70" customFormat="1" ht="14.4" customHeight="1">
      <c r="A155" s="93">
        <v>150</v>
      </c>
      <c r="B155" s="94"/>
      <c r="C155" s="94"/>
      <c r="D155" s="93"/>
      <c r="E155" s="94"/>
      <c r="F155" s="137"/>
      <c r="G155" s="138"/>
      <c r="H155" s="139"/>
      <c r="I155" s="140"/>
      <c r="J155" s="140"/>
      <c r="K155" s="137"/>
      <c r="L155" s="141"/>
      <c r="M155" s="141"/>
      <c r="N155" s="141"/>
      <c r="O155" s="138"/>
      <c r="P155" s="138"/>
      <c r="Q155" s="138"/>
      <c r="R155" s="145"/>
      <c r="S155" s="145"/>
      <c r="T155" s="145"/>
      <c r="U155" s="138"/>
      <c r="V155" s="139"/>
      <c r="W155" s="140"/>
      <c r="X155" s="140"/>
      <c r="Y155" s="137"/>
      <c r="Z155" s="141"/>
      <c r="AA155" s="141"/>
      <c r="AB155" s="138"/>
      <c r="AC155" s="138"/>
      <c r="AD155" s="1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</row>
    <row r="156" spans="1:40" ht="16.2" thickBot="1">
      <c r="B156" s="107"/>
      <c r="C156" s="107"/>
      <c r="D156" s="107"/>
      <c r="E156" s="107"/>
      <c r="F156" s="146">
        <f t="shared" ref="F156:AD156" si="0">SUM(F6:F155)</f>
        <v>0</v>
      </c>
      <c r="G156" s="146">
        <f t="shared" ref="G156:T156" si="1">SUM(G6:G155)</f>
        <v>0</v>
      </c>
      <c r="H156" s="146">
        <f t="shared" si="1"/>
        <v>0</v>
      </c>
      <c r="I156" s="146">
        <f t="shared" si="1"/>
        <v>0</v>
      </c>
      <c r="J156" s="146">
        <f t="shared" si="1"/>
        <v>0</v>
      </c>
      <c r="K156" s="146">
        <f t="shared" si="1"/>
        <v>0</v>
      </c>
      <c r="L156" s="146">
        <f t="shared" ref="L156" si="2">SUM(L6:L155)</f>
        <v>0</v>
      </c>
      <c r="M156" s="146">
        <f t="shared" si="1"/>
        <v>0</v>
      </c>
      <c r="N156" s="146">
        <f t="shared" si="1"/>
        <v>0</v>
      </c>
      <c r="O156" s="146">
        <f t="shared" si="1"/>
        <v>0</v>
      </c>
      <c r="P156" s="146">
        <f t="shared" si="1"/>
        <v>0</v>
      </c>
      <c r="Q156" s="146">
        <f t="shared" si="1"/>
        <v>0</v>
      </c>
      <c r="R156" s="146">
        <f t="shared" si="1"/>
        <v>0</v>
      </c>
      <c r="S156" s="146">
        <f t="shared" si="1"/>
        <v>0</v>
      </c>
      <c r="T156" s="146">
        <f t="shared" si="1"/>
        <v>0</v>
      </c>
      <c r="U156" s="146">
        <f t="shared" si="0"/>
        <v>0</v>
      </c>
      <c r="V156" s="146">
        <f t="shared" si="0"/>
        <v>0</v>
      </c>
      <c r="W156" s="146">
        <f t="shared" si="0"/>
        <v>0</v>
      </c>
      <c r="X156" s="146">
        <f t="shared" si="0"/>
        <v>0</v>
      </c>
      <c r="Y156" s="146">
        <f t="shared" si="0"/>
        <v>0</v>
      </c>
      <c r="Z156" s="146">
        <f t="shared" si="0"/>
        <v>0</v>
      </c>
      <c r="AA156" s="146">
        <f t="shared" si="0"/>
        <v>0</v>
      </c>
      <c r="AB156" s="146">
        <f t="shared" si="0"/>
        <v>0</v>
      </c>
      <c r="AC156" s="146">
        <f t="shared" si="0"/>
        <v>0</v>
      </c>
      <c r="AD156" s="149">
        <f t="shared" si="0"/>
        <v>0</v>
      </c>
    </row>
    <row r="157" spans="1:40" ht="21" thickTop="1">
      <c r="A157" s="92" t="s">
        <v>99</v>
      </c>
      <c r="B157" s="92"/>
      <c r="C157" s="92"/>
      <c r="D157" s="114"/>
      <c r="E157" s="92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35"/>
      <c r="S157" s="135"/>
      <c r="T157" s="148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</row>
    <row r="158" spans="1:40" ht="20.399999999999999">
      <c r="A158" s="92" t="s">
        <v>64</v>
      </c>
      <c r="B158" s="117"/>
      <c r="C158" s="117"/>
      <c r="D158" s="118"/>
      <c r="E158" s="117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35"/>
      <c r="S158" s="135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</row>
    <row r="159" spans="1:40" ht="15.75" customHeight="1"/>
    <row r="160" spans="1:40" s="113" customFormat="1" ht="34.5" customHeight="1">
      <c r="A160" s="312" t="s">
        <v>76</v>
      </c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3" t="s">
        <v>34</v>
      </c>
      <c r="P160" s="313"/>
      <c r="Q160" s="313"/>
      <c r="R160" s="313"/>
      <c r="S160" s="313"/>
      <c r="T160" s="313"/>
      <c r="U160" s="313"/>
      <c r="V160" s="313"/>
      <c r="W160" s="313"/>
      <c r="X160" s="313"/>
      <c r="Y160" s="313"/>
      <c r="Z160" s="313"/>
      <c r="AA160" s="313"/>
      <c r="AB160" s="313"/>
      <c r="AC160" s="313"/>
      <c r="AD160" s="313"/>
    </row>
    <row r="161" spans="1:30" ht="65.400000000000006" customHeight="1">
      <c r="A161" s="314" t="s">
        <v>149</v>
      </c>
      <c r="B161" s="314"/>
      <c r="C161" s="314"/>
      <c r="D161" s="315"/>
      <c r="E161" s="315"/>
      <c r="F161" s="315"/>
      <c r="G161" s="315"/>
      <c r="H161" s="315"/>
      <c r="I161" s="315"/>
      <c r="J161" s="315"/>
      <c r="K161" s="315"/>
      <c r="L161" s="315"/>
      <c r="M161" s="315"/>
      <c r="N161" s="315"/>
      <c r="O161" s="314" t="s">
        <v>22</v>
      </c>
      <c r="P161" s="314"/>
      <c r="Q161" s="314"/>
      <c r="R161" s="314"/>
      <c r="S161" s="315"/>
      <c r="T161" s="315"/>
      <c r="U161" s="315"/>
      <c r="V161" s="315"/>
      <c r="W161" s="315"/>
      <c r="X161" s="315"/>
      <c r="Y161" s="315"/>
      <c r="Z161" s="315"/>
      <c r="AA161" s="315"/>
      <c r="AB161" s="315"/>
      <c r="AC161" s="315"/>
      <c r="AD161" s="315"/>
    </row>
    <row r="162" spans="1:30" ht="93.6" customHeight="1">
      <c r="A162" s="314" t="s">
        <v>22</v>
      </c>
      <c r="B162" s="314"/>
      <c r="C162" s="314"/>
      <c r="D162" s="315"/>
      <c r="E162" s="315"/>
      <c r="F162" s="315"/>
      <c r="G162" s="315"/>
      <c r="H162" s="315"/>
      <c r="I162" s="315"/>
      <c r="J162" s="315"/>
      <c r="K162" s="315"/>
      <c r="L162" s="315"/>
      <c r="M162" s="315"/>
      <c r="N162" s="315"/>
      <c r="O162" s="314" t="s">
        <v>28</v>
      </c>
      <c r="P162" s="314"/>
      <c r="Q162" s="314"/>
      <c r="R162" s="314"/>
      <c r="S162" s="315"/>
      <c r="T162" s="315"/>
      <c r="U162" s="315"/>
      <c r="V162" s="315"/>
      <c r="W162" s="315"/>
      <c r="X162" s="315"/>
      <c r="Y162" s="315"/>
      <c r="Z162" s="315"/>
      <c r="AA162" s="315"/>
      <c r="AB162" s="315"/>
      <c r="AC162" s="315"/>
      <c r="AD162" s="315"/>
    </row>
    <row r="163" spans="1:30" ht="129.6" customHeight="1">
      <c r="A163" s="314" t="s">
        <v>150</v>
      </c>
      <c r="B163" s="314"/>
      <c r="C163" s="314"/>
      <c r="D163" s="316"/>
      <c r="E163" s="316"/>
      <c r="F163" s="316"/>
      <c r="G163" s="316"/>
      <c r="H163" s="316"/>
      <c r="I163" s="316"/>
      <c r="J163" s="316"/>
      <c r="K163" s="316"/>
      <c r="L163" s="316"/>
      <c r="M163" s="316"/>
      <c r="N163" s="316"/>
      <c r="O163" s="314" t="s">
        <v>29</v>
      </c>
      <c r="P163" s="314"/>
      <c r="Q163" s="314"/>
      <c r="R163" s="314"/>
      <c r="S163" s="315"/>
      <c r="T163" s="315"/>
      <c r="U163" s="315"/>
      <c r="V163" s="315"/>
      <c r="W163" s="315"/>
      <c r="X163" s="315"/>
      <c r="Y163" s="315"/>
      <c r="Z163" s="315"/>
      <c r="AA163" s="315"/>
      <c r="AB163" s="315"/>
      <c r="AC163" s="315"/>
      <c r="AD163" s="315"/>
    </row>
  </sheetData>
  <mergeCells count="19">
    <mergeCell ref="A4:AD4"/>
    <mergeCell ref="A1:B1"/>
    <mergeCell ref="A2:B2"/>
    <mergeCell ref="C2:AB2"/>
    <mergeCell ref="C1:F1"/>
    <mergeCell ref="A160:N160"/>
    <mergeCell ref="O160:AD160"/>
    <mergeCell ref="A163:C163"/>
    <mergeCell ref="D162:N162"/>
    <mergeCell ref="D163:N163"/>
    <mergeCell ref="O161:R161"/>
    <mergeCell ref="O162:R162"/>
    <mergeCell ref="O163:R163"/>
    <mergeCell ref="A161:C161"/>
    <mergeCell ref="D161:N161"/>
    <mergeCell ref="A162:C162"/>
    <mergeCell ref="S161:AD161"/>
    <mergeCell ref="S162:AD162"/>
    <mergeCell ref="S163:AD163"/>
  </mergeCells>
  <conditionalFormatting sqref="C5">
    <cfRule type="duplicateValues" dxfId="88" priority="1"/>
  </conditionalFormatting>
  <pageMargins left="0.17" right="0.17" top="0.78" bottom="0.48" header="0.17" footer="0.17"/>
  <pageSetup paperSize="9" scale="60" orientation="landscape" r:id="rId1"/>
  <rowBreaks count="2" manualBreakCount="2">
    <brk id="91" max="29" man="1"/>
    <brk id="136" max="2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F47B-9B9D-4E48-A40D-2AD8F202F5C9}">
  <sheetPr codeName="Sheet17">
    <tabColor theme="6" tint="0.39997558519241921"/>
  </sheetPr>
  <dimension ref="A1:W165"/>
  <sheetViews>
    <sheetView view="pageBreakPreview" zoomScale="60" workbookViewId="0">
      <pane xSplit="6" ySplit="10" topLeftCell="G157" activePane="bottomRight" state="frozen"/>
      <selection activeCell="A11" sqref="A11:XFD130"/>
      <selection pane="topRight" activeCell="A11" sqref="A11:XFD130"/>
      <selection pane="bottomLeft" activeCell="A11" sqref="A11:XFD130"/>
      <selection pane="bottomRight" activeCell="A165" sqref="A165:B165"/>
    </sheetView>
  </sheetViews>
  <sheetFormatPr defaultColWidth="9.109375" defaultRowHeight="21.75" customHeight="1"/>
  <cols>
    <col min="1" max="1" width="7.6640625" style="44" customWidth="1"/>
    <col min="2" max="2" width="31.109375" style="44" customWidth="1"/>
    <col min="3" max="3" width="60.88671875" style="44" customWidth="1"/>
    <col min="4" max="4" width="9.109375" style="70" customWidth="1"/>
    <col min="5" max="5" width="10" style="70" customWidth="1"/>
    <col min="6" max="6" width="21.33203125" style="70" customWidth="1"/>
    <col min="7" max="7" width="32.44140625" style="44" customWidth="1"/>
    <col min="8" max="8" width="22" style="70" bestFit="1" customWidth="1"/>
    <col min="9" max="9" width="7.44140625" style="44" customWidth="1"/>
    <col min="10" max="10" width="5.44140625" style="70" customWidth="1"/>
    <col min="11" max="11" width="16.44140625" style="44" customWidth="1"/>
    <col min="12" max="13" width="17.44140625" style="44" customWidth="1"/>
    <col min="14" max="14" width="9.109375" style="44" customWidth="1"/>
    <col min="15" max="15" width="13.44140625" style="44" customWidth="1"/>
    <col min="16" max="16384" width="9.109375" style="44"/>
  </cols>
  <sheetData>
    <row r="1" spans="1:15" ht="21.75" customHeight="1">
      <c r="L1" s="333" t="s">
        <v>61</v>
      </c>
      <c r="M1" s="333"/>
      <c r="N1" s="333"/>
      <c r="O1" s="333"/>
    </row>
    <row r="2" spans="1:15" ht="44.25" customHeight="1">
      <c r="A2" s="334" t="s">
        <v>93</v>
      </c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</row>
    <row r="3" spans="1:15" ht="21.75" customHeight="1">
      <c r="A3" s="316"/>
      <c r="B3" s="316"/>
      <c r="C3" s="316"/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</row>
    <row r="4" spans="1:15" ht="21.75" customHeight="1">
      <c r="A4" s="330" t="s">
        <v>0</v>
      </c>
      <c r="B4" s="330"/>
      <c r="C4" s="335" t="str">
        <f>KEY!C2</f>
        <v>FTTH &amp; PeoTV Connections 2026</v>
      </c>
      <c r="D4" s="335"/>
      <c r="E4" s="335"/>
      <c r="F4" s="335"/>
      <c r="G4" s="335"/>
      <c r="H4" s="335"/>
      <c r="I4" s="329" t="s">
        <v>9</v>
      </c>
      <c r="J4" s="329"/>
      <c r="K4" s="329"/>
      <c r="L4" s="329"/>
      <c r="M4" s="329"/>
      <c r="N4" s="329"/>
      <c r="O4" s="329"/>
    </row>
    <row r="5" spans="1:15" ht="21.75" customHeight="1">
      <c r="A5" s="330" t="s">
        <v>1</v>
      </c>
      <c r="B5" s="330"/>
      <c r="C5" s="330" t="str">
        <f>KEY!C4</f>
        <v>L/0733/2025</v>
      </c>
      <c r="D5" s="330"/>
      <c r="E5" s="330"/>
      <c r="F5" s="330"/>
      <c r="G5" s="330"/>
      <c r="H5" s="330"/>
      <c r="I5" s="329"/>
      <c r="J5" s="329"/>
      <c r="K5" s="329"/>
      <c r="L5" s="329"/>
      <c r="M5" s="329"/>
      <c r="N5" s="329"/>
      <c r="O5" s="329"/>
    </row>
    <row r="6" spans="1:15" ht="21.75" customHeight="1">
      <c r="A6" s="330" t="s">
        <v>2</v>
      </c>
      <c r="B6" s="330"/>
      <c r="C6" s="330">
        <f>KEY!C5</f>
        <v>0</v>
      </c>
      <c r="D6" s="330"/>
      <c r="E6" s="330"/>
      <c r="F6" s="330"/>
      <c r="G6" s="330"/>
      <c r="H6" s="330"/>
      <c r="I6" s="329"/>
      <c r="J6" s="329"/>
      <c r="K6" s="329"/>
      <c r="L6" s="329"/>
      <c r="M6" s="329"/>
      <c r="N6" s="329"/>
      <c r="O6" s="329"/>
    </row>
    <row r="7" spans="1:15" ht="21.75" customHeight="1">
      <c r="A7" s="330" t="s">
        <v>59</v>
      </c>
      <c r="B7" s="330"/>
      <c r="C7" s="301" t="str">
        <f>KEY!C6</f>
        <v>SLTS/FN/26//JAN/01</v>
      </c>
      <c r="D7" s="301"/>
      <c r="E7" s="301"/>
      <c r="F7" s="301"/>
      <c r="G7" s="301"/>
      <c r="H7" s="301"/>
      <c r="I7" s="331" t="str">
        <f>KEY!G6</f>
        <v>From: 1-Jan-2026</v>
      </c>
      <c r="J7" s="331"/>
      <c r="K7" s="331"/>
      <c r="L7" s="331"/>
      <c r="M7" s="332" t="str">
        <f>KEY!J6</f>
        <v>To: 31-Jan-2026</v>
      </c>
      <c r="N7" s="332"/>
      <c r="O7" s="332"/>
    </row>
    <row r="8" spans="1:15" ht="21.75" customHeight="1">
      <c r="A8" s="302" t="s">
        <v>54</v>
      </c>
      <c r="B8" s="304"/>
      <c r="C8" s="301">
        <f>KEY!F7</f>
        <v>0</v>
      </c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</row>
    <row r="9" spans="1:15" ht="21.75" customHeight="1">
      <c r="A9" s="267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67"/>
      <c r="M9" s="267"/>
      <c r="N9" s="267"/>
      <c r="O9" s="267"/>
    </row>
    <row r="10" spans="1:15" ht="59.25" customHeight="1">
      <c r="A10" s="26" t="s">
        <v>55</v>
      </c>
      <c r="B10" s="26" t="s">
        <v>84</v>
      </c>
      <c r="C10" s="26" t="s">
        <v>10</v>
      </c>
      <c r="D10" s="26" t="s">
        <v>85</v>
      </c>
      <c r="E10" s="74" t="s">
        <v>86</v>
      </c>
      <c r="F10" s="75" t="s">
        <v>87</v>
      </c>
      <c r="G10" s="74" t="s">
        <v>88</v>
      </c>
      <c r="H10" s="74" t="s">
        <v>89</v>
      </c>
      <c r="I10" s="74" t="s">
        <v>17</v>
      </c>
      <c r="J10" s="74" t="s">
        <v>11</v>
      </c>
      <c r="K10" s="74" t="s">
        <v>18</v>
      </c>
      <c r="L10" s="74" t="s">
        <v>90</v>
      </c>
      <c r="M10" s="74" t="s">
        <v>91</v>
      </c>
      <c r="N10" s="74" t="s">
        <v>19</v>
      </c>
      <c r="O10" s="74" t="s">
        <v>92</v>
      </c>
    </row>
    <row r="11" spans="1:15" s="84" customFormat="1" ht="60" customHeight="1">
      <c r="A11" s="76">
        <v>1</v>
      </c>
      <c r="B11" s="77"/>
      <c r="C11" s="77"/>
      <c r="D11" s="78"/>
      <c r="E11" s="78"/>
      <c r="F11" s="78"/>
      <c r="G11" s="79"/>
      <c r="H11" s="80"/>
      <c r="I11" s="81"/>
      <c r="J11" s="81"/>
      <c r="K11" s="81"/>
      <c r="L11" s="82"/>
      <c r="M11" s="82"/>
      <c r="N11" s="83"/>
      <c r="O11" s="83"/>
    </row>
    <row r="12" spans="1:15" s="84" customFormat="1" ht="60" customHeight="1">
      <c r="A12" s="76">
        <v>2</v>
      </c>
      <c r="B12" s="77"/>
      <c r="C12" s="77"/>
      <c r="D12" s="78"/>
      <c r="E12" s="78"/>
      <c r="F12" s="78"/>
      <c r="G12" s="79"/>
      <c r="H12" s="80"/>
      <c r="I12" s="81"/>
      <c r="J12" s="81"/>
      <c r="K12" s="81"/>
      <c r="L12" s="82"/>
      <c r="M12" s="82"/>
      <c r="N12" s="83"/>
      <c r="O12" s="83"/>
    </row>
    <row r="13" spans="1:15" s="91" customFormat="1" ht="60" customHeight="1">
      <c r="A13" s="85">
        <v>3</v>
      </c>
      <c r="B13" s="86"/>
      <c r="C13" s="86"/>
      <c r="D13" s="87"/>
      <c r="E13" s="78"/>
      <c r="F13" s="88"/>
      <c r="G13" s="89"/>
      <c r="H13" s="89"/>
      <c r="I13" s="89"/>
      <c r="J13" s="90"/>
      <c r="K13" s="90"/>
      <c r="L13" s="74"/>
      <c r="M13" s="74"/>
      <c r="N13" s="63"/>
      <c r="O13" s="63"/>
    </row>
    <row r="14" spans="1:15" s="91" customFormat="1" ht="60" customHeight="1">
      <c r="A14" s="85">
        <v>4</v>
      </c>
      <c r="B14" s="86"/>
      <c r="C14" s="86"/>
      <c r="D14" s="87"/>
      <c r="E14" s="78"/>
      <c r="F14" s="88"/>
      <c r="G14" s="89"/>
      <c r="H14" s="89"/>
      <c r="I14" s="89"/>
      <c r="J14" s="90"/>
      <c r="K14" s="90"/>
      <c r="L14" s="74"/>
      <c r="M14" s="74"/>
      <c r="N14" s="63"/>
      <c r="O14" s="63"/>
    </row>
    <row r="15" spans="1:15" s="91" customFormat="1" ht="60" customHeight="1">
      <c r="A15" s="85">
        <v>5</v>
      </c>
      <c r="B15" s="86"/>
      <c r="C15" s="86"/>
      <c r="D15" s="87"/>
      <c r="E15" s="78"/>
      <c r="F15" s="88"/>
      <c r="G15" s="89"/>
      <c r="H15" s="89"/>
      <c r="I15" s="89"/>
      <c r="J15" s="90"/>
      <c r="K15" s="90"/>
      <c r="L15" s="74"/>
      <c r="M15" s="74"/>
      <c r="N15" s="63"/>
      <c r="O15" s="63"/>
    </row>
    <row r="16" spans="1:15" s="91" customFormat="1" ht="60" customHeight="1">
      <c r="A16" s="85">
        <v>6</v>
      </c>
      <c r="B16" s="86"/>
      <c r="C16" s="86"/>
      <c r="D16" s="87"/>
      <c r="E16" s="78"/>
      <c r="F16" s="88"/>
      <c r="G16" s="89"/>
      <c r="H16" s="89"/>
      <c r="I16" s="89"/>
      <c r="J16" s="90"/>
      <c r="K16" s="90"/>
      <c r="L16" s="74"/>
      <c r="M16" s="74"/>
      <c r="N16" s="63"/>
      <c r="O16" s="63"/>
    </row>
    <row r="17" spans="1:15" s="91" customFormat="1" ht="60" customHeight="1">
      <c r="A17" s="85">
        <v>7</v>
      </c>
      <c r="B17" s="86"/>
      <c r="C17" s="86"/>
      <c r="D17" s="87"/>
      <c r="E17" s="78"/>
      <c r="F17" s="88"/>
      <c r="G17" s="89"/>
      <c r="H17" s="89"/>
      <c r="I17" s="89"/>
      <c r="J17" s="90"/>
      <c r="K17" s="90"/>
      <c r="L17" s="74"/>
      <c r="M17" s="74"/>
      <c r="N17" s="63"/>
      <c r="O17" s="63"/>
    </row>
    <row r="18" spans="1:15" s="91" customFormat="1" ht="60" customHeight="1">
      <c r="A18" s="85">
        <v>8</v>
      </c>
      <c r="B18" s="86"/>
      <c r="C18" s="86"/>
      <c r="D18" s="87"/>
      <c r="E18" s="78"/>
      <c r="F18" s="88"/>
      <c r="G18" s="89"/>
      <c r="H18" s="89"/>
      <c r="I18" s="89"/>
      <c r="J18" s="90"/>
      <c r="K18" s="90"/>
      <c r="L18" s="74"/>
      <c r="M18" s="74"/>
      <c r="N18" s="63"/>
      <c r="O18" s="63"/>
    </row>
    <row r="19" spans="1:15" s="91" customFormat="1" ht="60" customHeight="1">
      <c r="A19" s="85">
        <v>9</v>
      </c>
      <c r="B19" s="86"/>
      <c r="C19" s="86"/>
      <c r="D19" s="87"/>
      <c r="E19" s="78"/>
      <c r="F19" s="88"/>
      <c r="G19" s="89"/>
      <c r="H19" s="89"/>
      <c r="I19" s="89"/>
      <c r="J19" s="90"/>
      <c r="K19" s="90"/>
      <c r="L19" s="74"/>
      <c r="M19" s="74"/>
      <c r="N19" s="63"/>
      <c r="O19" s="63"/>
    </row>
    <row r="20" spans="1:15" s="91" customFormat="1" ht="60" customHeight="1">
      <c r="A20" s="85">
        <v>10</v>
      </c>
      <c r="B20" s="86"/>
      <c r="C20" s="86"/>
      <c r="D20" s="87"/>
      <c r="E20" s="78"/>
      <c r="F20" s="88"/>
      <c r="G20" s="89"/>
      <c r="H20" s="89"/>
      <c r="I20" s="89"/>
      <c r="J20" s="90"/>
      <c r="K20" s="90"/>
      <c r="L20" s="74"/>
      <c r="M20" s="74"/>
      <c r="N20" s="63"/>
      <c r="O20" s="63"/>
    </row>
    <row r="21" spans="1:15" s="91" customFormat="1" ht="60" customHeight="1">
      <c r="A21" s="85">
        <v>11</v>
      </c>
      <c r="B21" s="86"/>
      <c r="C21" s="86"/>
      <c r="D21" s="87"/>
      <c r="E21" s="78"/>
      <c r="F21" s="88"/>
      <c r="G21" s="89"/>
      <c r="H21" s="89"/>
      <c r="I21" s="89"/>
      <c r="J21" s="90"/>
      <c r="K21" s="90"/>
      <c r="L21" s="74"/>
      <c r="M21" s="74"/>
      <c r="N21" s="63"/>
      <c r="O21" s="63"/>
    </row>
    <row r="22" spans="1:15" s="91" customFormat="1" ht="60" customHeight="1">
      <c r="A22" s="85">
        <v>12</v>
      </c>
      <c r="B22" s="86"/>
      <c r="C22" s="86"/>
      <c r="D22" s="87"/>
      <c r="E22" s="78"/>
      <c r="F22" s="88"/>
      <c r="G22" s="89"/>
      <c r="H22" s="89"/>
      <c r="I22" s="89"/>
      <c r="J22" s="90"/>
      <c r="K22" s="90"/>
      <c r="L22" s="74"/>
      <c r="M22" s="74"/>
      <c r="N22" s="63"/>
      <c r="O22" s="63"/>
    </row>
    <row r="23" spans="1:15" s="91" customFormat="1" ht="60" customHeight="1">
      <c r="A23" s="85">
        <v>13</v>
      </c>
      <c r="B23" s="86"/>
      <c r="C23" s="86"/>
      <c r="D23" s="87"/>
      <c r="E23" s="78"/>
      <c r="F23" s="88"/>
      <c r="G23" s="89"/>
      <c r="H23" s="89"/>
      <c r="I23" s="89"/>
      <c r="J23" s="90"/>
      <c r="K23" s="90"/>
      <c r="L23" s="74"/>
      <c r="M23" s="74"/>
      <c r="N23" s="63"/>
      <c r="O23" s="63"/>
    </row>
    <row r="24" spans="1:15" s="91" customFormat="1" ht="60" customHeight="1">
      <c r="A24" s="85">
        <v>14</v>
      </c>
      <c r="B24" s="86"/>
      <c r="C24" s="86"/>
      <c r="D24" s="87"/>
      <c r="E24" s="78"/>
      <c r="F24" s="88"/>
      <c r="G24" s="89"/>
      <c r="H24" s="89"/>
      <c r="I24" s="89"/>
      <c r="J24" s="90"/>
      <c r="K24" s="90"/>
      <c r="L24" s="74"/>
      <c r="M24" s="74"/>
      <c r="N24" s="63"/>
      <c r="O24" s="63"/>
    </row>
    <row r="25" spans="1:15" s="91" customFormat="1" ht="60" customHeight="1">
      <c r="A25" s="85">
        <v>15</v>
      </c>
      <c r="B25" s="86"/>
      <c r="C25" s="86"/>
      <c r="D25" s="87"/>
      <c r="E25" s="78"/>
      <c r="F25" s="88"/>
      <c r="G25" s="89"/>
      <c r="H25" s="89"/>
      <c r="I25" s="89"/>
      <c r="J25" s="90"/>
      <c r="K25" s="90"/>
      <c r="L25" s="74"/>
      <c r="M25" s="74"/>
      <c r="N25" s="63"/>
      <c r="O25" s="63"/>
    </row>
    <row r="26" spans="1:15" s="91" customFormat="1" ht="60" customHeight="1">
      <c r="A26" s="85">
        <v>16</v>
      </c>
      <c r="B26" s="86"/>
      <c r="C26" s="86"/>
      <c r="D26" s="87"/>
      <c r="E26" s="78"/>
      <c r="F26" s="88"/>
      <c r="G26" s="89"/>
      <c r="H26" s="89"/>
      <c r="I26" s="89"/>
      <c r="J26" s="90"/>
      <c r="K26" s="90"/>
      <c r="L26" s="74"/>
      <c r="M26" s="74"/>
      <c r="N26" s="63"/>
      <c r="O26" s="63"/>
    </row>
    <row r="27" spans="1:15" s="91" customFormat="1" ht="60" customHeight="1">
      <c r="A27" s="85">
        <v>17</v>
      </c>
      <c r="B27" s="86"/>
      <c r="C27" s="86"/>
      <c r="D27" s="87"/>
      <c r="E27" s="78"/>
      <c r="F27" s="88"/>
      <c r="G27" s="89"/>
      <c r="H27" s="89"/>
      <c r="I27" s="89"/>
      <c r="J27" s="90"/>
      <c r="K27" s="90"/>
      <c r="L27" s="74"/>
      <c r="M27" s="74"/>
      <c r="N27" s="63"/>
      <c r="O27" s="63"/>
    </row>
    <row r="28" spans="1:15" s="91" customFormat="1" ht="60" customHeight="1">
      <c r="A28" s="85">
        <v>18</v>
      </c>
      <c r="B28" s="86"/>
      <c r="C28" s="86"/>
      <c r="D28" s="87"/>
      <c r="E28" s="78"/>
      <c r="F28" s="88"/>
      <c r="G28" s="89"/>
      <c r="H28" s="89"/>
      <c r="I28" s="89"/>
      <c r="J28" s="90"/>
      <c r="K28" s="90"/>
      <c r="L28" s="74"/>
      <c r="M28" s="74"/>
      <c r="N28" s="63"/>
      <c r="O28" s="63"/>
    </row>
    <row r="29" spans="1:15" s="91" customFormat="1" ht="60" customHeight="1">
      <c r="A29" s="85">
        <v>19</v>
      </c>
      <c r="B29" s="86"/>
      <c r="C29" s="86"/>
      <c r="D29" s="87"/>
      <c r="E29" s="78"/>
      <c r="F29" s="88"/>
      <c r="G29" s="89"/>
      <c r="H29" s="89"/>
      <c r="I29" s="89"/>
      <c r="J29" s="90"/>
      <c r="K29" s="90"/>
      <c r="L29" s="74"/>
      <c r="M29" s="74"/>
      <c r="N29" s="63"/>
      <c r="O29" s="63"/>
    </row>
    <row r="30" spans="1:15" s="91" customFormat="1" ht="60" customHeight="1">
      <c r="A30" s="85">
        <v>20</v>
      </c>
      <c r="B30" s="86"/>
      <c r="C30" s="86"/>
      <c r="D30" s="87"/>
      <c r="E30" s="78"/>
      <c r="F30" s="88"/>
      <c r="G30" s="89"/>
      <c r="H30" s="89"/>
      <c r="I30" s="89"/>
      <c r="J30" s="90"/>
      <c r="K30" s="90"/>
      <c r="L30" s="74"/>
      <c r="M30" s="74"/>
      <c r="N30" s="63"/>
      <c r="O30" s="63"/>
    </row>
    <row r="31" spans="1:15" s="91" customFormat="1" ht="60" customHeight="1">
      <c r="A31" s="85">
        <v>21</v>
      </c>
      <c r="B31" s="86"/>
      <c r="C31" s="86"/>
      <c r="D31" s="87"/>
      <c r="E31" s="78"/>
      <c r="F31" s="88"/>
      <c r="G31" s="89"/>
      <c r="H31" s="89"/>
      <c r="I31" s="89"/>
      <c r="J31" s="90"/>
      <c r="K31" s="90"/>
      <c r="L31" s="74"/>
      <c r="M31" s="74"/>
      <c r="N31" s="63"/>
      <c r="O31" s="63"/>
    </row>
    <row r="32" spans="1:15" s="91" customFormat="1" ht="60" customHeight="1">
      <c r="A32" s="85">
        <v>22</v>
      </c>
      <c r="B32" s="86"/>
      <c r="C32" s="86"/>
      <c r="D32" s="87"/>
      <c r="E32" s="78"/>
      <c r="F32" s="88"/>
      <c r="G32" s="89"/>
      <c r="H32" s="89"/>
      <c r="I32" s="89"/>
      <c r="J32" s="90"/>
      <c r="K32" s="90"/>
      <c r="L32" s="74"/>
      <c r="M32" s="74"/>
      <c r="N32" s="63"/>
      <c r="O32" s="63"/>
    </row>
    <row r="33" spans="1:15" s="91" customFormat="1" ht="60" customHeight="1">
      <c r="A33" s="85">
        <v>23</v>
      </c>
      <c r="B33" s="86"/>
      <c r="C33" s="86"/>
      <c r="D33" s="87"/>
      <c r="E33" s="78"/>
      <c r="F33" s="88"/>
      <c r="G33" s="89"/>
      <c r="H33" s="89"/>
      <c r="I33" s="89"/>
      <c r="J33" s="90"/>
      <c r="K33" s="90"/>
      <c r="L33" s="74"/>
      <c r="M33" s="74"/>
      <c r="N33" s="63"/>
      <c r="O33" s="63"/>
    </row>
    <row r="34" spans="1:15" s="91" customFormat="1" ht="60" customHeight="1">
      <c r="A34" s="85">
        <v>24</v>
      </c>
      <c r="B34" s="86"/>
      <c r="C34" s="86"/>
      <c r="D34" s="87"/>
      <c r="E34" s="78"/>
      <c r="F34" s="88"/>
      <c r="G34" s="89"/>
      <c r="H34" s="89"/>
      <c r="I34" s="89"/>
      <c r="J34" s="90"/>
      <c r="K34" s="90"/>
      <c r="L34" s="74"/>
      <c r="M34" s="74"/>
      <c r="N34" s="63"/>
      <c r="O34" s="63"/>
    </row>
    <row r="35" spans="1:15" s="91" customFormat="1" ht="60" customHeight="1">
      <c r="A35" s="85">
        <v>25</v>
      </c>
      <c r="B35" s="86"/>
      <c r="C35" s="86"/>
      <c r="D35" s="87"/>
      <c r="E35" s="78"/>
      <c r="F35" s="88"/>
      <c r="G35" s="89"/>
      <c r="H35" s="89"/>
      <c r="I35" s="89"/>
      <c r="J35" s="90"/>
      <c r="K35" s="90"/>
      <c r="L35" s="74"/>
      <c r="M35" s="74"/>
      <c r="N35" s="63"/>
      <c r="O35" s="63"/>
    </row>
    <row r="36" spans="1:15" s="91" customFormat="1" ht="60" customHeight="1">
      <c r="A36" s="85">
        <v>26</v>
      </c>
      <c r="B36" s="86"/>
      <c r="C36" s="86"/>
      <c r="D36" s="87"/>
      <c r="E36" s="78"/>
      <c r="F36" s="88"/>
      <c r="G36" s="89"/>
      <c r="H36" s="89"/>
      <c r="I36" s="89"/>
      <c r="J36" s="90"/>
      <c r="K36" s="90"/>
      <c r="L36" s="74"/>
      <c r="M36" s="74"/>
      <c r="N36" s="63"/>
      <c r="O36" s="63"/>
    </row>
    <row r="37" spans="1:15" s="91" customFormat="1" ht="60" customHeight="1">
      <c r="A37" s="85">
        <v>27</v>
      </c>
      <c r="B37" s="86"/>
      <c r="C37" s="86"/>
      <c r="D37" s="87"/>
      <c r="E37" s="78"/>
      <c r="F37" s="88"/>
      <c r="G37" s="89"/>
      <c r="H37" s="89"/>
      <c r="I37" s="89"/>
      <c r="J37" s="90"/>
      <c r="K37" s="90"/>
      <c r="L37" s="74"/>
      <c r="M37" s="74"/>
      <c r="N37" s="63"/>
      <c r="O37" s="63"/>
    </row>
    <row r="38" spans="1:15" s="91" customFormat="1" ht="60" customHeight="1">
      <c r="A38" s="85">
        <v>28</v>
      </c>
      <c r="B38" s="86"/>
      <c r="C38" s="86"/>
      <c r="D38" s="87"/>
      <c r="E38" s="78"/>
      <c r="F38" s="88"/>
      <c r="G38" s="89"/>
      <c r="H38" s="89"/>
      <c r="I38" s="89"/>
      <c r="J38" s="90"/>
      <c r="K38" s="90"/>
      <c r="L38" s="74"/>
      <c r="M38" s="74"/>
      <c r="N38" s="63"/>
      <c r="O38" s="63"/>
    </row>
    <row r="39" spans="1:15" s="91" customFormat="1" ht="60" customHeight="1">
      <c r="A39" s="85">
        <v>29</v>
      </c>
      <c r="B39" s="86"/>
      <c r="C39" s="86"/>
      <c r="D39" s="87"/>
      <c r="E39" s="78"/>
      <c r="F39" s="88"/>
      <c r="G39" s="89"/>
      <c r="H39" s="89"/>
      <c r="I39" s="89"/>
      <c r="J39" s="90"/>
      <c r="K39" s="90"/>
      <c r="L39" s="74"/>
      <c r="M39" s="74"/>
      <c r="N39" s="63"/>
      <c r="O39" s="63"/>
    </row>
    <row r="40" spans="1:15" s="91" customFormat="1" ht="60" customHeight="1">
      <c r="A40" s="85">
        <v>30</v>
      </c>
      <c r="B40" s="86"/>
      <c r="C40" s="86"/>
      <c r="D40" s="87"/>
      <c r="E40" s="78"/>
      <c r="F40" s="88"/>
      <c r="G40" s="89"/>
      <c r="H40" s="89"/>
      <c r="I40" s="89"/>
      <c r="J40" s="90"/>
      <c r="K40" s="90"/>
      <c r="L40" s="74"/>
      <c r="M40" s="74"/>
      <c r="N40" s="63"/>
      <c r="O40" s="63"/>
    </row>
    <row r="41" spans="1:15" s="84" customFormat="1" ht="60" customHeight="1">
      <c r="A41" s="85">
        <v>31</v>
      </c>
      <c r="B41" s="77"/>
      <c r="C41" s="77"/>
      <c r="D41" s="78"/>
      <c r="E41" s="78"/>
      <c r="F41" s="78"/>
      <c r="G41" s="79"/>
      <c r="H41" s="80"/>
      <c r="I41" s="81"/>
      <c r="J41" s="81"/>
      <c r="K41" s="81"/>
      <c r="L41" s="82"/>
      <c r="M41" s="82"/>
      <c r="N41" s="83"/>
      <c r="O41" s="83"/>
    </row>
    <row r="42" spans="1:15" s="84" customFormat="1" ht="60" customHeight="1">
      <c r="A42" s="85">
        <v>32</v>
      </c>
      <c r="B42" s="77"/>
      <c r="C42" s="77"/>
      <c r="D42" s="78"/>
      <c r="E42" s="78"/>
      <c r="F42" s="78"/>
      <c r="G42" s="79"/>
      <c r="H42" s="80"/>
      <c r="I42" s="81"/>
      <c r="J42" s="81"/>
      <c r="K42" s="81"/>
      <c r="L42" s="82"/>
      <c r="M42" s="82"/>
      <c r="N42" s="83"/>
      <c r="O42" s="83"/>
    </row>
    <row r="43" spans="1:15" s="91" customFormat="1" ht="60" customHeight="1">
      <c r="A43" s="85">
        <v>33</v>
      </c>
      <c r="B43" s="86"/>
      <c r="C43" s="86"/>
      <c r="D43" s="87"/>
      <c r="E43" s="78"/>
      <c r="F43" s="88"/>
      <c r="G43" s="89"/>
      <c r="H43" s="89"/>
      <c r="I43" s="89"/>
      <c r="J43" s="90"/>
      <c r="K43" s="90"/>
      <c r="L43" s="74"/>
      <c r="M43" s="74"/>
      <c r="N43" s="63"/>
      <c r="O43" s="63"/>
    </row>
    <row r="44" spans="1:15" s="91" customFormat="1" ht="60" customHeight="1">
      <c r="A44" s="85">
        <v>34</v>
      </c>
      <c r="B44" s="86"/>
      <c r="C44" s="86"/>
      <c r="D44" s="87"/>
      <c r="E44" s="78"/>
      <c r="F44" s="88"/>
      <c r="G44" s="89"/>
      <c r="H44" s="89"/>
      <c r="I44" s="89"/>
      <c r="J44" s="90"/>
      <c r="K44" s="90"/>
      <c r="L44" s="74"/>
      <c r="M44" s="74"/>
      <c r="N44" s="63"/>
      <c r="O44" s="63"/>
    </row>
    <row r="45" spans="1:15" s="91" customFormat="1" ht="60" customHeight="1">
      <c r="A45" s="85">
        <v>35</v>
      </c>
      <c r="B45" s="86"/>
      <c r="C45" s="86"/>
      <c r="D45" s="87"/>
      <c r="E45" s="78"/>
      <c r="F45" s="88"/>
      <c r="G45" s="89"/>
      <c r="H45" s="89"/>
      <c r="I45" s="89"/>
      <c r="J45" s="90"/>
      <c r="K45" s="90"/>
      <c r="L45" s="74"/>
      <c r="M45" s="74"/>
      <c r="N45" s="63"/>
      <c r="O45" s="63"/>
    </row>
    <row r="46" spans="1:15" s="91" customFormat="1" ht="60" customHeight="1">
      <c r="A46" s="85">
        <v>36</v>
      </c>
      <c r="B46" s="86"/>
      <c r="C46" s="86"/>
      <c r="D46" s="87"/>
      <c r="E46" s="78"/>
      <c r="F46" s="88"/>
      <c r="G46" s="89"/>
      <c r="H46" s="89"/>
      <c r="I46" s="89"/>
      <c r="J46" s="90"/>
      <c r="K46" s="90"/>
      <c r="L46" s="74"/>
      <c r="M46" s="74"/>
      <c r="N46" s="63"/>
      <c r="O46" s="63"/>
    </row>
    <row r="47" spans="1:15" s="91" customFormat="1" ht="60" customHeight="1">
      <c r="A47" s="85">
        <v>37</v>
      </c>
      <c r="B47" s="86"/>
      <c r="C47" s="86"/>
      <c r="D47" s="87"/>
      <c r="E47" s="78"/>
      <c r="F47" s="88"/>
      <c r="G47" s="89"/>
      <c r="H47" s="89"/>
      <c r="I47" s="89"/>
      <c r="J47" s="90"/>
      <c r="K47" s="90"/>
      <c r="L47" s="74"/>
      <c r="M47" s="74"/>
      <c r="N47" s="63"/>
      <c r="O47" s="63"/>
    </row>
    <row r="48" spans="1:15" s="91" customFormat="1" ht="60" customHeight="1">
      <c r="A48" s="85">
        <v>38</v>
      </c>
      <c r="B48" s="86"/>
      <c r="C48" s="86"/>
      <c r="D48" s="87"/>
      <c r="E48" s="78"/>
      <c r="F48" s="88"/>
      <c r="G48" s="89"/>
      <c r="H48" s="89"/>
      <c r="I48" s="89"/>
      <c r="J48" s="90"/>
      <c r="K48" s="90"/>
      <c r="L48" s="74"/>
      <c r="M48" s="74"/>
      <c r="N48" s="63"/>
      <c r="O48" s="63"/>
    </row>
    <row r="49" spans="1:15" s="91" customFormat="1" ht="60" customHeight="1">
      <c r="A49" s="85">
        <v>39</v>
      </c>
      <c r="B49" s="86"/>
      <c r="C49" s="86"/>
      <c r="D49" s="87"/>
      <c r="E49" s="78"/>
      <c r="F49" s="88"/>
      <c r="G49" s="89"/>
      <c r="H49" s="89"/>
      <c r="I49" s="89"/>
      <c r="J49" s="90"/>
      <c r="K49" s="90"/>
      <c r="L49" s="74"/>
      <c r="M49" s="74"/>
      <c r="N49" s="63"/>
      <c r="O49" s="63"/>
    </row>
    <row r="50" spans="1:15" s="91" customFormat="1" ht="60" customHeight="1">
      <c r="A50" s="85">
        <v>40</v>
      </c>
      <c r="B50" s="86"/>
      <c r="C50" s="86"/>
      <c r="D50" s="87"/>
      <c r="E50" s="78"/>
      <c r="F50" s="88"/>
      <c r="G50" s="89"/>
      <c r="H50" s="89"/>
      <c r="I50" s="89"/>
      <c r="J50" s="90"/>
      <c r="K50" s="90"/>
      <c r="L50" s="74"/>
      <c r="M50" s="74"/>
      <c r="N50" s="63"/>
      <c r="O50" s="63"/>
    </row>
    <row r="51" spans="1:15" s="91" customFormat="1" ht="60" customHeight="1">
      <c r="A51" s="85">
        <v>41</v>
      </c>
      <c r="B51" s="86"/>
      <c r="C51" s="86"/>
      <c r="D51" s="87"/>
      <c r="E51" s="78"/>
      <c r="F51" s="88"/>
      <c r="G51" s="89"/>
      <c r="H51" s="89"/>
      <c r="I51" s="89"/>
      <c r="J51" s="90"/>
      <c r="K51" s="90"/>
      <c r="L51" s="74"/>
      <c r="M51" s="74"/>
      <c r="N51" s="63"/>
      <c r="O51" s="63"/>
    </row>
    <row r="52" spans="1:15" s="91" customFormat="1" ht="60" customHeight="1">
      <c r="A52" s="85">
        <v>42</v>
      </c>
      <c r="B52" s="86"/>
      <c r="C52" s="86"/>
      <c r="D52" s="87"/>
      <c r="E52" s="78"/>
      <c r="F52" s="88"/>
      <c r="G52" s="89"/>
      <c r="H52" s="89"/>
      <c r="I52" s="89"/>
      <c r="J52" s="90"/>
      <c r="K52" s="90"/>
      <c r="L52" s="74"/>
      <c r="M52" s="74"/>
      <c r="N52" s="63"/>
      <c r="O52" s="63"/>
    </row>
    <row r="53" spans="1:15" s="91" customFormat="1" ht="60" customHeight="1">
      <c r="A53" s="85">
        <v>43</v>
      </c>
      <c r="B53" s="86"/>
      <c r="C53" s="86"/>
      <c r="D53" s="87"/>
      <c r="E53" s="78"/>
      <c r="F53" s="88"/>
      <c r="G53" s="89"/>
      <c r="H53" s="89"/>
      <c r="I53" s="89"/>
      <c r="J53" s="90"/>
      <c r="K53" s="90"/>
      <c r="L53" s="74"/>
      <c r="M53" s="74"/>
      <c r="N53" s="63"/>
      <c r="O53" s="63"/>
    </row>
    <row r="54" spans="1:15" s="91" customFormat="1" ht="60" customHeight="1">
      <c r="A54" s="85">
        <v>44</v>
      </c>
      <c r="B54" s="86"/>
      <c r="C54" s="86"/>
      <c r="D54" s="87"/>
      <c r="E54" s="78"/>
      <c r="F54" s="88"/>
      <c r="G54" s="89"/>
      <c r="H54" s="89"/>
      <c r="I54" s="89"/>
      <c r="J54" s="90"/>
      <c r="K54" s="90"/>
      <c r="L54" s="74"/>
      <c r="M54" s="74"/>
      <c r="N54" s="63"/>
      <c r="O54" s="63"/>
    </row>
    <row r="55" spans="1:15" s="91" customFormat="1" ht="60" customHeight="1">
      <c r="A55" s="85">
        <v>45</v>
      </c>
      <c r="B55" s="86"/>
      <c r="C55" s="86"/>
      <c r="D55" s="87"/>
      <c r="E55" s="78"/>
      <c r="F55" s="88"/>
      <c r="G55" s="89"/>
      <c r="H55" s="89"/>
      <c r="I55" s="89"/>
      <c r="J55" s="90"/>
      <c r="K55" s="90"/>
      <c r="L55" s="74"/>
      <c r="M55" s="74"/>
      <c r="N55" s="63"/>
      <c r="O55" s="63"/>
    </row>
    <row r="56" spans="1:15" s="91" customFormat="1" ht="60" customHeight="1">
      <c r="A56" s="85">
        <v>46</v>
      </c>
      <c r="B56" s="86"/>
      <c r="C56" s="86"/>
      <c r="D56" s="87"/>
      <c r="E56" s="78"/>
      <c r="F56" s="88"/>
      <c r="G56" s="89"/>
      <c r="H56" s="89"/>
      <c r="I56" s="89"/>
      <c r="J56" s="90"/>
      <c r="K56" s="90"/>
      <c r="L56" s="74"/>
      <c r="M56" s="74"/>
      <c r="N56" s="63"/>
      <c r="O56" s="63"/>
    </row>
    <row r="57" spans="1:15" s="91" customFormat="1" ht="60" customHeight="1">
      <c r="A57" s="85">
        <v>47</v>
      </c>
      <c r="B57" s="86"/>
      <c r="C57" s="86"/>
      <c r="D57" s="87"/>
      <c r="E57" s="78"/>
      <c r="F57" s="88"/>
      <c r="G57" s="89"/>
      <c r="H57" s="89"/>
      <c r="I57" s="89"/>
      <c r="J57" s="90"/>
      <c r="K57" s="90"/>
      <c r="L57" s="74"/>
      <c r="M57" s="74"/>
      <c r="N57" s="63"/>
      <c r="O57" s="63"/>
    </row>
    <row r="58" spans="1:15" s="91" customFormat="1" ht="60" customHeight="1">
      <c r="A58" s="85">
        <v>48</v>
      </c>
      <c r="B58" s="86"/>
      <c r="C58" s="86"/>
      <c r="D58" s="87"/>
      <c r="E58" s="78"/>
      <c r="F58" s="88"/>
      <c r="G58" s="89"/>
      <c r="H58" s="89"/>
      <c r="I58" s="89"/>
      <c r="J58" s="90"/>
      <c r="K58" s="90"/>
      <c r="L58" s="74"/>
      <c r="M58" s="74"/>
      <c r="N58" s="63"/>
      <c r="O58" s="63"/>
    </row>
    <row r="59" spans="1:15" s="91" customFormat="1" ht="60" customHeight="1">
      <c r="A59" s="85">
        <v>49</v>
      </c>
      <c r="B59" s="86"/>
      <c r="C59" s="86"/>
      <c r="D59" s="87"/>
      <c r="E59" s="78"/>
      <c r="F59" s="88"/>
      <c r="G59" s="89"/>
      <c r="H59" s="89"/>
      <c r="I59" s="89"/>
      <c r="J59" s="90"/>
      <c r="K59" s="90"/>
      <c r="L59" s="74"/>
      <c r="M59" s="74"/>
      <c r="N59" s="63"/>
      <c r="O59" s="63"/>
    </row>
    <row r="60" spans="1:15" s="91" customFormat="1" ht="60" customHeight="1">
      <c r="A60" s="85">
        <v>50</v>
      </c>
      <c r="B60" s="86"/>
      <c r="C60" s="86"/>
      <c r="D60" s="87"/>
      <c r="E60" s="78"/>
      <c r="F60" s="88"/>
      <c r="G60" s="89"/>
      <c r="H60" s="89"/>
      <c r="I60" s="89"/>
      <c r="J60" s="90"/>
      <c r="K60" s="90"/>
      <c r="L60" s="74"/>
      <c r="M60" s="74"/>
      <c r="N60" s="63"/>
      <c r="O60" s="63"/>
    </row>
    <row r="61" spans="1:15" s="91" customFormat="1" ht="60" customHeight="1">
      <c r="A61" s="85">
        <v>51</v>
      </c>
      <c r="B61" s="86"/>
      <c r="C61" s="86"/>
      <c r="D61" s="87"/>
      <c r="E61" s="78"/>
      <c r="F61" s="88"/>
      <c r="G61" s="89"/>
      <c r="H61" s="89"/>
      <c r="I61" s="89"/>
      <c r="J61" s="90"/>
      <c r="K61" s="90"/>
      <c r="L61" s="74"/>
      <c r="M61" s="74"/>
      <c r="N61" s="63"/>
      <c r="O61" s="63"/>
    </row>
    <row r="62" spans="1:15" s="91" customFormat="1" ht="60" customHeight="1">
      <c r="A62" s="85">
        <v>52</v>
      </c>
      <c r="B62" s="86"/>
      <c r="C62" s="86"/>
      <c r="D62" s="87"/>
      <c r="E62" s="78"/>
      <c r="F62" s="88"/>
      <c r="G62" s="89"/>
      <c r="H62" s="89"/>
      <c r="I62" s="89"/>
      <c r="J62" s="90"/>
      <c r="K62" s="90"/>
      <c r="L62" s="74"/>
      <c r="M62" s="74"/>
      <c r="N62" s="63"/>
      <c r="O62" s="63"/>
    </row>
    <row r="63" spans="1:15" s="91" customFormat="1" ht="60" customHeight="1">
      <c r="A63" s="85">
        <v>53</v>
      </c>
      <c r="B63" s="86"/>
      <c r="C63" s="86"/>
      <c r="D63" s="87"/>
      <c r="E63" s="78"/>
      <c r="F63" s="88"/>
      <c r="G63" s="89"/>
      <c r="H63" s="89"/>
      <c r="I63" s="89"/>
      <c r="J63" s="90"/>
      <c r="K63" s="90"/>
      <c r="L63" s="74"/>
      <c r="M63" s="74"/>
      <c r="N63" s="63"/>
      <c r="O63" s="63"/>
    </row>
    <row r="64" spans="1:15" s="91" customFormat="1" ht="60" customHeight="1">
      <c r="A64" s="85">
        <v>54</v>
      </c>
      <c r="B64" s="86"/>
      <c r="C64" s="86"/>
      <c r="D64" s="87"/>
      <c r="E64" s="78"/>
      <c r="F64" s="88"/>
      <c r="G64" s="89"/>
      <c r="H64" s="89"/>
      <c r="I64" s="89"/>
      <c r="J64" s="90"/>
      <c r="K64" s="90"/>
      <c r="L64" s="74"/>
      <c r="M64" s="74"/>
      <c r="N64" s="63"/>
      <c r="O64" s="63"/>
    </row>
    <row r="65" spans="1:15" s="91" customFormat="1" ht="60" customHeight="1">
      <c r="A65" s="85">
        <v>55</v>
      </c>
      <c r="B65" s="86"/>
      <c r="C65" s="86"/>
      <c r="D65" s="87"/>
      <c r="E65" s="78"/>
      <c r="F65" s="88"/>
      <c r="G65" s="89"/>
      <c r="H65" s="89"/>
      <c r="I65" s="89"/>
      <c r="J65" s="90"/>
      <c r="K65" s="90"/>
      <c r="L65" s="74"/>
      <c r="M65" s="74"/>
      <c r="N65" s="63"/>
      <c r="O65" s="63"/>
    </row>
    <row r="66" spans="1:15" s="91" customFormat="1" ht="60" customHeight="1">
      <c r="A66" s="85">
        <v>56</v>
      </c>
      <c r="B66" s="86"/>
      <c r="C66" s="86"/>
      <c r="D66" s="87"/>
      <c r="E66" s="78"/>
      <c r="F66" s="88"/>
      <c r="G66" s="89"/>
      <c r="H66" s="89"/>
      <c r="I66" s="89"/>
      <c r="J66" s="90"/>
      <c r="K66" s="90"/>
      <c r="L66" s="74"/>
      <c r="M66" s="74"/>
      <c r="N66" s="63"/>
      <c r="O66" s="63"/>
    </row>
    <row r="67" spans="1:15" s="91" customFormat="1" ht="60" customHeight="1">
      <c r="A67" s="85">
        <v>57</v>
      </c>
      <c r="B67" s="86"/>
      <c r="C67" s="86"/>
      <c r="D67" s="87"/>
      <c r="E67" s="78"/>
      <c r="F67" s="88"/>
      <c r="G67" s="89"/>
      <c r="H67" s="89"/>
      <c r="I67" s="89"/>
      <c r="J67" s="90"/>
      <c r="K67" s="90"/>
      <c r="L67" s="74"/>
      <c r="M67" s="74"/>
      <c r="N67" s="63"/>
      <c r="O67" s="63"/>
    </row>
    <row r="68" spans="1:15" s="91" customFormat="1" ht="60" customHeight="1">
      <c r="A68" s="85">
        <v>58</v>
      </c>
      <c r="B68" s="86"/>
      <c r="C68" s="86"/>
      <c r="D68" s="87"/>
      <c r="E68" s="78"/>
      <c r="F68" s="88"/>
      <c r="G68" s="89"/>
      <c r="H68" s="89"/>
      <c r="I68" s="89"/>
      <c r="J68" s="90"/>
      <c r="K68" s="90"/>
      <c r="L68" s="74"/>
      <c r="M68" s="74"/>
      <c r="N68" s="63"/>
      <c r="O68" s="63"/>
    </row>
    <row r="69" spans="1:15" s="91" customFormat="1" ht="60" customHeight="1">
      <c r="A69" s="85">
        <v>59</v>
      </c>
      <c r="B69" s="86"/>
      <c r="C69" s="86"/>
      <c r="D69" s="87"/>
      <c r="E69" s="78"/>
      <c r="F69" s="88"/>
      <c r="G69" s="89"/>
      <c r="H69" s="89"/>
      <c r="I69" s="89"/>
      <c r="J69" s="90"/>
      <c r="K69" s="90"/>
      <c r="L69" s="74"/>
      <c r="M69" s="74"/>
      <c r="N69" s="63"/>
      <c r="O69" s="63"/>
    </row>
    <row r="70" spans="1:15" s="91" customFormat="1" ht="60" customHeight="1">
      <c r="A70" s="85">
        <v>60</v>
      </c>
      <c r="B70" s="86"/>
      <c r="C70" s="86"/>
      <c r="D70" s="87"/>
      <c r="E70" s="78"/>
      <c r="F70" s="88"/>
      <c r="G70" s="89"/>
      <c r="H70" s="89"/>
      <c r="I70" s="89"/>
      <c r="J70" s="90"/>
      <c r="K70" s="90"/>
      <c r="L70" s="74"/>
      <c r="M70" s="74"/>
      <c r="N70" s="63"/>
      <c r="O70" s="63"/>
    </row>
    <row r="71" spans="1:15" s="91" customFormat="1" ht="60" customHeight="1">
      <c r="A71" s="85">
        <v>61</v>
      </c>
      <c r="B71" s="86"/>
      <c r="C71" s="86"/>
      <c r="D71" s="87"/>
      <c r="E71" s="78"/>
      <c r="F71" s="88"/>
      <c r="G71" s="89"/>
      <c r="H71" s="89"/>
      <c r="I71" s="89"/>
      <c r="J71" s="90"/>
      <c r="K71" s="90"/>
      <c r="L71" s="74"/>
      <c r="M71" s="74"/>
      <c r="N71" s="63"/>
      <c r="O71" s="63"/>
    </row>
    <row r="72" spans="1:15" s="91" customFormat="1" ht="60" customHeight="1">
      <c r="A72" s="85">
        <v>62</v>
      </c>
      <c r="B72" s="86"/>
      <c r="C72" s="86"/>
      <c r="D72" s="87"/>
      <c r="E72" s="78"/>
      <c r="F72" s="88"/>
      <c r="G72" s="89"/>
      <c r="H72" s="89"/>
      <c r="I72" s="89"/>
      <c r="J72" s="90"/>
      <c r="K72" s="90"/>
      <c r="L72" s="74"/>
      <c r="M72" s="74"/>
      <c r="N72" s="63"/>
      <c r="O72" s="63"/>
    </row>
    <row r="73" spans="1:15" s="91" customFormat="1" ht="60" customHeight="1">
      <c r="A73" s="85">
        <v>63</v>
      </c>
      <c r="B73" s="86"/>
      <c r="C73" s="86"/>
      <c r="D73" s="87"/>
      <c r="E73" s="78"/>
      <c r="F73" s="88"/>
      <c r="G73" s="89"/>
      <c r="H73" s="89"/>
      <c r="I73" s="89"/>
      <c r="J73" s="90"/>
      <c r="K73" s="90"/>
      <c r="L73" s="74"/>
      <c r="M73" s="74"/>
      <c r="N73" s="63"/>
      <c r="O73" s="63"/>
    </row>
    <row r="74" spans="1:15" s="91" customFormat="1" ht="60" customHeight="1">
      <c r="A74" s="85">
        <v>64</v>
      </c>
      <c r="B74" s="86"/>
      <c r="C74" s="86"/>
      <c r="D74" s="87"/>
      <c r="E74" s="78"/>
      <c r="F74" s="88"/>
      <c r="G74" s="89"/>
      <c r="H74" s="89"/>
      <c r="I74" s="89"/>
      <c r="J74" s="90"/>
      <c r="K74" s="90"/>
      <c r="L74" s="74"/>
      <c r="M74" s="74"/>
      <c r="N74" s="63"/>
      <c r="O74" s="63"/>
    </row>
    <row r="75" spans="1:15" s="91" customFormat="1" ht="60" customHeight="1">
      <c r="A75" s="85">
        <v>65</v>
      </c>
      <c r="B75" s="86"/>
      <c r="C75" s="86"/>
      <c r="D75" s="87"/>
      <c r="E75" s="78"/>
      <c r="F75" s="88"/>
      <c r="G75" s="89"/>
      <c r="H75" s="89"/>
      <c r="I75" s="89"/>
      <c r="J75" s="90"/>
      <c r="K75" s="90"/>
      <c r="L75" s="74"/>
      <c r="M75" s="74"/>
      <c r="N75" s="63"/>
      <c r="O75" s="63"/>
    </row>
    <row r="76" spans="1:15" s="91" customFormat="1" ht="60" customHeight="1">
      <c r="A76" s="85">
        <v>66</v>
      </c>
      <c r="B76" s="86"/>
      <c r="C76" s="86"/>
      <c r="D76" s="87"/>
      <c r="E76" s="78"/>
      <c r="F76" s="88"/>
      <c r="G76" s="89"/>
      <c r="H76" s="89"/>
      <c r="I76" s="89"/>
      <c r="J76" s="90"/>
      <c r="K76" s="90"/>
      <c r="L76" s="74"/>
      <c r="M76" s="74"/>
      <c r="N76" s="63"/>
      <c r="O76" s="63"/>
    </row>
    <row r="77" spans="1:15" s="91" customFormat="1" ht="60" customHeight="1">
      <c r="A77" s="85">
        <v>67</v>
      </c>
      <c r="B77" s="86"/>
      <c r="C77" s="86"/>
      <c r="D77" s="87"/>
      <c r="E77" s="78"/>
      <c r="F77" s="88"/>
      <c r="G77" s="89"/>
      <c r="H77" s="89"/>
      <c r="I77" s="89"/>
      <c r="J77" s="90"/>
      <c r="K77" s="90"/>
      <c r="L77" s="74"/>
      <c r="M77" s="74"/>
      <c r="N77" s="63"/>
      <c r="O77" s="63"/>
    </row>
    <row r="78" spans="1:15" s="91" customFormat="1" ht="60" customHeight="1">
      <c r="A78" s="85">
        <v>68</v>
      </c>
      <c r="B78" s="86"/>
      <c r="C78" s="86"/>
      <c r="D78" s="87"/>
      <c r="E78" s="78"/>
      <c r="F78" s="88"/>
      <c r="G78" s="89"/>
      <c r="H78" s="89"/>
      <c r="I78" s="89"/>
      <c r="J78" s="90"/>
      <c r="K78" s="90"/>
      <c r="L78" s="74"/>
      <c r="M78" s="74"/>
      <c r="N78" s="63"/>
      <c r="O78" s="63"/>
    </row>
    <row r="79" spans="1:15" s="91" customFormat="1" ht="60" customHeight="1">
      <c r="A79" s="85">
        <v>69</v>
      </c>
      <c r="B79" s="86"/>
      <c r="C79" s="86"/>
      <c r="D79" s="87"/>
      <c r="E79" s="78"/>
      <c r="F79" s="88"/>
      <c r="G79" s="89"/>
      <c r="H79" s="89"/>
      <c r="I79" s="89"/>
      <c r="J79" s="90"/>
      <c r="K79" s="90"/>
      <c r="L79" s="74"/>
      <c r="M79" s="74"/>
      <c r="N79" s="63"/>
      <c r="O79" s="63"/>
    </row>
    <row r="80" spans="1:15" s="91" customFormat="1" ht="60" customHeight="1">
      <c r="A80" s="85">
        <v>70</v>
      </c>
      <c r="B80" s="86"/>
      <c r="C80" s="86"/>
      <c r="D80" s="87"/>
      <c r="E80" s="78"/>
      <c r="F80" s="88"/>
      <c r="G80" s="89"/>
      <c r="H80" s="89"/>
      <c r="I80" s="89"/>
      <c r="J80" s="90"/>
      <c r="K80" s="90"/>
      <c r="L80" s="74"/>
      <c r="M80" s="74"/>
      <c r="N80" s="63"/>
      <c r="O80" s="63"/>
    </row>
    <row r="81" spans="1:15" s="91" customFormat="1" ht="60" customHeight="1">
      <c r="A81" s="85">
        <v>71</v>
      </c>
      <c r="B81" s="86"/>
      <c r="C81" s="86"/>
      <c r="D81" s="87"/>
      <c r="E81" s="78"/>
      <c r="F81" s="88"/>
      <c r="G81" s="89"/>
      <c r="H81" s="89"/>
      <c r="I81" s="89"/>
      <c r="J81" s="90"/>
      <c r="K81" s="90"/>
      <c r="L81" s="74"/>
      <c r="M81" s="74"/>
      <c r="N81" s="63"/>
      <c r="O81" s="63"/>
    </row>
    <row r="82" spans="1:15" s="91" customFormat="1" ht="60" customHeight="1">
      <c r="A82" s="85">
        <v>72</v>
      </c>
      <c r="B82" s="86"/>
      <c r="C82" s="86"/>
      <c r="D82" s="87"/>
      <c r="E82" s="78"/>
      <c r="F82" s="88"/>
      <c r="G82" s="89"/>
      <c r="H82" s="89"/>
      <c r="I82" s="89"/>
      <c r="J82" s="90"/>
      <c r="K82" s="90"/>
      <c r="L82" s="74"/>
      <c r="M82" s="74"/>
      <c r="N82" s="63"/>
      <c r="O82" s="63"/>
    </row>
    <row r="83" spans="1:15" s="91" customFormat="1" ht="60" customHeight="1">
      <c r="A83" s="85">
        <v>73</v>
      </c>
      <c r="B83" s="86"/>
      <c r="C83" s="86"/>
      <c r="D83" s="87"/>
      <c r="E83" s="78"/>
      <c r="F83" s="88"/>
      <c r="G83" s="89"/>
      <c r="H83" s="89"/>
      <c r="I83" s="89"/>
      <c r="J83" s="90"/>
      <c r="K83" s="90"/>
      <c r="L83" s="74"/>
      <c r="M83" s="74"/>
      <c r="N83" s="63"/>
      <c r="O83" s="63"/>
    </row>
    <row r="84" spans="1:15" s="91" customFormat="1" ht="60" customHeight="1">
      <c r="A84" s="85">
        <v>74</v>
      </c>
      <c r="B84" s="86"/>
      <c r="C84" s="86"/>
      <c r="D84" s="87"/>
      <c r="E84" s="78"/>
      <c r="F84" s="88"/>
      <c r="G84" s="89"/>
      <c r="H84" s="89"/>
      <c r="I84" s="89"/>
      <c r="J84" s="90"/>
      <c r="K84" s="90"/>
      <c r="L84" s="74"/>
      <c r="M84" s="74"/>
      <c r="N84" s="63"/>
      <c r="O84" s="63"/>
    </row>
    <row r="85" spans="1:15" s="91" customFormat="1" ht="60" customHeight="1">
      <c r="A85" s="85">
        <v>75</v>
      </c>
      <c r="B85" s="86"/>
      <c r="C85" s="86"/>
      <c r="D85" s="87"/>
      <c r="E85" s="78"/>
      <c r="F85" s="88"/>
      <c r="G85" s="89"/>
      <c r="H85" s="89"/>
      <c r="I85" s="89"/>
      <c r="J85" s="90"/>
      <c r="K85" s="90"/>
      <c r="L85" s="74"/>
      <c r="M85" s="74"/>
      <c r="N85" s="63"/>
      <c r="O85" s="63"/>
    </row>
    <row r="86" spans="1:15" s="91" customFormat="1" ht="60" customHeight="1">
      <c r="A86" s="85">
        <v>76</v>
      </c>
      <c r="B86" s="86"/>
      <c r="C86" s="86"/>
      <c r="D86" s="87"/>
      <c r="E86" s="78"/>
      <c r="F86" s="88"/>
      <c r="G86" s="89"/>
      <c r="H86" s="89"/>
      <c r="I86" s="89"/>
      <c r="J86" s="90"/>
      <c r="K86" s="90"/>
      <c r="L86" s="74"/>
      <c r="M86" s="74"/>
      <c r="N86" s="63"/>
      <c r="O86" s="63"/>
    </row>
    <row r="87" spans="1:15" s="91" customFormat="1" ht="60" customHeight="1">
      <c r="A87" s="85">
        <v>77</v>
      </c>
      <c r="B87" s="86"/>
      <c r="C87" s="86"/>
      <c r="D87" s="87"/>
      <c r="E87" s="78"/>
      <c r="F87" s="88"/>
      <c r="G87" s="89"/>
      <c r="H87" s="89"/>
      <c r="I87" s="89"/>
      <c r="J87" s="90"/>
      <c r="K87" s="90"/>
      <c r="L87" s="74"/>
      <c r="M87" s="74"/>
      <c r="N87" s="63"/>
      <c r="O87" s="63"/>
    </row>
    <row r="88" spans="1:15" s="91" customFormat="1" ht="60" customHeight="1">
      <c r="A88" s="85">
        <v>78</v>
      </c>
      <c r="B88" s="86"/>
      <c r="C88" s="86"/>
      <c r="D88" s="87"/>
      <c r="E88" s="78"/>
      <c r="F88" s="88"/>
      <c r="G88" s="89"/>
      <c r="H88" s="89"/>
      <c r="I88" s="89"/>
      <c r="J88" s="90"/>
      <c r="K88" s="90"/>
      <c r="L88" s="74"/>
      <c r="M88" s="74"/>
      <c r="N88" s="63"/>
      <c r="O88" s="63"/>
    </row>
    <row r="89" spans="1:15" s="91" customFormat="1" ht="60" customHeight="1">
      <c r="A89" s="85">
        <v>79</v>
      </c>
      <c r="B89" s="86"/>
      <c r="C89" s="86"/>
      <c r="D89" s="87"/>
      <c r="E89" s="78"/>
      <c r="F89" s="88"/>
      <c r="G89" s="89"/>
      <c r="H89" s="89"/>
      <c r="I89" s="89"/>
      <c r="J89" s="90"/>
      <c r="K89" s="90"/>
      <c r="L89" s="74"/>
      <c r="M89" s="74"/>
      <c r="N89" s="63"/>
      <c r="O89" s="63"/>
    </row>
    <row r="90" spans="1:15" s="91" customFormat="1" ht="60" customHeight="1">
      <c r="A90" s="85">
        <v>80</v>
      </c>
      <c r="B90" s="86"/>
      <c r="C90" s="86"/>
      <c r="D90" s="87"/>
      <c r="E90" s="78"/>
      <c r="F90" s="88"/>
      <c r="G90" s="89"/>
      <c r="H90" s="89"/>
      <c r="I90" s="89"/>
      <c r="J90" s="90"/>
      <c r="K90" s="90"/>
      <c r="L90" s="74"/>
      <c r="M90" s="74"/>
      <c r="N90" s="63"/>
      <c r="O90" s="63"/>
    </row>
    <row r="91" spans="1:15" s="91" customFormat="1" ht="60" customHeight="1">
      <c r="A91" s="85">
        <v>81</v>
      </c>
      <c r="B91" s="86"/>
      <c r="C91" s="86"/>
      <c r="D91" s="87"/>
      <c r="E91" s="78"/>
      <c r="F91" s="88"/>
      <c r="G91" s="89"/>
      <c r="H91" s="89"/>
      <c r="I91" s="89"/>
      <c r="J91" s="90"/>
      <c r="K91" s="90"/>
      <c r="L91" s="74"/>
      <c r="M91" s="74"/>
      <c r="N91" s="63"/>
      <c r="O91" s="63"/>
    </row>
    <row r="92" spans="1:15" s="91" customFormat="1" ht="60" customHeight="1">
      <c r="A92" s="85">
        <v>82</v>
      </c>
      <c r="B92" s="86"/>
      <c r="C92" s="86"/>
      <c r="D92" s="87"/>
      <c r="E92" s="78"/>
      <c r="F92" s="88"/>
      <c r="G92" s="89"/>
      <c r="H92" s="89"/>
      <c r="I92" s="89"/>
      <c r="J92" s="90"/>
      <c r="K92" s="90"/>
      <c r="L92" s="74"/>
      <c r="M92" s="74"/>
      <c r="N92" s="63"/>
      <c r="O92" s="63"/>
    </row>
    <row r="93" spans="1:15" s="91" customFormat="1" ht="60" customHeight="1">
      <c r="A93" s="85">
        <v>83</v>
      </c>
      <c r="B93" s="86"/>
      <c r="C93" s="86"/>
      <c r="D93" s="87"/>
      <c r="E93" s="78"/>
      <c r="F93" s="88"/>
      <c r="G93" s="89"/>
      <c r="H93" s="89"/>
      <c r="I93" s="89"/>
      <c r="J93" s="90"/>
      <c r="K93" s="90"/>
      <c r="L93" s="74"/>
      <c r="M93" s="74"/>
      <c r="N93" s="63"/>
      <c r="O93" s="63"/>
    </row>
    <row r="94" spans="1:15" s="91" customFormat="1" ht="60" customHeight="1">
      <c r="A94" s="85">
        <v>84</v>
      </c>
      <c r="B94" s="86"/>
      <c r="C94" s="86"/>
      <c r="D94" s="87"/>
      <c r="E94" s="78"/>
      <c r="F94" s="88"/>
      <c r="G94" s="89"/>
      <c r="H94" s="89"/>
      <c r="I94" s="89"/>
      <c r="J94" s="90"/>
      <c r="K94" s="90"/>
      <c r="L94" s="74"/>
      <c r="M94" s="74"/>
      <c r="N94" s="63"/>
      <c r="O94" s="63"/>
    </row>
    <row r="95" spans="1:15" s="91" customFormat="1" ht="60" customHeight="1">
      <c r="A95" s="85">
        <v>85</v>
      </c>
      <c r="B95" s="86"/>
      <c r="C95" s="86"/>
      <c r="D95" s="87"/>
      <c r="E95" s="78"/>
      <c r="F95" s="88"/>
      <c r="G95" s="89"/>
      <c r="H95" s="89"/>
      <c r="I95" s="89"/>
      <c r="J95" s="90"/>
      <c r="K95" s="90"/>
      <c r="L95" s="74"/>
      <c r="M95" s="74"/>
      <c r="N95" s="63"/>
      <c r="O95" s="63"/>
    </row>
    <row r="96" spans="1:15" s="91" customFormat="1" ht="60" customHeight="1">
      <c r="A96" s="85">
        <v>86</v>
      </c>
      <c r="B96" s="86"/>
      <c r="C96" s="86"/>
      <c r="D96" s="87"/>
      <c r="E96" s="78"/>
      <c r="F96" s="88"/>
      <c r="G96" s="89"/>
      <c r="H96" s="89"/>
      <c r="I96" s="89"/>
      <c r="J96" s="90"/>
      <c r="K96" s="90"/>
      <c r="L96" s="74"/>
      <c r="M96" s="74"/>
      <c r="N96" s="63"/>
      <c r="O96" s="63"/>
    </row>
    <row r="97" spans="1:15" s="91" customFormat="1" ht="60" customHeight="1">
      <c r="A97" s="85">
        <v>87</v>
      </c>
      <c r="B97" s="86"/>
      <c r="C97" s="86"/>
      <c r="D97" s="87"/>
      <c r="E97" s="78"/>
      <c r="F97" s="88"/>
      <c r="G97" s="89"/>
      <c r="H97" s="89"/>
      <c r="I97" s="89"/>
      <c r="J97" s="90"/>
      <c r="K97" s="90"/>
      <c r="L97" s="74"/>
      <c r="M97" s="74"/>
      <c r="N97" s="63"/>
      <c r="O97" s="63"/>
    </row>
    <row r="98" spans="1:15" s="91" customFormat="1" ht="60" customHeight="1">
      <c r="A98" s="85">
        <v>88</v>
      </c>
      <c r="B98" s="86"/>
      <c r="C98" s="86"/>
      <c r="D98" s="87"/>
      <c r="E98" s="78"/>
      <c r="F98" s="88"/>
      <c r="G98" s="89"/>
      <c r="H98" s="89"/>
      <c r="I98" s="89"/>
      <c r="J98" s="90"/>
      <c r="K98" s="90"/>
      <c r="L98" s="74"/>
      <c r="M98" s="74"/>
      <c r="N98" s="63"/>
      <c r="O98" s="63"/>
    </row>
    <row r="99" spans="1:15" s="91" customFormat="1" ht="60" customHeight="1">
      <c r="A99" s="85">
        <v>89</v>
      </c>
      <c r="B99" s="86"/>
      <c r="C99" s="86"/>
      <c r="D99" s="87"/>
      <c r="E99" s="78"/>
      <c r="F99" s="88"/>
      <c r="G99" s="89"/>
      <c r="H99" s="89"/>
      <c r="I99" s="89"/>
      <c r="J99" s="90"/>
      <c r="K99" s="90"/>
      <c r="L99" s="74"/>
      <c r="M99" s="74"/>
      <c r="N99" s="63"/>
      <c r="O99" s="63"/>
    </row>
    <row r="100" spans="1:15" s="91" customFormat="1" ht="60" customHeight="1">
      <c r="A100" s="85">
        <v>90</v>
      </c>
      <c r="B100" s="86"/>
      <c r="C100" s="86"/>
      <c r="D100" s="87"/>
      <c r="E100" s="78"/>
      <c r="F100" s="88"/>
      <c r="G100" s="89"/>
      <c r="H100" s="89"/>
      <c r="I100" s="89"/>
      <c r="J100" s="90"/>
      <c r="K100" s="90"/>
      <c r="L100" s="74"/>
      <c r="M100" s="74"/>
      <c r="N100" s="63"/>
      <c r="O100" s="63"/>
    </row>
    <row r="101" spans="1:15" s="91" customFormat="1" ht="60" customHeight="1">
      <c r="A101" s="85">
        <v>91</v>
      </c>
      <c r="B101" s="86"/>
      <c r="C101" s="86"/>
      <c r="D101" s="87"/>
      <c r="E101" s="78"/>
      <c r="F101" s="88"/>
      <c r="G101" s="89"/>
      <c r="H101" s="89"/>
      <c r="I101" s="89"/>
      <c r="J101" s="90"/>
      <c r="K101" s="90"/>
      <c r="L101" s="74"/>
      <c r="M101" s="74"/>
      <c r="N101" s="63"/>
      <c r="O101" s="63"/>
    </row>
    <row r="102" spans="1:15" s="91" customFormat="1" ht="60" customHeight="1">
      <c r="A102" s="85">
        <v>92</v>
      </c>
      <c r="B102" s="86"/>
      <c r="C102" s="86"/>
      <c r="D102" s="87"/>
      <c r="E102" s="78"/>
      <c r="F102" s="88"/>
      <c r="G102" s="89"/>
      <c r="H102" s="89"/>
      <c r="I102" s="89"/>
      <c r="J102" s="90"/>
      <c r="K102" s="90"/>
      <c r="L102" s="74"/>
      <c r="M102" s="74"/>
      <c r="N102" s="63"/>
      <c r="O102" s="63"/>
    </row>
    <row r="103" spans="1:15" s="91" customFormat="1" ht="60" customHeight="1">
      <c r="A103" s="85">
        <v>93</v>
      </c>
      <c r="B103" s="86"/>
      <c r="C103" s="86"/>
      <c r="D103" s="87"/>
      <c r="E103" s="78"/>
      <c r="F103" s="88"/>
      <c r="G103" s="89"/>
      <c r="H103" s="89"/>
      <c r="I103" s="89"/>
      <c r="J103" s="90"/>
      <c r="K103" s="90"/>
      <c r="L103" s="74"/>
      <c r="M103" s="74"/>
      <c r="N103" s="63"/>
      <c r="O103" s="63"/>
    </row>
    <row r="104" spans="1:15" s="91" customFormat="1" ht="60" customHeight="1">
      <c r="A104" s="85">
        <v>94</v>
      </c>
      <c r="B104" s="86"/>
      <c r="C104" s="86"/>
      <c r="D104" s="87"/>
      <c r="E104" s="78"/>
      <c r="F104" s="88"/>
      <c r="G104" s="89"/>
      <c r="H104" s="89"/>
      <c r="I104" s="89"/>
      <c r="J104" s="90"/>
      <c r="K104" s="90"/>
      <c r="L104" s="74"/>
      <c r="M104" s="74"/>
      <c r="N104" s="63"/>
      <c r="O104" s="63"/>
    </row>
    <row r="105" spans="1:15" s="91" customFormat="1" ht="60" customHeight="1">
      <c r="A105" s="85">
        <v>95</v>
      </c>
      <c r="B105" s="86"/>
      <c r="C105" s="86"/>
      <c r="D105" s="87"/>
      <c r="E105" s="78"/>
      <c r="F105" s="88"/>
      <c r="G105" s="89"/>
      <c r="H105" s="89"/>
      <c r="I105" s="89"/>
      <c r="J105" s="90"/>
      <c r="K105" s="90"/>
      <c r="L105" s="74"/>
      <c r="M105" s="74"/>
      <c r="N105" s="63"/>
      <c r="O105" s="63"/>
    </row>
    <row r="106" spans="1:15" s="91" customFormat="1" ht="60" customHeight="1">
      <c r="A106" s="85">
        <v>96</v>
      </c>
      <c r="B106" s="86"/>
      <c r="C106" s="86"/>
      <c r="D106" s="87"/>
      <c r="E106" s="78"/>
      <c r="F106" s="88"/>
      <c r="G106" s="89"/>
      <c r="H106" s="89"/>
      <c r="I106" s="89"/>
      <c r="J106" s="90"/>
      <c r="K106" s="90"/>
      <c r="L106" s="74"/>
      <c r="M106" s="74"/>
      <c r="N106" s="63"/>
      <c r="O106" s="63"/>
    </row>
    <row r="107" spans="1:15" s="91" customFormat="1" ht="60" customHeight="1">
      <c r="A107" s="85">
        <v>97</v>
      </c>
      <c r="B107" s="86"/>
      <c r="C107" s="86"/>
      <c r="D107" s="87"/>
      <c r="E107" s="78"/>
      <c r="F107" s="88"/>
      <c r="G107" s="89"/>
      <c r="H107" s="89"/>
      <c r="I107" s="89"/>
      <c r="J107" s="90"/>
      <c r="K107" s="90"/>
      <c r="L107" s="74"/>
      <c r="M107" s="74"/>
      <c r="N107" s="63"/>
      <c r="O107" s="63"/>
    </row>
    <row r="108" spans="1:15" s="91" customFormat="1" ht="60" customHeight="1">
      <c r="A108" s="85">
        <v>98</v>
      </c>
      <c r="B108" s="86"/>
      <c r="C108" s="86"/>
      <c r="D108" s="87"/>
      <c r="E108" s="78"/>
      <c r="F108" s="88"/>
      <c r="G108" s="89"/>
      <c r="H108" s="89"/>
      <c r="I108" s="89"/>
      <c r="J108" s="90"/>
      <c r="K108" s="90"/>
      <c r="L108" s="74"/>
      <c r="M108" s="74"/>
      <c r="N108" s="63"/>
      <c r="O108" s="63"/>
    </row>
    <row r="109" spans="1:15" s="91" customFormat="1" ht="60" customHeight="1">
      <c r="A109" s="85">
        <v>99</v>
      </c>
      <c r="B109" s="86"/>
      <c r="C109" s="86"/>
      <c r="D109" s="87"/>
      <c r="E109" s="78"/>
      <c r="F109" s="88"/>
      <c r="G109" s="89"/>
      <c r="H109" s="89"/>
      <c r="I109" s="89"/>
      <c r="J109" s="90"/>
      <c r="K109" s="90"/>
      <c r="L109" s="74"/>
      <c r="M109" s="74"/>
      <c r="N109" s="63"/>
      <c r="O109" s="63"/>
    </row>
    <row r="110" spans="1:15" s="91" customFormat="1" ht="60" customHeight="1">
      <c r="A110" s="85">
        <v>100</v>
      </c>
      <c r="B110" s="86"/>
      <c r="C110" s="86"/>
      <c r="D110" s="87"/>
      <c r="E110" s="78"/>
      <c r="F110" s="88"/>
      <c r="G110" s="89"/>
      <c r="H110" s="89"/>
      <c r="I110" s="89"/>
      <c r="J110" s="90"/>
      <c r="K110" s="90"/>
      <c r="L110" s="74"/>
      <c r="M110" s="74"/>
      <c r="N110" s="63"/>
      <c r="O110" s="63"/>
    </row>
    <row r="111" spans="1:15" s="91" customFormat="1" ht="60" customHeight="1">
      <c r="A111" s="85">
        <v>101</v>
      </c>
      <c r="B111" s="86"/>
      <c r="C111" s="86"/>
      <c r="D111" s="87"/>
      <c r="E111" s="78"/>
      <c r="F111" s="88"/>
      <c r="G111" s="89"/>
      <c r="H111" s="89"/>
      <c r="I111" s="89"/>
      <c r="J111" s="90"/>
      <c r="K111" s="90"/>
      <c r="L111" s="74"/>
      <c r="M111" s="74"/>
      <c r="N111" s="63"/>
      <c r="O111" s="63"/>
    </row>
    <row r="112" spans="1:15" s="91" customFormat="1" ht="60" customHeight="1">
      <c r="A112" s="85">
        <v>102</v>
      </c>
      <c r="B112" s="86"/>
      <c r="C112" s="86"/>
      <c r="D112" s="87"/>
      <c r="E112" s="78"/>
      <c r="F112" s="88"/>
      <c r="G112" s="89"/>
      <c r="H112" s="89"/>
      <c r="I112" s="89"/>
      <c r="J112" s="90"/>
      <c r="K112" s="90"/>
      <c r="L112" s="74"/>
      <c r="M112" s="74"/>
      <c r="N112" s="63"/>
      <c r="O112" s="63"/>
    </row>
    <row r="113" spans="1:15" s="91" customFormat="1" ht="60" customHeight="1">
      <c r="A113" s="85">
        <v>103</v>
      </c>
      <c r="B113" s="86"/>
      <c r="C113" s="86"/>
      <c r="D113" s="87"/>
      <c r="E113" s="78"/>
      <c r="F113" s="88"/>
      <c r="G113" s="89"/>
      <c r="H113" s="89"/>
      <c r="I113" s="89"/>
      <c r="J113" s="90"/>
      <c r="K113" s="90"/>
      <c r="L113" s="74"/>
      <c r="M113" s="74"/>
      <c r="N113" s="63"/>
      <c r="O113" s="63"/>
    </row>
    <row r="114" spans="1:15" s="91" customFormat="1" ht="60" customHeight="1">
      <c r="A114" s="85">
        <v>104</v>
      </c>
      <c r="B114" s="86"/>
      <c r="C114" s="86"/>
      <c r="D114" s="87"/>
      <c r="E114" s="78"/>
      <c r="F114" s="88"/>
      <c r="G114" s="89"/>
      <c r="H114" s="89"/>
      <c r="I114" s="89"/>
      <c r="J114" s="90"/>
      <c r="K114" s="90"/>
      <c r="L114" s="74"/>
      <c r="M114" s="74"/>
      <c r="N114" s="63"/>
      <c r="O114" s="63"/>
    </row>
    <row r="115" spans="1:15" s="91" customFormat="1" ht="60" customHeight="1">
      <c r="A115" s="85">
        <v>105</v>
      </c>
      <c r="B115" s="86"/>
      <c r="C115" s="86"/>
      <c r="D115" s="87"/>
      <c r="E115" s="78"/>
      <c r="F115" s="88"/>
      <c r="G115" s="89"/>
      <c r="H115" s="89"/>
      <c r="I115" s="89"/>
      <c r="J115" s="90"/>
      <c r="K115" s="90"/>
      <c r="L115" s="74"/>
      <c r="M115" s="74"/>
      <c r="N115" s="63"/>
      <c r="O115" s="63"/>
    </row>
    <row r="116" spans="1:15" s="91" customFormat="1" ht="60" customHeight="1">
      <c r="A116" s="85">
        <v>106</v>
      </c>
      <c r="B116" s="86"/>
      <c r="C116" s="86"/>
      <c r="D116" s="87"/>
      <c r="E116" s="78"/>
      <c r="F116" s="88"/>
      <c r="G116" s="89"/>
      <c r="H116" s="89"/>
      <c r="I116" s="89"/>
      <c r="J116" s="90"/>
      <c r="K116" s="90"/>
      <c r="L116" s="74"/>
      <c r="M116" s="74"/>
      <c r="N116" s="63"/>
      <c r="O116" s="63"/>
    </row>
    <row r="117" spans="1:15" s="91" customFormat="1" ht="60" customHeight="1">
      <c r="A117" s="85">
        <v>107</v>
      </c>
      <c r="B117" s="86"/>
      <c r="C117" s="86"/>
      <c r="D117" s="87"/>
      <c r="E117" s="78"/>
      <c r="F117" s="88"/>
      <c r="G117" s="89"/>
      <c r="H117" s="89"/>
      <c r="I117" s="89"/>
      <c r="J117" s="90"/>
      <c r="K117" s="90"/>
      <c r="L117" s="74"/>
      <c r="M117" s="74"/>
      <c r="N117" s="63"/>
      <c r="O117" s="63"/>
    </row>
    <row r="118" spans="1:15" s="91" customFormat="1" ht="60" customHeight="1">
      <c r="A118" s="85">
        <v>108</v>
      </c>
      <c r="B118" s="86"/>
      <c r="C118" s="86"/>
      <c r="D118" s="87"/>
      <c r="E118" s="78"/>
      <c r="F118" s="88"/>
      <c r="G118" s="89"/>
      <c r="H118" s="89"/>
      <c r="I118" s="89"/>
      <c r="J118" s="90"/>
      <c r="K118" s="90"/>
      <c r="L118" s="74"/>
      <c r="M118" s="74"/>
      <c r="N118" s="63"/>
      <c r="O118" s="63"/>
    </row>
    <row r="119" spans="1:15" s="91" customFormat="1" ht="60" customHeight="1">
      <c r="A119" s="85">
        <v>109</v>
      </c>
      <c r="B119" s="86"/>
      <c r="C119" s="86"/>
      <c r="D119" s="87"/>
      <c r="E119" s="78"/>
      <c r="F119" s="88"/>
      <c r="G119" s="89"/>
      <c r="H119" s="89"/>
      <c r="I119" s="89"/>
      <c r="J119" s="90"/>
      <c r="K119" s="90"/>
      <c r="L119" s="74"/>
      <c r="M119" s="74"/>
      <c r="N119" s="63"/>
      <c r="O119" s="63"/>
    </row>
    <row r="120" spans="1:15" s="91" customFormat="1" ht="60" customHeight="1">
      <c r="A120" s="85">
        <v>110</v>
      </c>
      <c r="B120" s="86"/>
      <c r="C120" s="86"/>
      <c r="D120" s="87"/>
      <c r="E120" s="78"/>
      <c r="F120" s="88"/>
      <c r="G120" s="89"/>
      <c r="H120" s="89"/>
      <c r="I120" s="89"/>
      <c r="J120" s="90"/>
      <c r="K120" s="90"/>
      <c r="L120" s="74"/>
      <c r="M120" s="74"/>
      <c r="N120" s="63"/>
      <c r="O120" s="63"/>
    </row>
    <row r="121" spans="1:15" s="91" customFormat="1" ht="60" customHeight="1">
      <c r="A121" s="85">
        <v>111</v>
      </c>
      <c r="B121" s="86"/>
      <c r="C121" s="86"/>
      <c r="D121" s="87"/>
      <c r="E121" s="78"/>
      <c r="F121" s="88"/>
      <c r="G121" s="89"/>
      <c r="H121" s="89"/>
      <c r="I121" s="89"/>
      <c r="J121" s="90"/>
      <c r="K121" s="90"/>
      <c r="L121" s="74"/>
      <c r="M121" s="74"/>
      <c r="N121" s="63"/>
      <c r="O121" s="63"/>
    </row>
    <row r="122" spans="1:15" s="91" customFormat="1" ht="60" customHeight="1">
      <c r="A122" s="85">
        <v>112</v>
      </c>
      <c r="B122" s="86"/>
      <c r="C122" s="86"/>
      <c r="D122" s="87"/>
      <c r="E122" s="78"/>
      <c r="F122" s="88"/>
      <c r="G122" s="89"/>
      <c r="H122" s="89"/>
      <c r="I122" s="89"/>
      <c r="J122" s="90"/>
      <c r="K122" s="90"/>
      <c r="L122" s="74"/>
      <c r="M122" s="74"/>
      <c r="N122" s="63"/>
      <c r="O122" s="63"/>
    </row>
    <row r="123" spans="1:15" s="91" customFormat="1" ht="60" customHeight="1">
      <c r="A123" s="85">
        <v>113</v>
      </c>
      <c r="B123" s="86"/>
      <c r="C123" s="86"/>
      <c r="D123" s="87"/>
      <c r="E123" s="78"/>
      <c r="F123" s="88"/>
      <c r="G123" s="89"/>
      <c r="H123" s="89"/>
      <c r="I123" s="89"/>
      <c r="J123" s="90"/>
      <c r="K123" s="90"/>
      <c r="L123" s="74"/>
      <c r="M123" s="74"/>
      <c r="N123" s="63"/>
      <c r="O123" s="63"/>
    </row>
    <row r="124" spans="1:15" s="91" customFormat="1" ht="60" customHeight="1">
      <c r="A124" s="85">
        <v>114</v>
      </c>
      <c r="B124" s="86"/>
      <c r="C124" s="86"/>
      <c r="D124" s="87"/>
      <c r="E124" s="78"/>
      <c r="F124" s="88"/>
      <c r="G124" s="89"/>
      <c r="H124" s="89"/>
      <c r="I124" s="89"/>
      <c r="J124" s="90"/>
      <c r="K124" s="90"/>
      <c r="L124" s="74"/>
      <c r="M124" s="74"/>
      <c r="N124" s="63"/>
      <c r="O124" s="63"/>
    </row>
    <row r="125" spans="1:15" s="91" customFormat="1" ht="60" customHeight="1">
      <c r="A125" s="85">
        <v>115</v>
      </c>
      <c r="B125" s="86"/>
      <c r="C125" s="86"/>
      <c r="D125" s="87"/>
      <c r="E125" s="78"/>
      <c r="F125" s="88"/>
      <c r="G125" s="89"/>
      <c r="H125" s="89"/>
      <c r="I125" s="89"/>
      <c r="J125" s="90"/>
      <c r="K125" s="90"/>
      <c r="L125" s="74"/>
      <c r="M125" s="74"/>
      <c r="N125" s="63"/>
      <c r="O125" s="63"/>
    </row>
    <row r="126" spans="1:15" s="91" customFormat="1" ht="60" customHeight="1">
      <c r="A126" s="85">
        <v>116</v>
      </c>
      <c r="B126" s="86"/>
      <c r="C126" s="86"/>
      <c r="D126" s="87"/>
      <c r="E126" s="78"/>
      <c r="F126" s="88"/>
      <c r="G126" s="89"/>
      <c r="H126" s="89"/>
      <c r="I126" s="89"/>
      <c r="J126" s="90"/>
      <c r="K126" s="90"/>
      <c r="L126" s="74"/>
      <c r="M126" s="74"/>
      <c r="N126" s="63"/>
      <c r="O126" s="63"/>
    </row>
    <row r="127" spans="1:15" s="91" customFormat="1" ht="60" customHeight="1">
      <c r="A127" s="85">
        <v>117</v>
      </c>
      <c r="B127" s="86"/>
      <c r="C127" s="86"/>
      <c r="D127" s="87"/>
      <c r="E127" s="78"/>
      <c r="F127" s="88"/>
      <c r="G127" s="89"/>
      <c r="H127" s="89"/>
      <c r="I127" s="89"/>
      <c r="J127" s="90"/>
      <c r="K127" s="90"/>
      <c r="L127" s="74"/>
      <c r="M127" s="74"/>
      <c r="N127" s="63"/>
      <c r="O127" s="63"/>
    </row>
    <row r="128" spans="1:15" s="91" customFormat="1" ht="60" customHeight="1">
      <c r="A128" s="85">
        <v>118</v>
      </c>
      <c r="B128" s="86"/>
      <c r="C128" s="86"/>
      <c r="D128" s="87"/>
      <c r="E128" s="78"/>
      <c r="F128" s="88"/>
      <c r="G128" s="89"/>
      <c r="H128" s="89"/>
      <c r="I128" s="89"/>
      <c r="J128" s="90"/>
      <c r="K128" s="90"/>
      <c r="L128" s="74"/>
      <c r="M128" s="74"/>
      <c r="N128" s="63"/>
      <c r="O128" s="63"/>
    </row>
    <row r="129" spans="1:15" s="91" customFormat="1" ht="60" customHeight="1">
      <c r="A129" s="85">
        <v>119</v>
      </c>
      <c r="B129" s="86"/>
      <c r="C129" s="86"/>
      <c r="D129" s="87"/>
      <c r="E129" s="78"/>
      <c r="F129" s="88"/>
      <c r="G129" s="89"/>
      <c r="H129" s="89"/>
      <c r="I129" s="89"/>
      <c r="J129" s="90"/>
      <c r="K129" s="90"/>
      <c r="L129" s="74"/>
      <c r="M129" s="74"/>
      <c r="N129" s="63"/>
      <c r="O129" s="63"/>
    </row>
    <row r="130" spans="1:15" s="91" customFormat="1" ht="60" customHeight="1">
      <c r="A130" s="85">
        <v>120</v>
      </c>
      <c r="B130" s="86"/>
      <c r="C130" s="86"/>
      <c r="D130" s="87"/>
      <c r="E130" s="78"/>
      <c r="F130" s="88"/>
      <c r="G130" s="89"/>
      <c r="H130" s="89"/>
      <c r="I130" s="89"/>
      <c r="J130" s="90"/>
      <c r="K130" s="90"/>
      <c r="L130" s="74"/>
      <c r="M130" s="74"/>
      <c r="N130" s="63"/>
      <c r="O130" s="63"/>
    </row>
    <row r="131" spans="1:15" s="91" customFormat="1" ht="60" customHeight="1">
      <c r="A131" s="85">
        <v>121</v>
      </c>
      <c r="B131" s="86"/>
      <c r="C131" s="86"/>
      <c r="D131" s="87"/>
      <c r="E131" s="78"/>
      <c r="F131" s="88"/>
      <c r="G131" s="89"/>
      <c r="H131" s="89"/>
      <c r="I131" s="89"/>
      <c r="J131" s="90"/>
      <c r="K131" s="90"/>
      <c r="L131" s="74"/>
      <c r="M131" s="74"/>
      <c r="N131" s="63"/>
      <c r="O131" s="63"/>
    </row>
    <row r="132" spans="1:15" s="91" customFormat="1" ht="60" customHeight="1">
      <c r="A132" s="85">
        <v>122</v>
      </c>
      <c r="B132" s="86"/>
      <c r="C132" s="86"/>
      <c r="D132" s="87"/>
      <c r="E132" s="78"/>
      <c r="F132" s="88"/>
      <c r="G132" s="89"/>
      <c r="H132" s="89"/>
      <c r="I132" s="89"/>
      <c r="J132" s="90"/>
      <c r="K132" s="90"/>
      <c r="L132" s="74"/>
      <c r="M132" s="74"/>
      <c r="N132" s="63"/>
      <c r="O132" s="63"/>
    </row>
    <row r="133" spans="1:15" s="91" customFormat="1" ht="60" customHeight="1">
      <c r="A133" s="85">
        <v>123</v>
      </c>
      <c r="B133" s="86"/>
      <c r="C133" s="86"/>
      <c r="D133" s="87"/>
      <c r="E133" s="78"/>
      <c r="F133" s="88"/>
      <c r="G133" s="89"/>
      <c r="H133" s="89"/>
      <c r="I133" s="89"/>
      <c r="J133" s="90"/>
      <c r="K133" s="90"/>
      <c r="L133" s="74"/>
      <c r="M133" s="74"/>
      <c r="N133" s="63"/>
      <c r="O133" s="63"/>
    </row>
    <row r="134" spans="1:15" s="91" customFormat="1" ht="60" customHeight="1">
      <c r="A134" s="85">
        <v>124</v>
      </c>
      <c r="B134" s="86"/>
      <c r="C134" s="86"/>
      <c r="D134" s="87"/>
      <c r="E134" s="78"/>
      <c r="F134" s="88"/>
      <c r="G134" s="89"/>
      <c r="H134" s="89"/>
      <c r="I134" s="89"/>
      <c r="J134" s="90"/>
      <c r="K134" s="90"/>
      <c r="L134" s="74"/>
      <c r="M134" s="74"/>
      <c r="N134" s="63"/>
      <c r="O134" s="63"/>
    </row>
    <row r="135" spans="1:15" s="91" customFormat="1" ht="60" customHeight="1">
      <c r="A135" s="85">
        <v>125</v>
      </c>
      <c r="B135" s="86"/>
      <c r="C135" s="86"/>
      <c r="D135" s="87"/>
      <c r="E135" s="78"/>
      <c r="F135" s="88"/>
      <c r="G135" s="89"/>
      <c r="H135" s="89"/>
      <c r="I135" s="89"/>
      <c r="J135" s="90"/>
      <c r="K135" s="90"/>
      <c r="L135" s="74"/>
      <c r="M135" s="74"/>
      <c r="N135" s="63"/>
      <c r="O135" s="63"/>
    </row>
    <row r="136" spans="1:15" s="91" customFormat="1" ht="60" customHeight="1">
      <c r="A136" s="85">
        <v>126</v>
      </c>
      <c r="B136" s="86"/>
      <c r="C136" s="86"/>
      <c r="D136" s="87"/>
      <c r="E136" s="78"/>
      <c r="F136" s="88"/>
      <c r="G136" s="89"/>
      <c r="H136" s="89"/>
      <c r="I136" s="89"/>
      <c r="J136" s="90"/>
      <c r="K136" s="90"/>
      <c r="L136" s="74"/>
      <c r="M136" s="74"/>
      <c r="N136" s="63"/>
      <c r="O136" s="63"/>
    </row>
    <row r="137" spans="1:15" s="91" customFormat="1" ht="60" customHeight="1">
      <c r="A137" s="85">
        <v>127</v>
      </c>
      <c r="B137" s="86"/>
      <c r="C137" s="86"/>
      <c r="D137" s="87"/>
      <c r="E137" s="78"/>
      <c r="F137" s="88"/>
      <c r="G137" s="89"/>
      <c r="H137" s="89"/>
      <c r="I137" s="89"/>
      <c r="J137" s="90"/>
      <c r="K137" s="90"/>
      <c r="L137" s="74"/>
      <c r="M137" s="74"/>
      <c r="N137" s="63"/>
      <c r="O137" s="63"/>
    </row>
    <row r="138" spans="1:15" s="91" customFormat="1" ht="60" customHeight="1">
      <c r="A138" s="85">
        <v>128</v>
      </c>
      <c r="B138" s="86"/>
      <c r="C138" s="86"/>
      <c r="D138" s="87"/>
      <c r="E138" s="78"/>
      <c r="F138" s="88"/>
      <c r="G138" s="89"/>
      <c r="H138" s="89"/>
      <c r="I138" s="89"/>
      <c r="J138" s="90"/>
      <c r="K138" s="90"/>
      <c r="L138" s="74"/>
      <c r="M138" s="74"/>
      <c r="N138" s="63"/>
      <c r="O138" s="63"/>
    </row>
    <row r="139" spans="1:15" s="91" customFormat="1" ht="60" customHeight="1">
      <c r="A139" s="85">
        <v>129</v>
      </c>
      <c r="B139" s="86"/>
      <c r="C139" s="86"/>
      <c r="D139" s="87"/>
      <c r="E139" s="78"/>
      <c r="F139" s="88"/>
      <c r="G139" s="89"/>
      <c r="H139" s="89"/>
      <c r="I139" s="89"/>
      <c r="J139" s="90"/>
      <c r="K139" s="90"/>
      <c r="L139" s="74"/>
      <c r="M139" s="74"/>
      <c r="N139" s="63"/>
      <c r="O139" s="63"/>
    </row>
    <row r="140" spans="1:15" s="91" customFormat="1" ht="60" customHeight="1">
      <c r="A140" s="85">
        <v>130</v>
      </c>
      <c r="B140" s="86"/>
      <c r="C140" s="86"/>
      <c r="D140" s="87"/>
      <c r="E140" s="78"/>
      <c r="F140" s="88"/>
      <c r="G140" s="89"/>
      <c r="H140" s="89"/>
      <c r="I140" s="89"/>
      <c r="J140" s="90"/>
      <c r="K140" s="90"/>
      <c r="L140" s="74"/>
      <c r="M140" s="74"/>
      <c r="N140" s="63"/>
      <c r="O140" s="63"/>
    </row>
    <row r="141" spans="1:15" s="91" customFormat="1" ht="60" customHeight="1">
      <c r="A141" s="85">
        <v>131</v>
      </c>
      <c r="B141" s="86"/>
      <c r="C141" s="86"/>
      <c r="D141" s="87"/>
      <c r="E141" s="78"/>
      <c r="F141" s="88"/>
      <c r="G141" s="89"/>
      <c r="H141" s="89"/>
      <c r="I141" s="89"/>
      <c r="J141" s="90"/>
      <c r="K141" s="90"/>
      <c r="L141" s="74"/>
      <c r="M141" s="74"/>
      <c r="N141" s="63"/>
      <c r="O141" s="63"/>
    </row>
    <row r="142" spans="1:15" s="91" customFormat="1" ht="60" customHeight="1">
      <c r="A142" s="85">
        <v>132</v>
      </c>
      <c r="B142" s="86"/>
      <c r="C142" s="86"/>
      <c r="D142" s="87"/>
      <c r="E142" s="78"/>
      <c r="F142" s="88"/>
      <c r="G142" s="89"/>
      <c r="H142" s="89"/>
      <c r="I142" s="89"/>
      <c r="J142" s="90"/>
      <c r="K142" s="90"/>
      <c r="L142" s="74"/>
      <c r="M142" s="74"/>
      <c r="N142" s="63"/>
      <c r="O142" s="63"/>
    </row>
    <row r="143" spans="1:15" s="91" customFormat="1" ht="60" customHeight="1">
      <c r="A143" s="85">
        <v>133</v>
      </c>
      <c r="B143" s="86"/>
      <c r="C143" s="86"/>
      <c r="D143" s="87"/>
      <c r="E143" s="78"/>
      <c r="F143" s="88"/>
      <c r="G143" s="89"/>
      <c r="H143" s="89"/>
      <c r="I143" s="89"/>
      <c r="J143" s="90"/>
      <c r="K143" s="90"/>
      <c r="L143" s="74"/>
      <c r="M143" s="74"/>
      <c r="N143" s="63"/>
      <c r="O143" s="63"/>
    </row>
    <row r="144" spans="1:15" s="91" customFormat="1" ht="60" customHeight="1">
      <c r="A144" s="85">
        <v>134</v>
      </c>
      <c r="B144" s="86"/>
      <c r="C144" s="86"/>
      <c r="D144" s="87"/>
      <c r="E144" s="78"/>
      <c r="F144" s="88"/>
      <c r="G144" s="89"/>
      <c r="H144" s="89"/>
      <c r="I144" s="89"/>
      <c r="J144" s="90"/>
      <c r="K144" s="90"/>
      <c r="L144" s="74"/>
      <c r="M144" s="74"/>
      <c r="N144" s="63"/>
      <c r="O144" s="63"/>
    </row>
    <row r="145" spans="1:15" s="91" customFormat="1" ht="60" customHeight="1">
      <c r="A145" s="85">
        <v>135</v>
      </c>
      <c r="B145" s="86"/>
      <c r="C145" s="86"/>
      <c r="D145" s="87"/>
      <c r="E145" s="78"/>
      <c r="F145" s="88"/>
      <c r="G145" s="89"/>
      <c r="H145" s="89"/>
      <c r="I145" s="89"/>
      <c r="J145" s="90"/>
      <c r="K145" s="90"/>
      <c r="L145" s="74"/>
      <c r="M145" s="74"/>
      <c r="N145" s="63"/>
      <c r="O145" s="63"/>
    </row>
    <row r="146" spans="1:15" s="91" customFormat="1" ht="60" customHeight="1">
      <c r="A146" s="85">
        <v>136</v>
      </c>
      <c r="B146" s="86"/>
      <c r="C146" s="86"/>
      <c r="D146" s="87"/>
      <c r="E146" s="78"/>
      <c r="F146" s="88"/>
      <c r="G146" s="89"/>
      <c r="H146" s="89"/>
      <c r="I146" s="89"/>
      <c r="J146" s="90"/>
      <c r="K146" s="90"/>
      <c r="L146" s="74"/>
      <c r="M146" s="74"/>
      <c r="N146" s="63"/>
      <c r="O146" s="63"/>
    </row>
    <row r="147" spans="1:15" s="91" customFormat="1" ht="60" customHeight="1">
      <c r="A147" s="85">
        <v>137</v>
      </c>
      <c r="B147" s="86"/>
      <c r="C147" s="86"/>
      <c r="D147" s="87"/>
      <c r="E147" s="78"/>
      <c r="F147" s="88"/>
      <c r="G147" s="89"/>
      <c r="H147" s="89"/>
      <c r="I147" s="89"/>
      <c r="J147" s="90"/>
      <c r="K147" s="90"/>
      <c r="L147" s="74"/>
      <c r="M147" s="74"/>
      <c r="N147" s="63"/>
      <c r="O147" s="63"/>
    </row>
    <row r="148" spans="1:15" s="91" customFormat="1" ht="60" customHeight="1">
      <c r="A148" s="85">
        <v>138</v>
      </c>
      <c r="B148" s="86"/>
      <c r="C148" s="86"/>
      <c r="D148" s="87"/>
      <c r="E148" s="78"/>
      <c r="F148" s="88"/>
      <c r="G148" s="89"/>
      <c r="H148" s="89"/>
      <c r="I148" s="89"/>
      <c r="J148" s="90"/>
      <c r="K148" s="90"/>
      <c r="L148" s="74"/>
      <c r="M148" s="74"/>
      <c r="N148" s="63"/>
      <c r="O148" s="63"/>
    </row>
    <row r="149" spans="1:15" s="91" customFormat="1" ht="60" customHeight="1">
      <c r="A149" s="85">
        <v>139</v>
      </c>
      <c r="B149" s="86"/>
      <c r="C149" s="86"/>
      <c r="D149" s="87"/>
      <c r="E149" s="78"/>
      <c r="F149" s="88"/>
      <c r="G149" s="89"/>
      <c r="H149" s="89"/>
      <c r="I149" s="89"/>
      <c r="J149" s="90"/>
      <c r="K149" s="90"/>
      <c r="L149" s="74"/>
      <c r="M149" s="74"/>
      <c r="N149" s="63"/>
      <c r="O149" s="63"/>
    </row>
    <row r="150" spans="1:15" s="91" customFormat="1" ht="60" customHeight="1">
      <c r="A150" s="85">
        <v>140</v>
      </c>
      <c r="B150" s="86"/>
      <c r="C150" s="86"/>
      <c r="D150" s="87"/>
      <c r="E150" s="78"/>
      <c r="F150" s="88"/>
      <c r="G150" s="89"/>
      <c r="H150" s="89"/>
      <c r="I150" s="89"/>
      <c r="J150" s="90"/>
      <c r="K150" s="90"/>
      <c r="L150" s="74"/>
      <c r="M150" s="74"/>
      <c r="N150" s="63"/>
      <c r="O150" s="63"/>
    </row>
    <row r="151" spans="1:15" s="91" customFormat="1" ht="60" customHeight="1">
      <c r="A151" s="85">
        <v>141</v>
      </c>
      <c r="B151" s="86"/>
      <c r="C151" s="86"/>
      <c r="D151" s="87"/>
      <c r="E151" s="78"/>
      <c r="F151" s="88"/>
      <c r="G151" s="89"/>
      <c r="H151" s="89"/>
      <c r="I151" s="89"/>
      <c r="J151" s="90"/>
      <c r="K151" s="90"/>
      <c r="L151" s="74"/>
      <c r="M151" s="74"/>
      <c r="N151" s="63"/>
      <c r="O151" s="63"/>
    </row>
    <row r="152" spans="1:15" s="91" customFormat="1" ht="60" customHeight="1">
      <c r="A152" s="85">
        <v>142</v>
      </c>
      <c r="B152" s="86"/>
      <c r="C152" s="86"/>
      <c r="D152" s="87"/>
      <c r="E152" s="78"/>
      <c r="F152" s="88"/>
      <c r="G152" s="89"/>
      <c r="H152" s="89"/>
      <c r="I152" s="89"/>
      <c r="J152" s="90"/>
      <c r="K152" s="90"/>
      <c r="L152" s="74"/>
      <c r="M152" s="74"/>
      <c r="N152" s="63"/>
      <c r="O152" s="63"/>
    </row>
    <row r="153" spans="1:15" s="91" customFormat="1" ht="60" customHeight="1">
      <c r="A153" s="85">
        <v>143</v>
      </c>
      <c r="B153" s="86"/>
      <c r="C153" s="86"/>
      <c r="D153" s="87"/>
      <c r="E153" s="78"/>
      <c r="F153" s="88"/>
      <c r="G153" s="89"/>
      <c r="H153" s="89"/>
      <c r="I153" s="89"/>
      <c r="J153" s="90"/>
      <c r="K153" s="90"/>
      <c r="L153" s="74"/>
      <c r="M153" s="74"/>
      <c r="N153" s="63"/>
      <c r="O153" s="63"/>
    </row>
    <row r="154" spans="1:15" s="91" customFormat="1" ht="60" customHeight="1">
      <c r="A154" s="85">
        <v>144</v>
      </c>
      <c r="B154" s="86"/>
      <c r="C154" s="86"/>
      <c r="D154" s="87"/>
      <c r="E154" s="78"/>
      <c r="F154" s="88"/>
      <c r="G154" s="89"/>
      <c r="H154" s="89"/>
      <c r="I154" s="89"/>
      <c r="J154" s="90"/>
      <c r="K154" s="90"/>
      <c r="L154" s="74"/>
      <c r="M154" s="74"/>
      <c r="N154" s="63"/>
      <c r="O154" s="63"/>
    </row>
    <row r="155" spans="1:15" s="91" customFormat="1" ht="60" customHeight="1">
      <c r="A155" s="85">
        <v>145</v>
      </c>
      <c r="B155" s="86"/>
      <c r="C155" s="86"/>
      <c r="D155" s="87"/>
      <c r="E155" s="78"/>
      <c r="F155" s="88"/>
      <c r="G155" s="89"/>
      <c r="H155" s="89"/>
      <c r="I155" s="89"/>
      <c r="J155" s="90"/>
      <c r="K155" s="90"/>
      <c r="L155" s="74"/>
      <c r="M155" s="74"/>
      <c r="N155" s="63"/>
      <c r="O155" s="63"/>
    </row>
    <row r="156" spans="1:15" s="91" customFormat="1" ht="60" customHeight="1">
      <c r="A156" s="85">
        <v>146</v>
      </c>
      <c r="B156" s="86"/>
      <c r="C156" s="86"/>
      <c r="D156" s="87"/>
      <c r="E156" s="78"/>
      <c r="F156" s="88"/>
      <c r="G156" s="89"/>
      <c r="H156" s="89"/>
      <c r="I156" s="89"/>
      <c r="J156" s="90"/>
      <c r="K156" s="90"/>
      <c r="L156" s="74"/>
      <c r="M156" s="74"/>
      <c r="N156" s="63"/>
      <c r="O156" s="63"/>
    </row>
    <row r="157" spans="1:15" s="91" customFormat="1" ht="60" customHeight="1">
      <c r="A157" s="85">
        <v>147</v>
      </c>
      <c r="B157" s="86"/>
      <c r="C157" s="86"/>
      <c r="D157" s="87"/>
      <c r="E157" s="78"/>
      <c r="F157" s="88"/>
      <c r="G157" s="89"/>
      <c r="H157" s="89"/>
      <c r="I157" s="89"/>
      <c r="J157" s="90"/>
      <c r="K157" s="90"/>
      <c r="L157" s="74"/>
      <c r="M157" s="74"/>
      <c r="N157" s="63"/>
      <c r="O157" s="63"/>
    </row>
    <row r="158" spans="1:15" s="91" customFormat="1" ht="60" customHeight="1">
      <c r="A158" s="85">
        <v>148</v>
      </c>
      <c r="B158" s="86"/>
      <c r="C158" s="86"/>
      <c r="D158" s="87"/>
      <c r="E158" s="78"/>
      <c r="F158" s="88"/>
      <c r="G158" s="89"/>
      <c r="H158" s="89"/>
      <c r="I158" s="89"/>
      <c r="J158" s="90"/>
      <c r="K158" s="90"/>
      <c r="L158" s="74"/>
      <c r="M158" s="74"/>
      <c r="N158" s="63"/>
      <c r="O158" s="63"/>
    </row>
    <row r="159" spans="1:15" s="91" customFormat="1" ht="60" customHeight="1">
      <c r="A159" s="85">
        <v>149</v>
      </c>
      <c r="B159" s="86"/>
      <c r="C159" s="86"/>
      <c r="D159" s="87"/>
      <c r="E159" s="78"/>
      <c r="F159" s="88"/>
      <c r="G159" s="89"/>
      <c r="H159" s="89"/>
      <c r="I159" s="89"/>
      <c r="J159" s="90"/>
      <c r="K159" s="90"/>
      <c r="L159" s="74"/>
      <c r="M159" s="74"/>
      <c r="N159" s="63"/>
      <c r="O159" s="63"/>
    </row>
    <row r="160" spans="1:15" s="91" customFormat="1" ht="60" customHeight="1">
      <c r="A160" s="85">
        <v>150</v>
      </c>
      <c r="B160" s="86"/>
      <c r="C160" s="86"/>
      <c r="D160" s="87"/>
      <c r="E160" s="78"/>
      <c r="F160" s="88"/>
      <c r="G160" s="89"/>
      <c r="H160" s="89"/>
      <c r="I160" s="89"/>
      <c r="J160" s="90"/>
      <c r="K160" s="90"/>
      <c r="L160" s="74"/>
      <c r="M160" s="74"/>
      <c r="N160" s="63"/>
      <c r="O160" s="63"/>
    </row>
    <row r="161" spans="1:23" ht="21.75" customHeight="1">
      <c r="A161" s="331"/>
      <c r="B161" s="331"/>
      <c r="C161" s="331"/>
      <c r="D161" s="331"/>
      <c r="E161" s="331"/>
      <c r="F161" s="331"/>
      <c r="G161" s="331"/>
      <c r="H161" s="331"/>
      <c r="I161" s="331"/>
      <c r="J161" s="331"/>
      <c r="K161" s="331"/>
      <c r="L161" s="331"/>
      <c r="M161" s="331"/>
      <c r="N161" s="331"/>
      <c r="O161" s="331"/>
    </row>
    <row r="162" spans="1:23" s="15" customFormat="1" ht="21.75" customHeight="1">
      <c r="A162" s="336" t="s">
        <v>76</v>
      </c>
      <c r="B162" s="336"/>
      <c r="C162" s="336"/>
      <c r="D162" s="336"/>
      <c r="E162" s="336"/>
      <c r="F162" s="204" t="s">
        <v>16</v>
      </c>
      <c r="G162" s="337"/>
      <c r="H162" s="337"/>
      <c r="I162" s="337"/>
      <c r="J162" s="337"/>
      <c r="K162" s="337"/>
      <c r="L162" s="337"/>
      <c r="M162" s="337"/>
      <c r="N162" s="337"/>
      <c r="O162" s="205"/>
      <c r="P162" s="328"/>
      <c r="Q162" s="328"/>
      <c r="R162" s="328"/>
      <c r="S162" s="328"/>
      <c r="T162" s="328"/>
      <c r="U162" s="328"/>
      <c r="V162" s="328"/>
      <c r="W162" s="328"/>
    </row>
    <row r="163" spans="1:23" ht="84" customHeight="1">
      <c r="A163" s="322" t="s">
        <v>149</v>
      </c>
      <c r="B163" s="322"/>
      <c r="C163" s="323"/>
      <c r="D163" s="324"/>
      <c r="E163" s="325"/>
      <c r="F163" s="326" t="s">
        <v>7</v>
      </c>
      <c r="G163" s="327"/>
      <c r="H163" s="323"/>
      <c r="I163" s="324"/>
      <c r="J163" s="324"/>
      <c r="K163" s="324"/>
      <c r="L163" s="324"/>
      <c r="M163" s="324"/>
      <c r="N163" s="324"/>
      <c r="O163" s="325"/>
      <c r="P163" s="320"/>
      <c r="Q163" s="320"/>
      <c r="R163" s="321"/>
      <c r="S163" s="321"/>
      <c r="T163" s="321"/>
      <c r="U163" s="321"/>
      <c r="V163" s="321"/>
      <c r="W163" s="321"/>
    </row>
    <row r="164" spans="1:23" ht="93.75" customHeight="1">
      <c r="A164" s="322" t="s">
        <v>22</v>
      </c>
      <c r="B164" s="322"/>
      <c r="C164" s="323"/>
      <c r="D164" s="324"/>
      <c r="E164" s="325"/>
      <c r="F164" s="326" t="s">
        <v>6</v>
      </c>
      <c r="G164" s="327"/>
      <c r="H164" s="323"/>
      <c r="I164" s="324"/>
      <c r="J164" s="324"/>
      <c r="K164" s="324"/>
      <c r="L164" s="324"/>
      <c r="M164" s="324"/>
      <c r="N164" s="324"/>
      <c r="O164" s="325"/>
      <c r="P164" s="320"/>
      <c r="Q164" s="320"/>
      <c r="R164" s="321"/>
      <c r="S164" s="321"/>
      <c r="T164" s="321"/>
      <c r="U164" s="321"/>
      <c r="V164" s="321"/>
      <c r="W164" s="321"/>
    </row>
    <row r="165" spans="1:23" ht="138" customHeight="1">
      <c r="A165" s="322" t="s">
        <v>150</v>
      </c>
      <c r="B165" s="322"/>
      <c r="C165" s="323"/>
      <c r="D165" s="324"/>
      <c r="E165" s="325"/>
      <c r="F165" s="326" t="s">
        <v>20</v>
      </c>
      <c r="G165" s="327"/>
      <c r="H165" s="323"/>
      <c r="I165" s="324"/>
      <c r="J165" s="324"/>
      <c r="K165" s="324"/>
      <c r="L165" s="324"/>
      <c r="M165" s="324"/>
      <c r="N165" s="324"/>
      <c r="O165" s="325"/>
      <c r="P165" s="320"/>
      <c r="Q165" s="320"/>
      <c r="R165" s="321"/>
      <c r="S165" s="321"/>
      <c r="T165" s="321"/>
      <c r="U165" s="321"/>
      <c r="V165" s="321"/>
      <c r="W165" s="321"/>
    </row>
  </sheetData>
  <mergeCells count="39">
    <mergeCell ref="A3:O3"/>
    <mergeCell ref="L1:O1"/>
    <mergeCell ref="A2:O2"/>
    <mergeCell ref="C163:E163"/>
    <mergeCell ref="C164:E164"/>
    <mergeCell ref="A4:B4"/>
    <mergeCell ref="C4:H4"/>
    <mergeCell ref="A5:B5"/>
    <mergeCell ref="C5:H5"/>
    <mergeCell ref="A8:B8"/>
    <mergeCell ref="A162:E162"/>
    <mergeCell ref="F162:O162"/>
    <mergeCell ref="F163:G163"/>
    <mergeCell ref="F164:G164"/>
    <mergeCell ref="H163:O163"/>
    <mergeCell ref="P162:W162"/>
    <mergeCell ref="I4:O6"/>
    <mergeCell ref="A6:B6"/>
    <mergeCell ref="C6:H6"/>
    <mergeCell ref="P164:Q164"/>
    <mergeCell ref="R164:W164"/>
    <mergeCell ref="A161:O161"/>
    <mergeCell ref="A163:B163"/>
    <mergeCell ref="A7:B7"/>
    <mergeCell ref="C7:H7"/>
    <mergeCell ref="M7:O7"/>
    <mergeCell ref="I7:L7"/>
    <mergeCell ref="A9:O9"/>
    <mergeCell ref="C8:O8"/>
    <mergeCell ref="P165:Q165"/>
    <mergeCell ref="R165:W165"/>
    <mergeCell ref="P163:Q163"/>
    <mergeCell ref="R163:W163"/>
    <mergeCell ref="A165:B165"/>
    <mergeCell ref="A164:B164"/>
    <mergeCell ref="C165:E165"/>
    <mergeCell ref="F165:G165"/>
    <mergeCell ref="H164:O164"/>
    <mergeCell ref="H165:O165"/>
  </mergeCells>
  <phoneticPr fontId="16" type="noConversion"/>
  <conditionalFormatting sqref="E42:E105">
    <cfRule type="duplicateValues" dxfId="87" priority="9"/>
    <cfRule type="duplicateValues" dxfId="86" priority="10"/>
    <cfRule type="duplicateValues" dxfId="85" priority="11"/>
    <cfRule type="duplicateValues" dxfId="84" priority="12"/>
  </conditionalFormatting>
  <conditionalFormatting sqref="E42:E105">
    <cfRule type="duplicateValues" dxfId="83" priority="13"/>
  </conditionalFormatting>
  <conditionalFormatting sqref="E42:E105">
    <cfRule type="duplicateValues" dxfId="82" priority="14"/>
    <cfRule type="duplicateValues" dxfId="81" priority="15"/>
    <cfRule type="duplicateValues" dxfId="80" priority="16"/>
  </conditionalFormatting>
  <conditionalFormatting sqref="E107:E160">
    <cfRule type="duplicateValues" dxfId="79" priority="3204"/>
    <cfRule type="duplicateValues" dxfId="78" priority="3205"/>
    <cfRule type="duplicateValues" dxfId="77" priority="3206"/>
    <cfRule type="duplicateValues" dxfId="76" priority="3207"/>
  </conditionalFormatting>
  <conditionalFormatting sqref="E107:E160">
    <cfRule type="duplicateValues" dxfId="75" priority="3208"/>
  </conditionalFormatting>
  <conditionalFormatting sqref="E107:E160">
    <cfRule type="duplicateValues" dxfId="74" priority="3209"/>
    <cfRule type="duplicateValues" dxfId="73" priority="3210"/>
    <cfRule type="duplicateValues" dxfId="72" priority="3211"/>
  </conditionalFormatting>
  <conditionalFormatting sqref="E12:E40">
    <cfRule type="duplicateValues" dxfId="71" priority="1"/>
    <cfRule type="duplicateValues" dxfId="70" priority="2"/>
    <cfRule type="duplicateValues" dxfId="69" priority="3"/>
    <cfRule type="duplicateValues" dxfId="68" priority="4"/>
  </conditionalFormatting>
  <conditionalFormatting sqref="E12:E40">
    <cfRule type="duplicateValues" dxfId="67" priority="5"/>
  </conditionalFormatting>
  <conditionalFormatting sqref="E12:E40">
    <cfRule type="duplicateValues" dxfId="66" priority="6"/>
    <cfRule type="duplicateValues" dxfId="65" priority="7"/>
    <cfRule type="duplicateValues" dxfId="64" priority="8"/>
  </conditionalFormatting>
  <pageMargins left="0.27" right="0.16" top="0.77" bottom="0.16" header="0.17" footer="0.16"/>
  <pageSetup paperSize="9" scale="50" orientation="landscape" r:id="rId1"/>
  <headerFooter>
    <oddHeader>&amp;R&amp;"-,Bold"&amp;14&amp;P of 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52CE-F57A-495B-8C30-4F5FA623549C}">
  <sheetPr>
    <tabColor rgb="FF3366CC"/>
  </sheetPr>
  <dimension ref="A1:C155"/>
  <sheetViews>
    <sheetView view="pageBreakPreview" zoomScaleNormal="100" zoomScaleSheetLayoutView="100" workbookViewId="0">
      <pane xSplit="1" ySplit="3" topLeftCell="B145" activePane="bottomRight" state="frozen"/>
      <selection pane="topRight" activeCell="B1" sqref="B1"/>
      <selection pane="bottomLeft" activeCell="A4" sqref="A4"/>
      <selection pane="bottomRight" activeCell="C1" sqref="C1"/>
    </sheetView>
  </sheetViews>
  <sheetFormatPr defaultColWidth="9.109375" defaultRowHeight="13.8"/>
  <cols>
    <col min="1" max="1" width="9.109375" style="1"/>
    <col min="2" max="2" width="19.33203125" style="131" customWidth="1"/>
    <col min="3" max="3" width="25.88671875" style="1" customWidth="1"/>
    <col min="4" max="4" width="6.33203125" style="1" customWidth="1"/>
    <col min="5" max="16384" width="9.109375" style="1"/>
  </cols>
  <sheetData>
    <row r="1" spans="1:3" ht="15.6">
      <c r="A1" s="338" t="s">
        <v>82</v>
      </c>
      <c r="B1" s="338"/>
      <c r="C1" s="153" t="str">
        <f>KEY!C6</f>
        <v>SLTS/FN/26//JAN/01</v>
      </c>
    </row>
    <row r="2" spans="1:3" ht="23.25" customHeight="1">
      <c r="A2" s="267" t="s">
        <v>124</v>
      </c>
      <c r="B2" s="267"/>
      <c r="C2" s="267"/>
    </row>
    <row r="3" spans="1:3" ht="15.6">
      <c r="A3" s="130" t="s">
        <v>55</v>
      </c>
      <c r="B3" s="130" t="s">
        <v>123</v>
      </c>
      <c r="C3" s="130" t="s">
        <v>105</v>
      </c>
    </row>
    <row r="4" spans="1:3">
      <c r="A4" s="93">
        <v>1</v>
      </c>
      <c r="B4" s="93">
        <f>BOM!C6</f>
        <v>0</v>
      </c>
      <c r="C4" s="138">
        <f>BOM!F6</f>
        <v>0</v>
      </c>
    </row>
    <row r="5" spans="1:3">
      <c r="A5" s="93">
        <v>2</v>
      </c>
      <c r="B5" s="93">
        <f>BOM!C7</f>
        <v>0</v>
      </c>
      <c r="C5" s="138">
        <f>BOM!F7</f>
        <v>0</v>
      </c>
    </row>
    <row r="6" spans="1:3">
      <c r="A6" s="93">
        <v>3</v>
      </c>
      <c r="B6" s="93">
        <f>BOM!C8</f>
        <v>0</v>
      </c>
      <c r="C6" s="138">
        <f>BOM!F8</f>
        <v>0</v>
      </c>
    </row>
    <row r="7" spans="1:3">
      <c r="A7" s="93">
        <v>4</v>
      </c>
      <c r="B7" s="93">
        <f>BOM!C9</f>
        <v>0</v>
      </c>
      <c r="C7" s="138">
        <f>BOM!F9</f>
        <v>0</v>
      </c>
    </row>
    <row r="8" spans="1:3">
      <c r="A8" s="93">
        <v>5</v>
      </c>
      <c r="B8" s="93">
        <f>BOM!C10</f>
        <v>0</v>
      </c>
      <c r="C8" s="138">
        <f>BOM!F10</f>
        <v>0</v>
      </c>
    </row>
    <row r="9" spans="1:3">
      <c r="A9" s="93">
        <v>6</v>
      </c>
      <c r="B9" s="93">
        <f>BOM!C11</f>
        <v>0</v>
      </c>
      <c r="C9" s="138">
        <f>BOM!F11</f>
        <v>0</v>
      </c>
    </row>
    <row r="10" spans="1:3">
      <c r="A10" s="93">
        <v>7</v>
      </c>
      <c r="B10" s="93">
        <f>BOM!C12</f>
        <v>0</v>
      </c>
      <c r="C10" s="138">
        <f>BOM!F12</f>
        <v>0</v>
      </c>
    </row>
    <row r="11" spans="1:3">
      <c r="A11" s="93">
        <v>8</v>
      </c>
      <c r="B11" s="93">
        <f>BOM!C13</f>
        <v>0</v>
      </c>
      <c r="C11" s="138">
        <f>BOM!F13</f>
        <v>0</v>
      </c>
    </row>
    <row r="12" spans="1:3">
      <c r="A12" s="93">
        <v>9</v>
      </c>
      <c r="B12" s="93">
        <f>BOM!C14</f>
        <v>0</v>
      </c>
      <c r="C12" s="138">
        <f>BOM!F14</f>
        <v>0</v>
      </c>
    </row>
    <row r="13" spans="1:3">
      <c r="A13" s="93">
        <v>10</v>
      </c>
      <c r="B13" s="93">
        <f>BOM!C15</f>
        <v>0</v>
      </c>
      <c r="C13" s="138">
        <f>BOM!F15</f>
        <v>0</v>
      </c>
    </row>
    <row r="14" spans="1:3">
      <c r="A14" s="93">
        <v>11</v>
      </c>
      <c r="B14" s="93">
        <f>BOM!C16</f>
        <v>0</v>
      </c>
      <c r="C14" s="138">
        <f>BOM!F16</f>
        <v>0</v>
      </c>
    </row>
    <row r="15" spans="1:3">
      <c r="A15" s="93">
        <v>12</v>
      </c>
      <c r="B15" s="93">
        <f>BOM!C17</f>
        <v>0</v>
      </c>
      <c r="C15" s="138">
        <f>BOM!F17</f>
        <v>0</v>
      </c>
    </row>
    <row r="16" spans="1:3">
      <c r="A16" s="93">
        <v>13</v>
      </c>
      <c r="B16" s="93">
        <f>BOM!C18</f>
        <v>0</v>
      </c>
      <c r="C16" s="138">
        <f>BOM!F18</f>
        <v>0</v>
      </c>
    </row>
    <row r="17" spans="1:3">
      <c r="A17" s="93">
        <v>14</v>
      </c>
      <c r="B17" s="93">
        <f>BOM!C19</f>
        <v>0</v>
      </c>
      <c r="C17" s="138">
        <f>BOM!F19</f>
        <v>0</v>
      </c>
    </row>
    <row r="18" spans="1:3">
      <c r="A18" s="93">
        <v>15</v>
      </c>
      <c r="B18" s="93">
        <f>BOM!C20</f>
        <v>0</v>
      </c>
      <c r="C18" s="138">
        <f>BOM!F20</f>
        <v>0</v>
      </c>
    </row>
    <row r="19" spans="1:3">
      <c r="A19" s="93">
        <v>16</v>
      </c>
      <c r="B19" s="93">
        <f>BOM!C21</f>
        <v>0</v>
      </c>
      <c r="C19" s="138">
        <f>BOM!F21</f>
        <v>0</v>
      </c>
    </row>
    <row r="20" spans="1:3">
      <c r="A20" s="93">
        <v>17</v>
      </c>
      <c r="B20" s="93">
        <f>BOM!C22</f>
        <v>0</v>
      </c>
      <c r="C20" s="138">
        <f>BOM!F22</f>
        <v>0</v>
      </c>
    </row>
    <row r="21" spans="1:3">
      <c r="A21" s="93">
        <v>18</v>
      </c>
      <c r="B21" s="93">
        <f>BOM!C23</f>
        <v>0</v>
      </c>
      <c r="C21" s="138">
        <f>BOM!F23</f>
        <v>0</v>
      </c>
    </row>
    <row r="22" spans="1:3">
      <c r="A22" s="93">
        <v>19</v>
      </c>
      <c r="B22" s="93">
        <f>BOM!C24</f>
        <v>0</v>
      </c>
      <c r="C22" s="138">
        <f>BOM!F24</f>
        <v>0</v>
      </c>
    </row>
    <row r="23" spans="1:3">
      <c r="A23" s="93">
        <v>20</v>
      </c>
      <c r="B23" s="93">
        <f>BOM!C25</f>
        <v>0</v>
      </c>
      <c r="C23" s="138">
        <f>BOM!F25</f>
        <v>0</v>
      </c>
    </row>
    <row r="24" spans="1:3">
      <c r="A24" s="93">
        <v>21</v>
      </c>
      <c r="B24" s="93">
        <f>BOM!C26</f>
        <v>0</v>
      </c>
      <c r="C24" s="138">
        <f>BOM!F26</f>
        <v>0</v>
      </c>
    </row>
    <row r="25" spans="1:3">
      <c r="A25" s="93">
        <v>22</v>
      </c>
      <c r="B25" s="93">
        <f>BOM!C27</f>
        <v>0</v>
      </c>
      <c r="C25" s="138">
        <f>BOM!F27</f>
        <v>0</v>
      </c>
    </row>
    <row r="26" spans="1:3">
      <c r="A26" s="93">
        <v>23</v>
      </c>
      <c r="B26" s="93">
        <f>BOM!C28</f>
        <v>0</v>
      </c>
      <c r="C26" s="138">
        <f>BOM!F28</f>
        <v>0</v>
      </c>
    </row>
    <row r="27" spans="1:3">
      <c r="A27" s="93">
        <v>24</v>
      </c>
      <c r="B27" s="93">
        <f>BOM!C29</f>
        <v>0</v>
      </c>
      <c r="C27" s="138">
        <f>BOM!F29</f>
        <v>0</v>
      </c>
    </row>
    <row r="28" spans="1:3">
      <c r="A28" s="93">
        <v>25</v>
      </c>
      <c r="B28" s="93">
        <f>BOM!C30</f>
        <v>0</v>
      </c>
      <c r="C28" s="138">
        <f>BOM!F30</f>
        <v>0</v>
      </c>
    </row>
    <row r="29" spans="1:3">
      <c r="A29" s="93">
        <v>26</v>
      </c>
      <c r="B29" s="93">
        <f>BOM!C31</f>
        <v>0</v>
      </c>
      <c r="C29" s="138">
        <f>BOM!F31</f>
        <v>0</v>
      </c>
    </row>
    <row r="30" spans="1:3">
      <c r="A30" s="93">
        <v>27</v>
      </c>
      <c r="B30" s="93">
        <f>BOM!C32</f>
        <v>0</v>
      </c>
      <c r="C30" s="138">
        <f>BOM!F32</f>
        <v>0</v>
      </c>
    </row>
    <row r="31" spans="1:3">
      <c r="A31" s="93">
        <v>28</v>
      </c>
      <c r="B31" s="93">
        <f>BOM!C33</f>
        <v>0</v>
      </c>
      <c r="C31" s="138">
        <f>BOM!F33</f>
        <v>0</v>
      </c>
    </row>
    <row r="32" spans="1:3">
      <c r="A32" s="93">
        <v>29</v>
      </c>
      <c r="B32" s="93">
        <f>BOM!C34</f>
        <v>0</v>
      </c>
      <c r="C32" s="138">
        <f>BOM!F34</f>
        <v>0</v>
      </c>
    </row>
    <row r="33" spans="1:3">
      <c r="A33" s="93">
        <v>30</v>
      </c>
      <c r="B33" s="93">
        <f>BOM!C35</f>
        <v>0</v>
      </c>
      <c r="C33" s="138">
        <f>BOM!F35</f>
        <v>0</v>
      </c>
    </row>
    <row r="34" spans="1:3">
      <c r="A34" s="93">
        <v>31</v>
      </c>
      <c r="B34" s="93">
        <f>BOM!C36</f>
        <v>0</v>
      </c>
      <c r="C34" s="138">
        <f>BOM!F36</f>
        <v>0</v>
      </c>
    </row>
    <row r="35" spans="1:3">
      <c r="A35" s="93">
        <v>32</v>
      </c>
      <c r="B35" s="93">
        <f>BOM!C37</f>
        <v>0</v>
      </c>
      <c r="C35" s="138">
        <f>BOM!F37</f>
        <v>0</v>
      </c>
    </row>
    <row r="36" spans="1:3">
      <c r="A36" s="93">
        <v>33</v>
      </c>
      <c r="B36" s="93">
        <f>BOM!C38</f>
        <v>0</v>
      </c>
      <c r="C36" s="138">
        <f>BOM!F38</f>
        <v>0</v>
      </c>
    </row>
    <row r="37" spans="1:3">
      <c r="A37" s="93">
        <v>34</v>
      </c>
      <c r="B37" s="93">
        <f>BOM!C39</f>
        <v>0</v>
      </c>
      <c r="C37" s="138">
        <f>BOM!F39</f>
        <v>0</v>
      </c>
    </row>
    <row r="38" spans="1:3">
      <c r="A38" s="93">
        <v>35</v>
      </c>
      <c r="B38" s="93">
        <f>BOM!C40</f>
        <v>0</v>
      </c>
      <c r="C38" s="138">
        <f>BOM!F40</f>
        <v>0</v>
      </c>
    </row>
    <row r="39" spans="1:3">
      <c r="A39" s="93">
        <v>36</v>
      </c>
      <c r="B39" s="93">
        <f>BOM!C41</f>
        <v>0</v>
      </c>
      <c r="C39" s="138">
        <f>BOM!F41</f>
        <v>0</v>
      </c>
    </row>
    <row r="40" spans="1:3">
      <c r="A40" s="93">
        <v>37</v>
      </c>
      <c r="B40" s="93">
        <f>BOM!C42</f>
        <v>0</v>
      </c>
      <c r="C40" s="138">
        <f>BOM!F42</f>
        <v>0</v>
      </c>
    </row>
    <row r="41" spans="1:3">
      <c r="A41" s="93">
        <v>38</v>
      </c>
      <c r="B41" s="93">
        <f>BOM!C43</f>
        <v>0</v>
      </c>
      <c r="C41" s="138">
        <f>BOM!F43</f>
        <v>0</v>
      </c>
    </row>
    <row r="42" spans="1:3">
      <c r="A42" s="93">
        <v>39</v>
      </c>
      <c r="B42" s="93">
        <f>BOM!C44</f>
        <v>0</v>
      </c>
      <c r="C42" s="138">
        <f>BOM!F44</f>
        <v>0</v>
      </c>
    </row>
    <row r="43" spans="1:3">
      <c r="A43" s="93">
        <v>40</v>
      </c>
      <c r="B43" s="93">
        <f>BOM!C45</f>
        <v>0</v>
      </c>
      <c r="C43" s="138">
        <f>BOM!F45</f>
        <v>0</v>
      </c>
    </row>
    <row r="44" spans="1:3">
      <c r="A44" s="93">
        <v>41</v>
      </c>
      <c r="B44" s="93">
        <f>BOM!C46</f>
        <v>0</v>
      </c>
      <c r="C44" s="138">
        <f>BOM!F46</f>
        <v>0</v>
      </c>
    </row>
    <row r="45" spans="1:3">
      <c r="A45" s="93">
        <v>42</v>
      </c>
      <c r="B45" s="93">
        <f>BOM!C47</f>
        <v>0</v>
      </c>
      <c r="C45" s="138">
        <f>BOM!F47</f>
        <v>0</v>
      </c>
    </row>
    <row r="46" spans="1:3">
      <c r="A46" s="93">
        <v>43</v>
      </c>
      <c r="B46" s="93">
        <f>BOM!C48</f>
        <v>0</v>
      </c>
      <c r="C46" s="138">
        <f>BOM!F48</f>
        <v>0</v>
      </c>
    </row>
    <row r="47" spans="1:3">
      <c r="A47" s="93">
        <v>44</v>
      </c>
      <c r="B47" s="93">
        <f>BOM!C49</f>
        <v>0</v>
      </c>
      <c r="C47" s="138">
        <f>BOM!F49</f>
        <v>0</v>
      </c>
    </row>
    <row r="48" spans="1:3">
      <c r="A48" s="93">
        <v>45</v>
      </c>
      <c r="B48" s="93">
        <f>BOM!C50</f>
        <v>0</v>
      </c>
      <c r="C48" s="138">
        <f>BOM!F50</f>
        <v>0</v>
      </c>
    </row>
    <row r="49" spans="1:3">
      <c r="A49" s="93">
        <v>46</v>
      </c>
      <c r="B49" s="93">
        <f>BOM!C51</f>
        <v>0</v>
      </c>
      <c r="C49" s="138">
        <f>BOM!F51</f>
        <v>0</v>
      </c>
    </row>
    <row r="50" spans="1:3">
      <c r="A50" s="93">
        <v>47</v>
      </c>
      <c r="B50" s="93">
        <f>BOM!C52</f>
        <v>0</v>
      </c>
      <c r="C50" s="138">
        <f>BOM!F52</f>
        <v>0</v>
      </c>
    </row>
    <row r="51" spans="1:3">
      <c r="A51" s="93">
        <v>48</v>
      </c>
      <c r="B51" s="93">
        <f>BOM!C53</f>
        <v>0</v>
      </c>
      <c r="C51" s="138">
        <f>BOM!F53</f>
        <v>0</v>
      </c>
    </row>
    <row r="52" spans="1:3">
      <c r="A52" s="93">
        <v>49</v>
      </c>
      <c r="B52" s="93">
        <f>BOM!C54</f>
        <v>0</v>
      </c>
      <c r="C52" s="138">
        <f>BOM!F54</f>
        <v>0</v>
      </c>
    </row>
    <row r="53" spans="1:3">
      <c r="A53" s="93">
        <v>50</v>
      </c>
      <c r="B53" s="93">
        <f>BOM!C55</f>
        <v>0</v>
      </c>
      <c r="C53" s="138">
        <f>BOM!F55</f>
        <v>0</v>
      </c>
    </row>
    <row r="54" spans="1:3">
      <c r="A54" s="93">
        <v>51</v>
      </c>
      <c r="B54" s="93">
        <f>BOM!C56</f>
        <v>0</v>
      </c>
      <c r="C54" s="138">
        <f>BOM!F56</f>
        <v>0</v>
      </c>
    </row>
    <row r="55" spans="1:3">
      <c r="A55" s="93">
        <v>52</v>
      </c>
      <c r="B55" s="93">
        <f>BOM!C57</f>
        <v>0</v>
      </c>
      <c r="C55" s="138">
        <f>BOM!F57</f>
        <v>0</v>
      </c>
    </row>
    <row r="56" spans="1:3">
      <c r="A56" s="93">
        <v>53</v>
      </c>
      <c r="B56" s="93">
        <f>BOM!C58</f>
        <v>0</v>
      </c>
      <c r="C56" s="138">
        <f>BOM!F58</f>
        <v>0</v>
      </c>
    </row>
    <row r="57" spans="1:3">
      <c r="A57" s="93">
        <v>54</v>
      </c>
      <c r="B57" s="93">
        <f>BOM!C59</f>
        <v>0</v>
      </c>
      <c r="C57" s="138">
        <f>BOM!F59</f>
        <v>0</v>
      </c>
    </row>
    <row r="58" spans="1:3">
      <c r="A58" s="93">
        <v>55</v>
      </c>
      <c r="B58" s="93">
        <f>BOM!C60</f>
        <v>0</v>
      </c>
      <c r="C58" s="138">
        <f>BOM!F60</f>
        <v>0</v>
      </c>
    </row>
    <row r="59" spans="1:3">
      <c r="A59" s="93">
        <v>56</v>
      </c>
      <c r="B59" s="93">
        <f>BOM!C61</f>
        <v>0</v>
      </c>
      <c r="C59" s="138">
        <f>BOM!F61</f>
        <v>0</v>
      </c>
    </row>
    <row r="60" spans="1:3">
      <c r="A60" s="93">
        <v>57</v>
      </c>
      <c r="B60" s="93">
        <f>BOM!C62</f>
        <v>0</v>
      </c>
      <c r="C60" s="138">
        <f>BOM!F62</f>
        <v>0</v>
      </c>
    </row>
    <row r="61" spans="1:3">
      <c r="A61" s="93">
        <v>58</v>
      </c>
      <c r="B61" s="93">
        <f>BOM!C63</f>
        <v>0</v>
      </c>
      <c r="C61" s="138">
        <f>BOM!F63</f>
        <v>0</v>
      </c>
    </row>
    <row r="62" spans="1:3">
      <c r="A62" s="93">
        <v>59</v>
      </c>
      <c r="B62" s="93">
        <f>BOM!C64</f>
        <v>0</v>
      </c>
      <c r="C62" s="138">
        <f>BOM!F64</f>
        <v>0</v>
      </c>
    </row>
    <row r="63" spans="1:3">
      <c r="A63" s="93">
        <v>60</v>
      </c>
      <c r="B63" s="93">
        <f>BOM!C65</f>
        <v>0</v>
      </c>
      <c r="C63" s="138">
        <f>BOM!F65</f>
        <v>0</v>
      </c>
    </row>
    <row r="64" spans="1:3">
      <c r="A64" s="93">
        <v>61</v>
      </c>
      <c r="B64" s="93">
        <f>BOM!C66</f>
        <v>0</v>
      </c>
      <c r="C64" s="138">
        <f>BOM!F66</f>
        <v>0</v>
      </c>
    </row>
    <row r="65" spans="1:3">
      <c r="A65" s="93">
        <v>62</v>
      </c>
      <c r="B65" s="93">
        <f>BOM!C67</f>
        <v>0</v>
      </c>
      <c r="C65" s="138">
        <f>BOM!F67</f>
        <v>0</v>
      </c>
    </row>
    <row r="66" spans="1:3">
      <c r="A66" s="93">
        <v>63</v>
      </c>
      <c r="B66" s="93">
        <f>BOM!C68</f>
        <v>0</v>
      </c>
      <c r="C66" s="138">
        <f>BOM!F68</f>
        <v>0</v>
      </c>
    </row>
    <row r="67" spans="1:3">
      <c r="A67" s="93">
        <v>64</v>
      </c>
      <c r="B67" s="93">
        <f>BOM!C69</f>
        <v>0</v>
      </c>
      <c r="C67" s="138">
        <f>BOM!F69</f>
        <v>0</v>
      </c>
    </row>
    <row r="68" spans="1:3">
      <c r="A68" s="93">
        <v>65</v>
      </c>
      <c r="B68" s="93">
        <f>BOM!C70</f>
        <v>0</v>
      </c>
      <c r="C68" s="138">
        <f>BOM!F70</f>
        <v>0</v>
      </c>
    </row>
    <row r="69" spans="1:3">
      <c r="A69" s="93">
        <v>66</v>
      </c>
      <c r="B69" s="93">
        <f>BOM!C71</f>
        <v>0</v>
      </c>
      <c r="C69" s="138">
        <f>BOM!F71</f>
        <v>0</v>
      </c>
    </row>
    <row r="70" spans="1:3">
      <c r="A70" s="93">
        <v>67</v>
      </c>
      <c r="B70" s="93">
        <f>BOM!C72</f>
        <v>0</v>
      </c>
      <c r="C70" s="138">
        <f>BOM!F72</f>
        <v>0</v>
      </c>
    </row>
    <row r="71" spans="1:3">
      <c r="A71" s="93">
        <v>68</v>
      </c>
      <c r="B71" s="93">
        <f>BOM!C73</f>
        <v>0</v>
      </c>
      <c r="C71" s="138">
        <f>BOM!F73</f>
        <v>0</v>
      </c>
    </row>
    <row r="72" spans="1:3">
      <c r="A72" s="93">
        <v>69</v>
      </c>
      <c r="B72" s="93">
        <f>BOM!C74</f>
        <v>0</v>
      </c>
      <c r="C72" s="138">
        <f>BOM!F74</f>
        <v>0</v>
      </c>
    </row>
    <row r="73" spans="1:3">
      <c r="A73" s="93">
        <v>70</v>
      </c>
      <c r="B73" s="93">
        <f>BOM!C75</f>
        <v>0</v>
      </c>
      <c r="C73" s="138">
        <f>BOM!F75</f>
        <v>0</v>
      </c>
    </row>
    <row r="74" spans="1:3">
      <c r="A74" s="93">
        <v>71</v>
      </c>
      <c r="B74" s="93">
        <f>BOM!C76</f>
        <v>0</v>
      </c>
      <c r="C74" s="138">
        <f>BOM!F76</f>
        <v>0</v>
      </c>
    </row>
    <row r="75" spans="1:3">
      <c r="A75" s="93">
        <v>72</v>
      </c>
      <c r="B75" s="93">
        <f>BOM!C77</f>
        <v>0</v>
      </c>
      <c r="C75" s="138">
        <f>BOM!F77</f>
        <v>0</v>
      </c>
    </row>
    <row r="76" spans="1:3">
      <c r="A76" s="93">
        <v>73</v>
      </c>
      <c r="B76" s="93">
        <f>BOM!C78</f>
        <v>0</v>
      </c>
      <c r="C76" s="138">
        <f>BOM!F78</f>
        <v>0</v>
      </c>
    </row>
    <row r="77" spans="1:3">
      <c r="A77" s="93">
        <v>74</v>
      </c>
      <c r="B77" s="93">
        <f>BOM!C79</f>
        <v>0</v>
      </c>
      <c r="C77" s="138">
        <f>BOM!F79</f>
        <v>0</v>
      </c>
    </row>
    <row r="78" spans="1:3">
      <c r="A78" s="93">
        <v>75</v>
      </c>
      <c r="B78" s="93">
        <f>BOM!C80</f>
        <v>0</v>
      </c>
      <c r="C78" s="138">
        <f>BOM!F80</f>
        <v>0</v>
      </c>
    </row>
    <row r="79" spans="1:3">
      <c r="A79" s="93">
        <v>76</v>
      </c>
      <c r="B79" s="93">
        <f>BOM!C81</f>
        <v>0</v>
      </c>
      <c r="C79" s="138">
        <f>BOM!F81</f>
        <v>0</v>
      </c>
    </row>
    <row r="80" spans="1:3">
      <c r="A80" s="93">
        <v>77</v>
      </c>
      <c r="B80" s="93">
        <f>BOM!C82</f>
        <v>0</v>
      </c>
      <c r="C80" s="138">
        <f>BOM!F82</f>
        <v>0</v>
      </c>
    </row>
    <row r="81" spans="1:3">
      <c r="A81" s="93">
        <v>78</v>
      </c>
      <c r="B81" s="93">
        <f>BOM!C83</f>
        <v>0</v>
      </c>
      <c r="C81" s="138">
        <f>BOM!F83</f>
        <v>0</v>
      </c>
    </row>
    <row r="82" spans="1:3">
      <c r="A82" s="93">
        <v>79</v>
      </c>
      <c r="B82" s="93">
        <f>BOM!C84</f>
        <v>0</v>
      </c>
      <c r="C82" s="138">
        <f>BOM!F84</f>
        <v>0</v>
      </c>
    </row>
    <row r="83" spans="1:3">
      <c r="A83" s="93">
        <v>80</v>
      </c>
      <c r="B83" s="93">
        <f>BOM!C85</f>
        <v>0</v>
      </c>
      <c r="C83" s="138">
        <f>BOM!F85</f>
        <v>0</v>
      </c>
    </row>
    <row r="84" spans="1:3">
      <c r="A84" s="93">
        <v>81</v>
      </c>
      <c r="B84" s="93">
        <f>BOM!C86</f>
        <v>0</v>
      </c>
      <c r="C84" s="138">
        <f>BOM!F86</f>
        <v>0</v>
      </c>
    </row>
    <row r="85" spans="1:3">
      <c r="A85" s="93">
        <v>82</v>
      </c>
      <c r="B85" s="93">
        <f>BOM!C87</f>
        <v>0</v>
      </c>
      <c r="C85" s="138">
        <f>BOM!F87</f>
        <v>0</v>
      </c>
    </row>
    <row r="86" spans="1:3">
      <c r="A86" s="93">
        <v>83</v>
      </c>
      <c r="B86" s="93">
        <f>BOM!C88</f>
        <v>0</v>
      </c>
      <c r="C86" s="138">
        <f>BOM!F88</f>
        <v>0</v>
      </c>
    </row>
    <row r="87" spans="1:3">
      <c r="A87" s="93">
        <v>84</v>
      </c>
      <c r="B87" s="93">
        <f>BOM!C89</f>
        <v>0</v>
      </c>
      <c r="C87" s="138">
        <f>BOM!F89</f>
        <v>0</v>
      </c>
    </row>
    <row r="88" spans="1:3">
      <c r="A88" s="93">
        <v>85</v>
      </c>
      <c r="B88" s="93">
        <f>BOM!C90</f>
        <v>0</v>
      </c>
      <c r="C88" s="138">
        <f>BOM!F90</f>
        <v>0</v>
      </c>
    </row>
    <row r="89" spans="1:3">
      <c r="A89" s="93">
        <v>86</v>
      </c>
      <c r="B89" s="93">
        <f>BOM!C91</f>
        <v>0</v>
      </c>
      <c r="C89" s="138">
        <f>BOM!F91</f>
        <v>0</v>
      </c>
    </row>
    <row r="90" spans="1:3">
      <c r="A90" s="93">
        <v>87</v>
      </c>
      <c r="B90" s="93">
        <f>BOM!C92</f>
        <v>0</v>
      </c>
      <c r="C90" s="138">
        <f>BOM!F92</f>
        <v>0</v>
      </c>
    </row>
    <row r="91" spans="1:3">
      <c r="A91" s="93">
        <v>88</v>
      </c>
      <c r="B91" s="93">
        <f>BOM!C93</f>
        <v>0</v>
      </c>
      <c r="C91" s="138">
        <f>BOM!F93</f>
        <v>0</v>
      </c>
    </row>
    <row r="92" spans="1:3">
      <c r="A92" s="93">
        <v>89</v>
      </c>
      <c r="B92" s="93">
        <f>BOM!C94</f>
        <v>0</v>
      </c>
      <c r="C92" s="138">
        <f>BOM!F94</f>
        <v>0</v>
      </c>
    </row>
    <row r="93" spans="1:3">
      <c r="A93" s="93">
        <v>90</v>
      </c>
      <c r="B93" s="93">
        <f>BOM!C95</f>
        <v>0</v>
      </c>
      <c r="C93" s="138">
        <f>BOM!F95</f>
        <v>0</v>
      </c>
    </row>
    <row r="94" spans="1:3">
      <c r="A94" s="93">
        <v>91</v>
      </c>
      <c r="B94" s="93">
        <f>BOM!C96</f>
        <v>0</v>
      </c>
      <c r="C94" s="138">
        <f>BOM!F96</f>
        <v>0</v>
      </c>
    </row>
    <row r="95" spans="1:3">
      <c r="A95" s="93">
        <v>92</v>
      </c>
      <c r="B95" s="93">
        <f>BOM!C97</f>
        <v>0</v>
      </c>
      <c r="C95" s="138">
        <f>BOM!F97</f>
        <v>0</v>
      </c>
    </row>
    <row r="96" spans="1:3">
      <c r="A96" s="93">
        <v>93</v>
      </c>
      <c r="B96" s="93">
        <f>BOM!C98</f>
        <v>0</v>
      </c>
      <c r="C96" s="138">
        <f>BOM!F98</f>
        <v>0</v>
      </c>
    </row>
    <row r="97" spans="1:3">
      <c r="A97" s="93">
        <v>94</v>
      </c>
      <c r="B97" s="93">
        <f>BOM!C99</f>
        <v>0</v>
      </c>
      <c r="C97" s="138">
        <f>BOM!F99</f>
        <v>0</v>
      </c>
    </row>
    <row r="98" spans="1:3">
      <c r="A98" s="93">
        <v>95</v>
      </c>
      <c r="B98" s="93">
        <f>BOM!C100</f>
        <v>0</v>
      </c>
      <c r="C98" s="138">
        <f>BOM!F100</f>
        <v>0</v>
      </c>
    </row>
    <row r="99" spans="1:3">
      <c r="A99" s="93">
        <v>96</v>
      </c>
      <c r="B99" s="93">
        <f>BOM!C101</f>
        <v>0</v>
      </c>
      <c r="C99" s="138">
        <f>BOM!F101</f>
        <v>0</v>
      </c>
    </row>
    <row r="100" spans="1:3">
      <c r="A100" s="93">
        <v>97</v>
      </c>
      <c r="B100" s="93">
        <f>BOM!C102</f>
        <v>0</v>
      </c>
      <c r="C100" s="138">
        <f>BOM!F102</f>
        <v>0</v>
      </c>
    </row>
    <row r="101" spans="1:3">
      <c r="A101" s="93">
        <v>98</v>
      </c>
      <c r="B101" s="93">
        <f>BOM!C103</f>
        <v>0</v>
      </c>
      <c r="C101" s="138">
        <f>BOM!F103</f>
        <v>0</v>
      </c>
    </row>
    <row r="102" spans="1:3">
      <c r="A102" s="93">
        <v>99</v>
      </c>
      <c r="B102" s="93">
        <f>BOM!C104</f>
        <v>0</v>
      </c>
      <c r="C102" s="138">
        <f>BOM!F104</f>
        <v>0</v>
      </c>
    </row>
    <row r="103" spans="1:3">
      <c r="A103" s="93">
        <v>100</v>
      </c>
      <c r="B103" s="93">
        <f>BOM!C105</f>
        <v>0</v>
      </c>
      <c r="C103" s="138">
        <f>BOM!F105</f>
        <v>0</v>
      </c>
    </row>
    <row r="104" spans="1:3">
      <c r="A104" s="93">
        <v>101</v>
      </c>
      <c r="B104" s="93">
        <f>BOM!C106</f>
        <v>0</v>
      </c>
      <c r="C104" s="138">
        <f>BOM!F106</f>
        <v>0</v>
      </c>
    </row>
    <row r="105" spans="1:3">
      <c r="A105" s="93">
        <v>102</v>
      </c>
      <c r="B105" s="93">
        <f>BOM!C107</f>
        <v>0</v>
      </c>
      <c r="C105" s="138">
        <f>BOM!F107</f>
        <v>0</v>
      </c>
    </row>
    <row r="106" spans="1:3">
      <c r="A106" s="93">
        <v>103</v>
      </c>
      <c r="B106" s="93">
        <f>BOM!C108</f>
        <v>0</v>
      </c>
      <c r="C106" s="138">
        <f>BOM!F108</f>
        <v>0</v>
      </c>
    </row>
    <row r="107" spans="1:3">
      <c r="A107" s="93">
        <v>104</v>
      </c>
      <c r="B107" s="93">
        <f>BOM!C109</f>
        <v>0</v>
      </c>
      <c r="C107" s="138">
        <f>BOM!F109</f>
        <v>0</v>
      </c>
    </row>
    <row r="108" spans="1:3">
      <c r="A108" s="93">
        <v>105</v>
      </c>
      <c r="B108" s="93">
        <f>BOM!C110</f>
        <v>0</v>
      </c>
      <c r="C108" s="138">
        <f>BOM!F110</f>
        <v>0</v>
      </c>
    </row>
    <row r="109" spans="1:3">
      <c r="A109" s="93">
        <v>106</v>
      </c>
      <c r="B109" s="93">
        <f>BOM!C111</f>
        <v>0</v>
      </c>
      <c r="C109" s="138">
        <f>BOM!F111</f>
        <v>0</v>
      </c>
    </row>
    <row r="110" spans="1:3">
      <c r="A110" s="93">
        <v>107</v>
      </c>
      <c r="B110" s="93">
        <f>BOM!C112</f>
        <v>0</v>
      </c>
      <c r="C110" s="138">
        <f>BOM!F112</f>
        <v>0</v>
      </c>
    </row>
    <row r="111" spans="1:3">
      <c r="A111" s="93">
        <v>108</v>
      </c>
      <c r="B111" s="93">
        <f>BOM!C113</f>
        <v>0</v>
      </c>
      <c r="C111" s="138">
        <f>BOM!F113</f>
        <v>0</v>
      </c>
    </row>
    <row r="112" spans="1:3">
      <c r="A112" s="93">
        <v>109</v>
      </c>
      <c r="B112" s="93">
        <f>BOM!C114</f>
        <v>0</v>
      </c>
      <c r="C112" s="138">
        <f>BOM!F114</f>
        <v>0</v>
      </c>
    </row>
    <row r="113" spans="1:3">
      <c r="A113" s="93">
        <v>110</v>
      </c>
      <c r="B113" s="93">
        <f>BOM!C115</f>
        <v>0</v>
      </c>
      <c r="C113" s="138">
        <f>BOM!F115</f>
        <v>0</v>
      </c>
    </row>
    <row r="114" spans="1:3">
      <c r="A114" s="93">
        <v>111</v>
      </c>
      <c r="B114" s="93">
        <f>BOM!C116</f>
        <v>0</v>
      </c>
      <c r="C114" s="138">
        <f>BOM!F116</f>
        <v>0</v>
      </c>
    </row>
    <row r="115" spans="1:3">
      <c r="A115" s="93">
        <v>112</v>
      </c>
      <c r="B115" s="93">
        <f>BOM!C117</f>
        <v>0</v>
      </c>
      <c r="C115" s="138">
        <f>BOM!F117</f>
        <v>0</v>
      </c>
    </row>
    <row r="116" spans="1:3">
      <c r="A116" s="93">
        <v>113</v>
      </c>
      <c r="B116" s="93">
        <f>BOM!C118</f>
        <v>0</v>
      </c>
      <c r="C116" s="138">
        <f>BOM!F118</f>
        <v>0</v>
      </c>
    </row>
    <row r="117" spans="1:3">
      <c r="A117" s="93">
        <v>114</v>
      </c>
      <c r="B117" s="93">
        <f>BOM!C119</f>
        <v>0</v>
      </c>
      <c r="C117" s="138">
        <f>BOM!F119</f>
        <v>0</v>
      </c>
    </row>
    <row r="118" spans="1:3">
      <c r="A118" s="93">
        <v>115</v>
      </c>
      <c r="B118" s="93">
        <f>BOM!C120</f>
        <v>0</v>
      </c>
      <c r="C118" s="138">
        <f>BOM!F120</f>
        <v>0</v>
      </c>
    </row>
    <row r="119" spans="1:3">
      <c r="A119" s="93">
        <v>116</v>
      </c>
      <c r="B119" s="93">
        <f>BOM!C121</f>
        <v>0</v>
      </c>
      <c r="C119" s="138">
        <f>BOM!F121</f>
        <v>0</v>
      </c>
    </row>
    <row r="120" spans="1:3">
      <c r="A120" s="93">
        <v>117</v>
      </c>
      <c r="B120" s="93">
        <f>BOM!C122</f>
        <v>0</v>
      </c>
      <c r="C120" s="138">
        <f>BOM!F122</f>
        <v>0</v>
      </c>
    </row>
    <row r="121" spans="1:3">
      <c r="A121" s="93">
        <v>118</v>
      </c>
      <c r="B121" s="93">
        <f>BOM!C123</f>
        <v>0</v>
      </c>
      <c r="C121" s="138">
        <f>BOM!F123</f>
        <v>0</v>
      </c>
    </row>
    <row r="122" spans="1:3">
      <c r="A122" s="93">
        <v>119</v>
      </c>
      <c r="B122" s="93">
        <f>BOM!C124</f>
        <v>0</v>
      </c>
      <c r="C122" s="138">
        <f>BOM!F124</f>
        <v>0</v>
      </c>
    </row>
    <row r="123" spans="1:3">
      <c r="A123" s="93">
        <v>120</v>
      </c>
      <c r="B123" s="93">
        <f>BOM!C125</f>
        <v>0</v>
      </c>
      <c r="C123" s="138">
        <f>BOM!F125</f>
        <v>0</v>
      </c>
    </row>
    <row r="124" spans="1:3">
      <c r="A124" s="93">
        <v>121</v>
      </c>
      <c r="B124" s="93">
        <f>BOM!C126</f>
        <v>0</v>
      </c>
      <c r="C124" s="138">
        <f>BOM!F126</f>
        <v>0</v>
      </c>
    </row>
    <row r="125" spans="1:3">
      <c r="A125" s="93">
        <v>122</v>
      </c>
      <c r="B125" s="93">
        <f>BOM!C127</f>
        <v>0</v>
      </c>
      <c r="C125" s="138">
        <f>BOM!F127</f>
        <v>0</v>
      </c>
    </row>
    <row r="126" spans="1:3">
      <c r="A126" s="93">
        <v>123</v>
      </c>
      <c r="B126" s="93">
        <f>BOM!C128</f>
        <v>0</v>
      </c>
      <c r="C126" s="138">
        <f>BOM!F128</f>
        <v>0</v>
      </c>
    </row>
    <row r="127" spans="1:3">
      <c r="A127" s="93">
        <v>124</v>
      </c>
      <c r="B127" s="93">
        <f>BOM!C129</f>
        <v>0</v>
      </c>
      <c r="C127" s="138">
        <f>BOM!F129</f>
        <v>0</v>
      </c>
    </row>
    <row r="128" spans="1:3">
      <c r="A128" s="93">
        <v>125</v>
      </c>
      <c r="B128" s="93">
        <f>BOM!C130</f>
        <v>0</v>
      </c>
      <c r="C128" s="138">
        <f>BOM!F130</f>
        <v>0</v>
      </c>
    </row>
    <row r="129" spans="1:3">
      <c r="A129" s="93">
        <v>126</v>
      </c>
      <c r="B129" s="93">
        <f>BOM!C131</f>
        <v>0</v>
      </c>
      <c r="C129" s="138">
        <f>BOM!F131</f>
        <v>0</v>
      </c>
    </row>
    <row r="130" spans="1:3">
      <c r="A130" s="93">
        <v>127</v>
      </c>
      <c r="B130" s="93">
        <f>BOM!C132</f>
        <v>0</v>
      </c>
      <c r="C130" s="138">
        <f>BOM!F132</f>
        <v>0</v>
      </c>
    </row>
    <row r="131" spans="1:3">
      <c r="A131" s="93">
        <v>128</v>
      </c>
      <c r="B131" s="93">
        <f>BOM!C133</f>
        <v>0</v>
      </c>
      <c r="C131" s="138">
        <f>BOM!F133</f>
        <v>0</v>
      </c>
    </row>
    <row r="132" spans="1:3">
      <c r="A132" s="93">
        <v>129</v>
      </c>
      <c r="B132" s="93">
        <f>BOM!C134</f>
        <v>0</v>
      </c>
      <c r="C132" s="138">
        <f>BOM!F134</f>
        <v>0</v>
      </c>
    </row>
    <row r="133" spans="1:3">
      <c r="A133" s="93">
        <v>130</v>
      </c>
      <c r="B133" s="93">
        <f>BOM!C135</f>
        <v>0</v>
      </c>
      <c r="C133" s="138">
        <f>BOM!F135</f>
        <v>0</v>
      </c>
    </row>
    <row r="134" spans="1:3">
      <c r="A134" s="93">
        <v>131</v>
      </c>
      <c r="B134" s="93">
        <f>BOM!C136</f>
        <v>0</v>
      </c>
      <c r="C134" s="138">
        <f>BOM!F136</f>
        <v>0</v>
      </c>
    </row>
    <row r="135" spans="1:3">
      <c r="A135" s="93">
        <v>132</v>
      </c>
      <c r="B135" s="93">
        <f>BOM!C137</f>
        <v>0</v>
      </c>
      <c r="C135" s="138">
        <f>BOM!F137</f>
        <v>0</v>
      </c>
    </row>
    <row r="136" spans="1:3">
      <c r="A136" s="93">
        <v>133</v>
      </c>
      <c r="B136" s="93">
        <f>BOM!C138</f>
        <v>0</v>
      </c>
      <c r="C136" s="138">
        <f>BOM!F138</f>
        <v>0</v>
      </c>
    </row>
    <row r="137" spans="1:3">
      <c r="A137" s="93">
        <v>134</v>
      </c>
      <c r="B137" s="93">
        <f>BOM!C139</f>
        <v>0</v>
      </c>
      <c r="C137" s="138">
        <f>BOM!F139</f>
        <v>0</v>
      </c>
    </row>
    <row r="138" spans="1:3">
      <c r="A138" s="93">
        <v>135</v>
      </c>
      <c r="B138" s="93">
        <f>BOM!C140</f>
        <v>0</v>
      </c>
      <c r="C138" s="138">
        <f>BOM!F140</f>
        <v>0</v>
      </c>
    </row>
    <row r="139" spans="1:3">
      <c r="A139" s="93">
        <v>136</v>
      </c>
      <c r="B139" s="93">
        <f>BOM!C141</f>
        <v>0</v>
      </c>
      <c r="C139" s="138">
        <f>BOM!F141</f>
        <v>0</v>
      </c>
    </row>
    <row r="140" spans="1:3">
      <c r="A140" s="93">
        <v>137</v>
      </c>
      <c r="B140" s="93">
        <f>BOM!C142</f>
        <v>0</v>
      </c>
      <c r="C140" s="138">
        <f>BOM!F142</f>
        <v>0</v>
      </c>
    </row>
    <row r="141" spans="1:3">
      <c r="A141" s="93">
        <v>138</v>
      </c>
      <c r="B141" s="93">
        <f>BOM!C143</f>
        <v>0</v>
      </c>
      <c r="C141" s="138">
        <f>BOM!F143</f>
        <v>0</v>
      </c>
    </row>
    <row r="142" spans="1:3">
      <c r="A142" s="93">
        <v>139</v>
      </c>
      <c r="B142" s="93">
        <f>BOM!C144</f>
        <v>0</v>
      </c>
      <c r="C142" s="138">
        <f>BOM!F144</f>
        <v>0</v>
      </c>
    </row>
    <row r="143" spans="1:3">
      <c r="A143" s="93">
        <v>140</v>
      </c>
      <c r="B143" s="93">
        <f>BOM!C145</f>
        <v>0</v>
      </c>
      <c r="C143" s="138">
        <f>BOM!F145</f>
        <v>0</v>
      </c>
    </row>
    <row r="144" spans="1:3">
      <c r="A144" s="93">
        <v>141</v>
      </c>
      <c r="B144" s="93">
        <f>BOM!C146</f>
        <v>0</v>
      </c>
      <c r="C144" s="138">
        <f>BOM!F146</f>
        <v>0</v>
      </c>
    </row>
    <row r="145" spans="1:3">
      <c r="A145" s="93">
        <v>142</v>
      </c>
      <c r="B145" s="93">
        <f>BOM!C147</f>
        <v>0</v>
      </c>
      <c r="C145" s="138">
        <f>BOM!F147</f>
        <v>0</v>
      </c>
    </row>
    <row r="146" spans="1:3">
      <c r="A146" s="93">
        <v>143</v>
      </c>
      <c r="B146" s="93">
        <f>BOM!C148</f>
        <v>0</v>
      </c>
      <c r="C146" s="138">
        <f>BOM!F148</f>
        <v>0</v>
      </c>
    </row>
    <row r="147" spans="1:3">
      <c r="A147" s="93">
        <v>144</v>
      </c>
      <c r="B147" s="93">
        <f>BOM!C149</f>
        <v>0</v>
      </c>
      <c r="C147" s="138">
        <f>BOM!F149</f>
        <v>0</v>
      </c>
    </row>
    <row r="148" spans="1:3">
      <c r="A148" s="93">
        <v>145</v>
      </c>
      <c r="B148" s="93">
        <f>BOM!C150</f>
        <v>0</v>
      </c>
      <c r="C148" s="138">
        <f>BOM!F150</f>
        <v>0</v>
      </c>
    </row>
    <row r="149" spans="1:3">
      <c r="A149" s="93">
        <v>146</v>
      </c>
      <c r="B149" s="93">
        <f>BOM!C151</f>
        <v>0</v>
      </c>
      <c r="C149" s="138">
        <f>BOM!F151</f>
        <v>0</v>
      </c>
    </row>
    <row r="150" spans="1:3">
      <c r="A150" s="93">
        <v>147</v>
      </c>
      <c r="B150" s="93">
        <f>BOM!C152</f>
        <v>0</v>
      </c>
      <c r="C150" s="138">
        <f>BOM!F152</f>
        <v>0</v>
      </c>
    </row>
    <row r="151" spans="1:3">
      <c r="A151" s="93">
        <v>148</v>
      </c>
      <c r="B151" s="93">
        <f>BOM!C153</f>
        <v>0</v>
      </c>
      <c r="C151" s="138">
        <f>BOM!F153</f>
        <v>0</v>
      </c>
    </row>
    <row r="152" spans="1:3">
      <c r="A152" s="93">
        <v>149</v>
      </c>
      <c r="B152" s="93">
        <f>BOM!C154</f>
        <v>0</v>
      </c>
      <c r="C152" s="138">
        <f>BOM!F154</f>
        <v>0</v>
      </c>
    </row>
    <row r="153" spans="1:3">
      <c r="A153" s="93">
        <v>150</v>
      </c>
      <c r="B153" s="93">
        <f>BOM!C155</f>
        <v>0</v>
      </c>
      <c r="C153" s="138">
        <f>BOM!F155</f>
        <v>0</v>
      </c>
    </row>
    <row r="154" spans="1:3" ht="14.4" thickBot="1">
      <c r="A154" s="131"/>
      <c r="C154" s="150">
        <f>SUM(C4:C153)</f>
        <v>0</v>
      </c>
    </row>
    <row r="155" spans="1:3" ht="14.4" thickTop="1"/>
  </sheetData>
  <mergeCells count="2">
    <mergeCell ref="A2:C2"/>
    <mergeCell ref="A1:B1"/>
  </mergeCells>
  <pageMargins left="1.86" right="0.7" top="0.87" bottom="0.59" header="0.3" footer="0.17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B718-E6B3-476A-9765-02C8C06155C3}">
  <sheetPr codeName="Sheet50">
    <tabColor theme="6" tint="0.39997558519241921"/>
  </sheetPr>
  <dimension ref="A1:O37"/>
  <sheetViews>
    <sheetView view="pageBreakPreview" zoomScale="70" zoomScaleNormal="100" zoomScaleSheetLayoutView="7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C2" sqref="C2:G2"/>
    </sheetView>
  </sheetViews>
  <sheetFormatPr defaultColWidth="9.109375" defaultRowHeight="13.2"/>
  <cols>
    <col min="1" max="1" width="6.5546875" style="95" customWidth="1"/>
    <col min="2" max="2" width="20.109375" style="95" customWidth="1"/>
    <col min="3" max="3" width="8.33203125" style="95" customWidth="1"/>
    <col min="4" max="4" width="14.33203125" style="96" customWidth="1"/>
    <col min="5" max="5" width="14" style="95" customWidth="1"/>
    <col min="6" max="6" width="48.33203125" style="95" customWidth="1"/>
    <col min="7" max="7" width="51.44140625" style="95" customWidth="1"/>
    <col min="8" max="8" width="20.44140625" style="95" customWidth="1"/>
    <col min="9" max="9" width="31.44140625" style="95" customWidth="1"/>
    <col min="10" max="10" width="2.5546875" style="95" customWidth="1"/>
    <col min="11" max="14" width="9.109375" style="95"/>
    <col min="15" max="15" width="23.44140625" style="95" customWidth="1"/>
    <col min="16" max="16384" width="9.109375" style="95"/>
  </cols>
  <sheetData>
    <row r="1" spans="1:15" ht="47.25" customHeight="1"/>
    <row r="2" spans="1:15" ht="27" customHeight="1">
      <c r="A2" s="301" t="s">
        <v>0</v>
      </c>
      <c r="B2" s="301"/>
      <c r="C2" s="265" t="str">
        <f>KEY!C2</f>
        <v>FTTH &amp; PeoTV Connections 2026</v>
      </c>
      <c r="D2" s="265"/>
      <c r="E2" s="265"/>
      <c r="F2" s="265"/>
      <c r="G2" s="265"/>
      <c r="H2" s="267" t="s">
        <v>12</v>
      </c>
      <c r="I2" s="267"/>
    </row>
    <row r="3" spans="1:15" ht="15" customHeight="1">
      <c r="A3" s="301" t="s">
        <v>1</v>
      </c>
      <c r="B3" s="301"/>
      <c r="C3" s="330" t="str">
        <f>KEY!C4</f>
        <v>L/0733/2025</v>
      </c>
      <c r="D3" s="330"/>
      <c r="E3" s="330"/>
      <c r="F3" s="330"/>
      <c r="G3" s="72" t="s">
        <v>62</v>
      </c>
      <c r="H3" s="267"/>
      <c r="I3" s="267"/>
    </row>
    <row r="4" spans="1:15" ht="15" customHeight="1">
      <c r="A4" s="301" t="s">
        <v>2</v>
      </c>
      <c r="B4" s="301"/>
      <c r="C4" s="330">
        <f>KEY!C5</f>
        <v>0</v>
      </c>
      <c r="D4" s="330"/>
      <c r="E4" s="330"/>
      <c r="F4" s="330"/>
      <c r="G4" s="330"/>
      <c r="H4" s="267"/>
      <c r="I4" s="267"/>
    </row>
    <row r="5" spans="1:15" ht="15" customHeight="1">
      <c r="A5" s="301" t="s">
        <v>59</v>
      </c>
      <c r="B5" s="301"/>
      <c r="C5" s="343" t="str">
        <f>KEY!C6</f>
        <v>SLTS/FN/26//JAN/01</v>
      </c>
      <c r="D5" s="343"/>
      <c r="E5" s="343"/>
      <c r="F5" s="343"/>
      <c r="G5" s="343"/>
      <c r="H5" s="71" t="str">
        <f>KEY!I10</f>
        <v>From: 1-Jan-2026</v>
      </c>
      <c r="I5" s="97" t="str">
        <f>KEY!J10</f>
        <v>To: 31-Jan-2026</v>
      </c>
    </row>
    <row r="6" spans="1:15" ht="15" customHeight="1">
      <c r="A6" s="345"/>
      <c r="B6" s="345"/>
      <c r="C6" s="345"/>
      <c r="D6" s="345"/>
      <c r="E6" s="345"/>
      <c r="F6" s="345"/>
      <c r="G6" s="345"/>
      <c r="H6" s="345"/>
      <c r="I6" s="345"/>
    </row>
    <row r="7" spans="1:15" s="15" customFormat="1" ht="45.75" customHeight="1">
      <c r="A7" s="26" t="s">
        <v>55</v>
      </c>
      <c r="B7" s="74" t="s">
        <v>83</v>
      </c>
      <c r="C7" s="74" t="s">
        <v>11</v>
      </c>
      <c r="D7" s="74" t="s">
        <v>13</v>
      </c>
      <c r="E7" s="74" t="s">
        <v>8</v>
      </c>
      <c r="F7" s="74" t="s">
        <v>74</v>
      </c>
      <c r="G7" s="74" t="s">
        <v>75</v>
      </c>
      <c r="H7" s="344" t="s">
        <v>21</v>
      </c>
      <c r="I7" s="344"/>
      <c r="K7" s="108" t="s">
        <v>95</v>
      </c>
      <c r="L7" s="108" t="s">
        <v>96</v>
      </c>
      <c r="M7" s="108" t="s">
        <v>97</v>
      </c>
      <c r="N7" s="109" t="s">
        <v>57</v>
      </c>
      <c r="O7" s="110" t="s">
        <v>98</v>
      </c>
    </row>
    <row r="8" spans="1:15" s="15" customFormat="1" ht="19.5" customHeight="1">
      <c r="A8" s="73">
        <v>1</v>
      </c>
      <c r="B8" s="98"/>
      <c r="C8" s="99"/>
      <c r="D8" s="98">
        <f>SUM(K8:M8)</f>
        <v>0</v>
      </c>
      <c r="E8" s="98"/>
      <c r="F8" s="98"/>
      <c r="G8" s="100"/>
      <c r="H8" s="265"/>
      <c r="I8" s="265"/>
      <c r="K8" s="102"/>
      <c r="L8" s="102"/>
      <c r="M8" s="102"/>
      <c r="N8" s="102"/>
      <c r="O8" s="102"/>
    </row>
    <row r="9" spans="1:15" s="15" customFormat="1" ht="19.5" customHeight="1">
      <c r="A9" s="73">
        <v>2</v>
      </c>
      <c r="B9" s="98"/>
      <c r="C9" s="99"/>
      <c r="D9" s="98">
        <f t="shared" ref="D9:D19" si="0">SUM(K9:M9)</f>
        <v>0</v>
      </c>
      <c r="E9" s="98"/>
      <c r="F9" s="98"/>
      <c r="G9" s="100"/>
      <c r="H9" s="265"/>
      <c r="I9" s="265"/>
      <c r="K9" s="102"/>
      <c r="L9" s="102"/>
      <c r="M9" s="102"/>
      <c r="N9" s="102"/>
      <c r="O9" s="102"/>
    </row>
    <row r="10" spans="1:15" s="15" customFormat="1" ht="19.5" customHeight="1">
      <c r="A10" s="73">
        <v>3</v>
      </c>
      <c r="B10" s="98"/>
      <c r="C10" s="98"/>
      <c r="D10" s="98">
        <f t="shared" si="0"/>
        <v>0</v>
      </c>
      <c r="E10" s="101"/>
      <c r="F10" s="100"/>
      <c r="G10" s="102"/>
      <c r="H10" s="265"/>
      <c r="I10" s="265"/>
      <c r="K10" s="102"/>
      <c r="L10" s="102"/>
      <c r="M10" s="102"/>
      <c r="N10" s="102"/>
      <c r="O10" s="102"/>
    </row>
    <row r="11" spans="1:15" s="15" customFormat="1" ht="19.5" customHeight="1">
      <c r="A11" s="73">
        <v>4</v>
      </c>
      <c r="B11" s="98"/>
      <c r="C11" s="99"/>
      <c r="D11" s="98">
        <f t="shared" si="0"/>
        <v>0</v>
      </c>
      <c r="E11" s="98"/>
      <c r="F11" s="98"/>
      <c r="G11" s="100"/>
      <c r="H11" s="265"/>
      <c r="I11" s="265"/>
      <c r="K11" s="102"/>
      <c r="L11" s="102"/>
      <c r="M11" s="102"/>
      <c r="N11" s="102"/>
      <c r="O11" s="102"/>
    </row>
    <row r="12" spans="1:15" s="15" customFormat="1" ht="19.5" customHeight="1">
      <c r="A12" s="73">
        <v>5</v>
      </c>
      <c r="B12" s="98"/>
      <c r="C12" s="99"/>
      <c r="D12" s="98">
        <f t="shared" si="0"/>
        <v>0</v>
      </c>
      <c r="E12" s="98"/>
      <c r="F12" s="98"/>
      <c r="G12" s="100"/>
      <c r="H12" s="265"/>
      <c r="I12" s="265"/>
      <c r="K12" s="102"/>
      <c r="L12" s="102"/>
      <c r="M12" s="102"/>
      <c r="N12" s="102"/>
      <c r="O12" s="102"/>
    </row>
    <row r="13" spans="1:15" s="15" customFormat="1" ht="19.5" customHeight="1">
      <c r="A13" s="73">
        <v>6</v>
      </c>
      <c r="B13" s="98"/>
      <c r="C13" s="98"/>
      <c r="D13" s="98">
        <f t="shared" si="0"/>
        <v>0</v>
      </c>
      <c r="E13" s="101"/>
      <c r="F13" s="100"/>
      <c r="G13" s="102"/>
      <c r="H13" s="265"/>
      <c r="I13" s="265"/>
      <c r="K13" s="102"/>
      <c r="L13" s="102"/>
      <c r="M13" s="102"/>
      <c r="N13" s="102"/>
      <c r="O13" s="102"/>
    </row>
    <row r="14" spans="1:15" s="15" customFormat="1" ht="19.5" customHeight="1">
      <c r="A14" s="73">
        <v>7</v>
      </c>
      <c r="B14" s="98"/>
      <c r="C14" s="99"/>
      <c r="D14" s="98">
        <f t="shared" si="0"/>
        <v>0</v>
      </c>
      <c r="E14" s="98"/>
      <c r="F14" s="98"/>
      <c r="G14" s="100"/>
      <c r="H14" s="265"/>
      <c r="I14" s="265"/>
      <c r="K14" s="102"/>
      <c r="L14" s="102"/>
      <c r="M14" s="102"/>
      <c r="N14" s="102"/>
      <c r="O14" s="102"/>
    </row>
    <row r="15" spans="1:15" s="15" customFormat="1" ht="19.5" customHeight="1">
      <c r="A15" s="73">
        <v>8</v>
      </c>
      <c r="B15" s="98"/>
      <c r="C15" s="99"/>
      <c r="D15" s="98">
        <f t="shared" si="0"/>
        <v>0</v>
      </c>
      <c r="E15" s="98"/>
      <c r="F15" s="98"/>
      <c r="G15" s="100"/>
      <c r="H15" s="265"/>
      <c r="I15" s="265"/>
      <c r="K15" s="102"/>
      <c r="L15" s="102"/>
      <c r="M15" s="102"/>
      <c r="N15" s="102"/>
      <c r="O15" s="102"/>
    </row>
    <row r="16" spans="1:15" s="15" customFormat="1" ht="19.5" customHeight="1">
      <c r="A16" s="73">
        <v>9</v>
      </c>
      <c r="B16" s="98"/>
      <c r="C16" s="98"/>
      <c r="D16" s="98">
        <f t="shared" si="0"/>
        <v>0</v>
      </c>
      <c r="E16" s="101"/>
      <c r="F16" s="100"/>
      <c r="G16" s="102"/>
      <c r="H16" s="265"/>
      <c r="I16" s="265"/>
      <c r="K16" s="102"/>
      <c r="L16" s="102"/>
      <c r="M16" s="102"/>
      <c r="N16" s="102"/>
      <c r="O16" s="102"/>
    </row>
    <row r="17" spans="1:15" s="15" customFormat="1" ht="19.5" customHeight="1">
      <c r="A17" s="73">
        <v>10</v>
      </c>
      <c r="B17" s="98"/>
      <c r="C17" s="99"/>
      <c r="D17" s="98">
        <f t="shared" si="0"/>
        <v>0</v>
      </c>
      <c r="E17" s="98"/>
      <c r="F17" s="98"/>
      <c r="G17" s="100"/>
      <c r="H17" s="265"/>
      <c r="I17" s="265"/>
      <c r="K17" s="102"/>
      <c r="L17" s="102"/>
      <c r="M17" s="102"/>
      <c r="N17" s="102"/>
      <c r="O17" s="102"/>
    </row>
    <row r="18" spans="1:15" s="15" customFormat="1" ht="19.5" customHeight="1">
      <c r="A18" s="73">
        <v>11</v>
      </c>
      <c r="B18" s="98"/>
      <c r="C18" s="99"/>
      <c r="D18" s="98">
        <f t="shared" si="0"/>
        <v>0</v>
      </c>
      <c r="E18" s="98"/>
      <c r="F18" s="98"/>
      <c r="G18" s="100"/>
      <c r="H18" s="265"/>
      <c r="I18" s="265"/>
      <c r="K18" s="102"/>
      <c r="L18" s="102"/>
      <c r="M18" s="102"/>
      <c r="N18" s="102"/>
      <c r="O18" s="102"/>
    </row>
    <row r="19" spans="1:15" s="15" customFormat="1" ht="19.5" customHeight="1">
      <c r="A19" s="73">
        <v>12</v>
      </c>
      <c r="B19" s="98"/>
      <c r="C19" s="98"/>
      <c r="D19" s="98">
        <f t="shared" si="0"/>
        <v>0</v>
      </c>
      <c r="E19" s="101"/>
      <c r="F19" s="85"/>
      <c r="G19" s="102"/>
      <c r="H19" s="265"/>
      <c r="I19" s="265"/>
      <c r="K19" s="102"/>
      <c r="L19" s="102"/>
      <c r="M19" s="102"/>
      <c r="N19" s="102"/>
      <c r="O19" s="102"/>
    </row>
    <row r="20" spans="1:15" s="15" customFormat="1" ht="19.5" customHeight="1">
      <c r="A20" s="73">
        <v>13</v>
      </c>
      <c r="B20" s="98"/>
      <c r="C20" s="99"/>
      <c r="D20" s="98">
        <f>SUM(K20:M20)</f>
        <v>0</v>
      </c>
      <c r="E20" s="98"/>
      <c r="F20" s="98"/>
      <c r="G20" s="100"/>
      <c r="H20" s="265"/>
      <c r="I20" s="265"/>
      <c r="K20" s="102"/>
      <c r="L20" s="102"/>
      <c r="M20" s="102"/>
      <c r="N20" s="102"/>
      <c r="O20" s="102"/>
    </row>
    <row r="21" spans="1:15" s="15" customFormat="1" ht="19.5" customHeight="1">
      <c r="A21" s="73">
        <v>14</v>
      </c>
      <c r="B21" s="98"/>
      <c r="C21" s="99"/>
      <c r="D21" s="98">
        <f t="shared" ref="D21:D31" si="1">SUM(K21:M21)</f>
        <v>0</v>
      </c>
      <c r="E21" s="98"/>
      <c r="F21" s="98"/>
      <c r="G21" s="100"/>
      <c r="H21" s="265"/>
      <c r="I21" s="265"/>
      <c r="K21" s="102"/>
      <c r="L21" s="102"/>
      <c r="M21" s="102"/>
      <c r="N21" s="102"/>
      <c r="O21" s="102"/>
    </row>
    <row r="22" spans="1:15" s="15" customFormat="1" ht="19.5" customHeight="1">
      <c r="A22" s="73">
        <v>15</v>
      </c>
      <c r="B22" s="98"/>
      <c r="C22" s="98"/>
      <c r="D22" s="98">
        <f t="shared" si="1"/>
        <v>0</v>
      </c>
      <c r="E22" s="101"/>
      <c r="F22" s="100"/>
      <c r="G22" s="102"/>
      <c r="H22" s="265"/>
      <c r="I22" s="265"/>
      <c r="K22" s="102"/>
      <c r="L22" s="102"/>
      <c r="M22" s="102"/>
      <c r="N22" s="102"/>
      <c r="O22" s="102"/>
    </row>
    <row r="23" spans="1:15" s="15" customFormat="1" ht="19.5" customHeight="1">
      <c r="A23" s="73">
        <v>16</v>
      </c>
      <c r="B23" s="98"/>
      <c r="C23" s="99"/>
      <c r="D23" s="98">
        <f t="shared" si="1"/>
        <v>0</v>
      </c>
      <c r="E23" s="98"/>
      <c r="F23" s="98"/>
      <c r="G23" s="100"/>
      <c r="H23" s="265"/>
      <c r="I23" s="265"/>
      <c r="K23" s="102"/>
      <c r="L23" s="102"/>
      <c r="M23" s="102"/>
      <c r="N23" s="102"/>
      <c r="O23" s="102"/>
    </row>
    <row r="24" spans="1:15" s="15" customFormat="1" ht="19.5" customHeight="1">
      <c r="A24" s="73">
        <v>17</v>
      </c>
      <c r="B24" s="98"/>
      <c r="C24" s="99"/>
      <c r="D24" s="98">
        <f t="shared" si="1"/>
        <v>0</v>
      </c>
      <c r="E24" s="98"/>
      <c r="F24" s="98"/>
      <c r="G24" s="100"/>
      <c r="H24" s="265"/>
      <c r="I24" s="265"/>
      <c r="K24" s="102"/>
      <c r="L24" s="102"/>
      <c r="M24" s="102"/>
      <c r="N24" s="102"/>
      <c r="O24" s="102"/>
    </row>
    <row r="25" spans="1:15" s="15" customFormat="1" ht="19.5" customHeight="1">
      <c r="A25" s="73">
        <v>18</v>
      </c>
      <c r="B25" s="98"/>
      <c r="C25" s="98"/>
      <c r="D25" s="98">
        <f t="shared" si="1"/>
        <v>0</v>
      </c>
      <c r="E25" s="101"/>
      <c r="F25" s="100"/>
      <c r="G25" s="102"/>
      <c r="H25" s="265"/>
      <c r="I25" s="265"/>
      <c r="K25" s="102"/>
      <c r="L25" s="102"/>
      <c r="M25" s="102"/>
      <c r="N25" s="102"/>
      <c r="O25" s="102"/>
    </row>
    <row r="26" spans="1:15" s="15" customFormat="1" ht="19.5" customHeight="1">
      <c r="A26" s="73">
        <v>19</v>
      </c>
      <c r="B26" s="98"/>
      <c r="C26" s="99"/>
      <c r="D26" s="98">
        <f t="shared" si="1"/>
        <v>0</v>
      </c>
      <c r="E26" s="98"/>
      <c r="F26" s="98"/>
      <c r="G26" s="100"/>
      <c r="H26" s="265"/>
      <c r="I26" s="265"/>
      <c r="K26" s="102"/>
      <c r="L26" s="102"/>
      <c r="M26" s="102"/>
      <c r="N26" s="102"/>
      <c r="O26" s="102"/>
    </row>
    <row r="27" spans="1:15" s="15" customFormat="1" ht="19.5" customHeight="1">
      <c r="A27" s="73">
        <v>20</v>
      </c>
      <c r="B27" s="98"/>
      <c r="C27" s="99"/>
      <c r="D27" s="98">
        <f t="shared" si="1"/>
        <v>0</v>
      </c>
      <c r="E27" s="98"/>
      <c r="F27" s="98"/>
      <c r="G27" s="100"/>
      <c r="H27" s="265"/>
      <c r="I27" s="265"/>
      <c r="K27" s="102"/>
      <c r="L27" s="102"/>
      <c r="M27" s="102"/>
      <c r="N27" s="102"/>
      <c r="O27" s="102"/>
    </row>
    <row r="28" spans="1:15" s="15" customFormat="1" ht="19.5" customHeight="1">
      <c r="A28" s="73">
        <v>21</v>
      </c>
      <c r="B28" s="98"/>
      <c r="C28" s="98"/>
      <c r="D28" s="98">
        <f t="shared" si="1"/>
        <v>0</v>
      </c>
      <c r="E28" s="101"/>
      <c r="F28" s="100"/>
      <c r="G28" s="102"/>
      <c r="H28" s="265"/>
      <c r="I28" s="265"/>
      <c r="K28" s="102"/>
      <c r="L28" s="102"/>
      <c r="M28" s="102"/>
      <c r="N28" s="102"/>
      <c r="O28" s="102"/>
    </row>
    <row r="29" spans="1:15" s="15" customFormat="1" ht="19.5" customHeight="1">
      <c r="A29" s="73">
        <v>22</v>
      </c>
      <c r="B29" s="98"/>
      <c r="C29" s="99"/>
      <c r="D29" s="98">
        <f t="shared" si="1"/>
        <v>0</v>
      </c>
      <c r="E29" s="98"/>
      <c r="F29" s="98"/>
      <c r="G29" s="100"/>
      <c r="H29" s="265"/>
      <c r="I29" s="265"/>
      <c r="K29" s="102"/>
      <c r="L29" s="102"/>
      <c r="M29" s="102"/>
      <c r="N29" s="102"/>
      <c r="O29" s="102"/>
    </row>
    <row r="30" spans="1:15" s="15" customFormat="1" ht="19.5" customHeight="1">
      <c r="A30" s="73">
        <v>23</v>
      </c>
      <c r="B30" s="98"/>
      <c r="C30" s="99"/>
      <c r="D30" s="98">
        <f t="shared" si="1"/>
        <v>0</v>
      </c>
      <c r="E30" s="98"/>
      <c r="F30" s="98"/>
      <c r="G30" s="100"/>
      <c r="H30" s="265"/>
      <c r="I30" s="265"/>
      <c r="K30" s="102"/>
      <c r="L30" s="102"/>
      <c r="M30" s="102"/>
      <c r="N30" s="102"/>
      <c r="O30" s="102"/>
    </row>
    <row r="31" spans="1:15" s="15" customFormat="1" ht="19.5" customHeight="1">
      <c r="A31" s="73">
        <v>24</v>
      </c>
      <c r="B31" s="98"/>
      <c r="C31" s="98"/>
      <c r="D31" s="98">
        <f t="shared" si="1"/>
        <v>0</v>
      </c>
      <c r="E31" s="101"/>
      <c r="F31" s="85"/>
      <c r="G31" s="102"/>
      <c r="H31" s="265"/>
      <c r="I31" s="265"/>
      <c r="K31" s="102"/>
      <c r="L31" s="102"/>
      <c r="M31" s="102"/>
      <c r="N31" s="102"/>
      <c r="O31" s="102"/>
    </row>
    <row r="32" spans="1:15" s="15" customFormat="1" ht="18.600000000000001" thickBot="1">
      <c r="A32" s="339"/>
      <c r="B32" s="340"/>
      <c r="C32" s="341"/>
      <c r="D32" s="103">
        <f>SUM(D8:D31)</f>
        <v>0</v>
      </c>
      <c r="E32" s="104"/>
      <c r="F32" s="103">
        <f>BOM!G156</f>
        <v>0</v>
      </c>
      <c r="G32" s="103">
        <f>BOM!H156</f>
        <v>0</v>
      </c>
      <c r="H32" s="342">
        <f>BOM!I156</f>
        <v>0</v>
      </c>
      <c r="I32" s="342"/>
      <c r="K32" s="103">
        <f>SUM(K8:K31)</f>
        <v>0</v>
      </c>
      <c r="L32" s="103">
        <f t="shared" ref="L32:N32" si="2">SUM(L8:L31)</f>
        <v>0</v>
      </c>
      <c r="M32" s="103">
        <f t="shared" si="2"/>
        <v>0</v>
      </c>
      <c r="N32" s="103">
        <f t="shared" si="2"/>
        <v>0</v>
      </c>
      <c r="O32" s="103">
        <f>SUM(K32:N32)</f>
        <v>0</v>
      </c>
    </row>
    <row r="33" spans="1:9" s="15" customFormat="1" ht="15" customHeight="1" thickTop="1">
      <c r="A33" s="41"/>
      <c r="B33" s="41"/>
      <c r="C33" s="41"/>
      <c r="D33" s="41"/>
      <c r="E33" s="41"/>
      <c r="F33" s="41"/>
      <c r="G33" s="41"/>
      <c r="H33" s="41"/>
      <c r="I33" s="41"/>
    </row>
    <row r="34" spans="1:9" s="15" customFormat="1" ht="18">
      <c r="A34" s="105" t="s">
        <v>63</v>
      </c>
      <c r="B34" s="105"/>
      <c r="C34" s="105"/>
      <c r="D34" s="106"/>
      <c r="E34" s="105"/>
      <c r="F34" s="105"/>
      <c r="G34" s="105"/>
      <c r="H34" s="105"/>
      <c r="I34" s="105"/>
    </row>
    <row r="35" spans="1:9" s="15" customFormat="1" ht="18">
      <c r="A35" s="301" t="s">
        <v>64</v>
      </c>
      <c r="B35" s="301"/>
      <c r="C35" s="301"/>
      <c r="D35" s="301"/>
      <c r="E35" s="301"/>
      <c r="F35" s="301"/>
      <c r="G35" s="301"/>
      <c r="H35" s="301"/>
      <c r="I35" s="301"/>
    </row>
    <row r="36" spans="1:9" s="15" customFormat="1" ht="24" customHeight="1">
      <c r="A36" s="267" t="s">
        <v>149</v>
      </c>
      <c r="B36" s="267"/>
      <c r="C36" s="267"/>
      <c r="D36" s="267"/>
      <c r="E36" s="267" t="s">
        <v>22</v>
      </c>
      <c r="F36" s="267"/>
      <c r="G36" s="267"/>
      <c r="H36" s="267" t="s">
        <v>150</v>
      </c>
      <c r="I36" s="267"/>
    </row>
    <row r="37" spans="1:9" s="15" customFormat="1" ht="102.75" customHeight="1">
      <c r="A37" s="331"/>
      <c r="B37" s="331"/>
      <c r="C37" s="331"/>
      <c r="D37" s="331"/>
      <c r="E37" s="331"/>
      <c r="F37" s="331"/>
      <c r="G37" s="331"/>
      <c r="H37" s="331"/>
      <c r="I37" s="331"/>
    </row>
  </sheetData>
  <mergeCells count="44">
    <mergeCell ref="H18:I18"/>
    <mergeCell ref="H19:I19"/>
    <mergeCell ref="H13:I13"/>
    <mergeCell ref="H14:I14"/>
    <mergeCell ref="H15:I15"/>
    <mergeCell ref="H16:I16"/>
    <mergeCell ref="H17:I17"/>
    <mergeCell ref="H8:I8"/>
    <mergeCell ref="H9:I9"/>
    <mergeCell ref="H10:I10"/>
    <mergeCell ref="H11:I11"/>
    <mergeCell ref="H12:I12"/>
    <mergeCell ref="H31:I31"/>
    <mergeCell ref="A5:B5"/>
    <mergeCell ref="C5:G5"/>
    <mergeCell ref="H7:I7"/>
    <mergeCell ref="H29:I29"/>
    <mergeCell ref="H30:I30"/>
    <mergeCell ref="H26:I26"/>
    <mergeCell ref="H27:I27"/>
    <mergeCell ref="H28:I28"/>
    <mergeCell ref="H23:I23"/>
    <mergeCell ref="H24:I24"/>
    <mergeCell ref="H25:I25"/>
    <mergeCell ref="H20:I20"/>
    <mergeCell ref="H21:I21"/>
    <mergeCell ref="H22:I22"/>
    <mergeCell ref="A6:I6"/>
    <mergeCell ref="A2:B2"/>
    <mergeCell ref="C2:G2"/>
    <mergeCell ref="H2:I4"/>
    <mergeCell ref="A3:B3"/>
    <mergeCell ref="C3:F3"/>
    <mergeCell ref="A4:B4"/>
    <mergeCell ref="C4:G4"/>
    <mergeCell ref="A37:D37"/>
    <mergeCell ref="E37:G37"/>
    <mergeCell ref="H37:I37"/>
    <mergeCell ref="A32:C32"/>
    <mergeCell ref="H32:I32"/>
    <mergeCell ref="A35:I35"/>
    <mergeCell ref="A36:D36"/>
    <mergeCell ref="E36:G36"/>
    <mergeCell ref="H36:I36"/>
  </mergeCells>
  <phoneticPr fontId="16" type="noConversion"/>
  <conditionalFormatting sqref="B30:B31">
    <cfRule type="duplicateValues" dxfId="63" priority="57"/>
    <cfRule type="duplicateValues" dxfId="62" priority="58"/>
    <cfRule type="duplicateValues" dxfId="61" priority="59"/>
    <cfRule type="duplicateValues" dxfId="60" priority="60"/>
  </conditionalFormatting>
  <conditionalFormatting sqref="B30:B31">
    <cfRule type="duplicateValues" dxfId="59" priority="61"/>
  </conditionalFormatting>
  <conditionalFormatting sqref="B30:B31">
    <cfRule type="duplicateValues" dxfId="58" priority="62"/>
    <cfRule type="duplicateValues" dxfId="57" priority="63"/>
    <cfRule type="duplicateValues" dxfId="56" priority="64"/>
  </conditionalFormatting>
  <conditionalFormatting sqref="B27:B28">
    <cfRule type="duplicateValues" dxfId="55" priority="49"/>
    <cfRule type="duplicateValues" dxfId="54" priority="50"/>
    <cfRule type="duplicateValues" dxfId="53" priority="51"/>
    <cfRule type="duplicateValues" dxfId="52" priority="52"/>
  </conditionalFormatting>
  <conditionalFormatting sqref="B27:B28">
    <cfRule type="duplicateValues" dxfId="51" priority="53"/>
  </conditionalFormatting>
  <conditionalFormatting sqref="B27:B28">
    <cfRule type="duplicateValues" dxfId="50" priority="54"/>
    <cfRule type="duplicateValues" dxfId="49" priority="55"/>
    <cfRule type="duplicateValues" dxfId="48" priority="56"/>
  </conditionalFormatting>
  <conditionalFormatting sqref="B24:B25">
    <cfRule type="duplicateValues" dxfId="47" priority="41"/>
    <cfRule type="duplicateValues" dxfId="46" priority="42"/>
    <cfRule type="duplicateValues" dxfId="45" priority="43"/>
    <cfRule type="duplicateValues" dxfId="44" priority="44"/>
  </conditionalFormatting>
  <conditionalFormatting sqref="B24:B25">
    <cfRule type="duplicateValues" dxfId="43" priority="45"/>
  </conditionalFormatting>
  <conditionalFormatting sqref="B24:B25">
    <cfRule type="duplicateValues" dxfId="42" priority="46"/>
    <cfRule type="duplicateValues" dxfId="41" priority="47"/>
    <cfRule type="duplicateValues" dxfId="40" priority="48"/>
  </conditionalFormatting>
  <conditionalFormatting sqref="B21:B22">
    <cfRule type="duplicateValues" dxfId="39" priority="33"/>
    <cfRule type="duplicateValues" dxfId="38" priority="34"/>
    <cfRule type="duplicateValues" dxfId="37" priority="35"/>
    <cfRule type="duplicateValues" dxfId="36" priority="36"/>
  </conditionalFormatting>
  <conditionalFormatting sqref="B21:B22">
    <cfRule type="duplicateValues" dxfId="35" priority="37"/>
  </conditionalFormatting>
  <conditionalFormatting sqref="B21:B22">
    <cfRule type="duplicateValues" dxfId="34" priority="38"/>
    <cfRule type="duplicateValues" dxfId="33" priority="39"/>
    <cfRule type="duplicateValues" dxfId="32" priority="40"/>
  </conditionalFormatting>
  <conditionalFormatting sqref="B18:B19">
    <cfRule type="duplicateValues" dxfId="31" priority="25"/>
    <cfRule type="duplicateValues" dxfId="30" priority="26"/>
    <cfRule type="duplicateValues" dxfId="29" priority="27"/>
    <cfRule type="duplicateValues" dxfId="28" priority="28"/>
  </conditionalFormatting>
  <conditionalFormatting sqref="B18:B19">
    <cfRule type="duplicateValues" dxfId="27" priority="29"/>
  </conditionalFormatting>
  <conditionalFormatting sqref="B18:B19">
    <cfRule type="duplicateValues" dxfId="26" priority="30"/>
    <cfRule type="duplicateValues" dxfId="25" priority="31"/>
    <cfRule type="duplicateValues" dxfId="24" priority="32"/>
  </conditionalFormatting>
  <conditionalFormatting sqref="B15:B16">
    <cfRule type="duplicateValues" dxfId="23" priority="17"/>
    <cfRule type="duplicateValues" dxfId="22" priority="18"/>
    <cfRule type="duplicateValues" dxfId="21" priority="19"/>
    <cfRule type="duplicateValues" dxfId="20" priority="20"/>
  </conditionalFormatting>
  <conditionalFormatting sqref="B15:B16">
    <cfRule type="duplicateValues" dxfId="19" priority="21"/>
  </conditionalFormatting>
  <conditionalFormatting sqref="B15:B16">
    <cfRule type="duplicateValues" dxfId="18" priority="22"/>
    <cfRule type="duplicateValues" dxfId="17" priority="23"/>
    <cfRule type="duplicateValues" dxfId="16" priority="24"/>
  </conditionalFormatting>
  <conditionalFormatting sqref="B12:B13">
    <cfRule type="duplicateValues" dxfId="15" priority="9"/>
    <cfRule type="duplicateValues" dxfId="14" priority="10"/>
    <cfRule type="duplicateValues" dxfId="13" priority="11"/>
    <cfRule type="duplicateValues" dxfId="12" priority="12"/>
  </conditionalFormatting>
  <conditionalFormatting sqref="B12:B13">
    <cfRule type="duplicateValues" dxfId="11" priority="13"/>
  </conditionalFormatting>
  <conditionalFormatting sqref="B12:B13">
    <cfRule type="duplicateValues" dxfId="10" priority="14"/>
    <cfRule type="duplicateValues" dxfId="9" priority="15"/>
    <cfRule type="duplicateValues" dxfId="8" priority="16"/>
  </conditionalFormatting>
  <conditionalFormatting sqref="B9:B10">
    <cfRule type="duplicateValues" dxfId="7" priority="1"/>
    <cfRule type="duplicateValues" dxfId="6" priority="2"/>
    <cfRule type="duplicateValues" dxfId="5" priority="3"/>
    <cfRule type="duplicateValues" dxfId="4" priority="4"/>
  </conditionalFormatting>
  <conditionalFormatting sqref="B9:B10">
    <cfRule type="duplicateValues" dxfId="3" priority="5"/>
  </conditionalFormatting>
  <conditionalFormatting sqref="B9:B10">
    <cfRule type="duplicateValues" dxfId="2" priority="6"/>
    <cfRule type="duplicateValues" dxfId="1" priority="7"/>
    <cfRule type="duplicateValues" dxfId="0" priority="8"/>
  </conditionalFormatting>
  <pageMargins left="0.17" right="0.16" top="0.6" bottom="0.16" header="0.21" footer="0.16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KEY</vt:lpstr>
      <vt:lpstr>COVER PAGE</vt:lpstr>
      <vt:lpstr>REF DOC</vt:lpstr>
      <vt:lpstr>SUMMARY</vt:lpstr>
      <vt:lpstr>BOM</vt:lpstr>
      <vt:lpstr>ALLOCATION</vt:lpstr>
      <vt:lpstr>FDW</vt:lpstr>
      <vt:lpstr>POLE SHEET</vt:lpstr>
      <vt:lpstr>ALLOCATION!Print_Area</vt:lpstr>
      <vt:lpstr>BOM!Print_Area</vt:lpstr>
      <vt:lpstr>'COVER PAGE'!Print_Area</vt:lpstr>
      <vt:lpstr>FDW!Print_Area</vt:lpstr>
      <vt:lpstr>'POLE SHEET'!Print_Area</vt:lpstr>
      <vt:lpstr>'REF DOC'!Print_Area</vt:lpstr>
      <vt:lpstr>SUMMARY!Print_Area</vt:lpstr>
      <vt:lpstr>ALLOCATION!Print_Titles</vt:lpstr>
      <vt:lpstr>BOM!Print_Titles</vt:lpstr>
      <vt:lpstr>FDW!Print_Titles</vt:lpstr>
      <vt:lpstr>'POLE SHEET'!Print_Titles</vt:lpstr>
    </vt:vector>
  </TitlesOfParts>
  <Company>ATSL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ATSL IT Systems</dc:creator>
  <cp:lastModifiedBy>Pavithra Madhushani</cp:lastModifiedBy>
  <cp:lastPrinted>2026-03-21T09:00:47Z</cp:lastPrinted>
  <dcterms:created xsi:type="dcterms:W3CDTF">2012-09-14T09:29:55Z</dcterms:created>
  <dcterms:modified xsi:type="dcterms:W3CDTF">2026-03-23T05:07:30Z</dcterms:modified>
</cp:coreProperties>
</file>