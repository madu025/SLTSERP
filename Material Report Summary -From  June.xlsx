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\SLTSERP\"/>
    </mc:Choice>
  </mc:AlternateContent>
  <xr:revisionPtr revIDLastSave="0" documentId="13_ncr:1_{21461F81-7DD2-40FF-ACCC-EC5110551FE9}" xr6:coauthVersionLast="47" xr6:coauthVersionMax="47" xr10:uidLastSave="{00000000-0000-0000-0000-000000000000}"/>
  <bookViews>
    <workbookView xWindow="-108" yWindow="-108" windowWidth="23256" windowHeight="12456" xr2:uid="{E965E8FD-D22F-4DEA-B53A-01D390A0DD50}"/>
  </bookViews>
  <sheets>
    <sheet name="Sheet1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8" i="2" l="1"/>
  <c r="I173" i="2" l="1"/>
  <c r="G181" i="2"/>
  <c r="G183" i="2" s="1"/>
  <c r="N182" i="2"/>
  <c r="M182" i="2"/>
  <c r="L182" i="2"/>
  <c r="K182" i="2"/>
  <c r="J182" i="2"/>
  <c r="I182" i="2"/>
  <c r="H182" i="2"/>
  <c r="G182" i="2"/>
  <c r="F182" i="2"/>
  <c r="E182" i="2"/>
  <c r="D182" i="2"/>
  <c r="C182" i="2"/>
  <c r="N181" i="2"/>
  <c r="N183" i="2" s="1"/>
  <c r="M181" i="2"/>
  <c r="M183" i="2" s="1"/>
  <c r="L181" i="2"/>
  <c r="L183" i="2" s="1"/>
  <c r="F181" i="2"/>
  <c r="F183" i="2" s="1"/>
  <c r="E181" i="2"/>
  <c r="E183" i="2" s="1"/>
  <c r="D181" i="2"/>
  <c r="D183" i="2" s="1"/>
  <c r="K180" i="2"/>
  <c r="K181" i="2" s="1"/>
  <c r="K183" i="2" s="1"/>
  <c r="J180" i="2"/>
  <c r="J181" i="2" s="1"/>
  <c r="J183" i="2" s="1"/>
  <c r="I180" i="2"/>
  <c r="O180" i="2" s="1"/>
  <c r="H180" i="2"/>
  <c r="H181" i="2" s="1"/>
  <c r="H183" i="2" s="1"/>
  <c r="C180" i="2"/>
  <c r="C181" i="2" s="1"/>
  <c r="C183" i="2" s="1"/>
  <c r="N173" i="2"/>
  <c r="M173" i="2"/>
  <c r="L173" i="2"/>
  <c r="K173" i="2"/>
  <c r="J173" i="2"/>
  <c r="H173" i="2"/>
  <c r="G173" i="2"/>
  <c r="F173" i="2"/>
  <c r="E173" i="2"/>
  <c r="D173" i="2"/>
  <c r="C173" i="2"/>
  <c r="N172" i="2"/>
  <c r="N174" i="2" s="1"/>
  <c r="M172" i="2"/>
  <c r="M174" i="2" s="1"/>
  <c r="L172" i="2"/>
  <c r="L174" i="2" s="1"/>
  <c r="G172" i="2"/>
  <c r="F172" i="2"/>
  <c r="E172" i="2"/>
  <c r="D172" i="2"/>
  <c r="K171" i="2"/>
  <c r="K172" i="2" s="1"/>
  <c r="K174" i="2" s="1"/>
  <c r="J171" i="2"/>
  <c r="J172" i="2" s="1"/>
  <c r="J174" i="2" s="1"/>
  <c r="I171" i="2"/>
  <c r="O171" i="2" s="1"/>
  <c r="H171" i="2"/>
  <c r="H172" i="2" s="1"/>
  <c r="C171" i="2"/>
  <c r="C172" i="2" s="1"/>
  <c r="C174" i="2" s="1"/>
  <c r="O170" i="2"/>
  <c r="C198" i="2"/>
  <c r="C199" i="2" s="1"/>
  <c r="E198" i="2"/>
  <c r="L163" i="2"/>
  <c r="G198" i="2"/>
  <c r="J198" i="2"/>
  <c r="J199" i="2" s="1"/>
  <c r="D198" i="2"/>
  <c r="K198" i="2"/>
  <c r="K199" i="2" s="1"/>
  <c r="J162" i="2"/>
  <c r="H162" i="2"/>
  <c r="D204" i="2"/>
  <c r="E204" i="2"/>
  <c r="F204" i="2"/>
  <c r="G204" i="2"/>
  <c r="H204" i="2"/>
  <c r="J204" i="2"/>
  <c r="K204" i="2"/>
  <c r="L204" i="2"/>
  <c r="M204" i="2"/>
  <c r="N204" i="2"/>
  <c r="C204" i="2"/>
  <c r="H198" i="2"/>
  <c r="H199" i="2" s="1"/>
  <c r="H200" i="2" s="1"/>
  <c r="I198" i="2"/>
  <c r="I199" i="2" s="1"/>
  <c r="L198" i="2"/>
  <c r="M198" i="2"/>
  <c r="N198" i="2"/>
  <c r="I172" i="2" l="1"/>
  <c r="O172" i="2" s="1"/>
  <c r="H174" i="2"/>
  <c r="E174" i="2"/>
  <c r="F174" i="2"/>
  <c r="G174" i="2"/>
  <c r="D174" i="2"/>
  <c r="I181" i="2"/>
  <c r="O181" i="2" s="1"/>
  <c r="Q182" i="2"/>
  <c r="Q173" i="2"/>
  <c r="K200" i="2"/>
  <c r="K209" i="2" s="1"/>
  <c r="I200" i="2"/>
  <c r="I209" i="2" s="1"/>
  <c r="H209" i="2"/>
  <c r="J200" i="2"/>
  <c r="J209" i="2" s="1"/>
  <c r="C200" i="2"/>
  <c r="K162" i="2"/>
  <c r="K153" i="2"/>
  <c r="K144" i="2"/>
  <c r="K135" i="2"/>
  <c r="K126" i="2"/>
  <c r="K117" i="2"/>
  <c r="K108" i="2"/>
  <c r="K99" i="2"/>
  <c r="E154" i="2"/>
  <c r="D154" i="2"/>
  <c r="I174" i="2" l="1"/>
  <c r="Q174" i="2" s="1"/>
  <c r="I183" i="2"/>
  <c r="Q183" i="2" s="1"/>
  <c r="C203" i="2"/>
  <c r="C209" i="2"/>
  <c r="E199" i="2" l="1"/>
  <c r="E200" i="2" s="1"/>
  <c r="E209" i="2" s="1"/>
  <c r="F199" i="2"/>
  <c r="F200" i="2" s="1"/>
  <c r="F209" i="2" s="1"/>
  <c r="G199" i="2"/>
  <c r="G200" i="2" s="1"/>
  <c r="L199" i="2"/>
  <c r="L200" i="2" s="1"/>
  <c r="L209" i="2" s="1"/>
  <c r="M199" i="2"/>
  <c r="M200" i="2" s="1"/>
  <c r="M209" i="2" s="1"/>
  <c r="N199" i="2"/>
  <c r="N200" i="2" s="1"/>
  <c r="N209" i="2" s="1"/>
  <c r="D199" i="2"/>
  <c r="D200" i="2" s="1"/>
  <c r="D209" i="2" s="1"/>
  <c r="N164" i="2"/>
  <c r="M164" i="2"/>
  <c r="L164" i="2"/>
  <c r="K164" i="2"/>
  <c r="J164" i="2"/>
  <c r="I164" i="2"/>
  <c r="H164" i="2"/>
  <c r="G164" i="2"/>
  <c r="F164" i="2"/>
  <c r="E164" i="2"/>
  <c r="D164" i="2"/>
  <c r="C164" i="2"/>
  <c r="N163" i="2"/>
  <c r="N165" i="2" s="1"/>
  <c r="M163" i="2"/>
  <c r="M165" i="2" s="1"/>
  <c r="L165" i="2"/>
  <c r="K163" i="2"/>
  <c r="K165" i="2" s="1"/>
  <c r="G163" i="2"/>
  <c r="G165" i="2" s="1"/>
  <c r="F163" i="2"/>
  <c r="F165" i="2" s="1"/>
  <c r="E163" i="2"/>
  <c r="E165" i="2" s="1"/>
  <c r="D163" i="2"/>
  <c r="D165" i="2" s="1"/>
  <c r="J163" i="2"/>
  <c r="J165" i="2" s="1"/>
  <c r="I162" i="2"/>
  <c r="O162" i="2" s="1"/>
  <c r="H163" i="2"/>
  <c r="H165" i="2" s="1"/>
  <c r="C162" i="2"/>
  <c r="C163" i="2" s="1"/>
  <c r="C165" i="2" s="1"/>
  <c r="O161" i="2"/>
  <c r="G203" i="2" l="1"/>
  <c r="G209" i="2"/>
  <c r="I163" i="2"/>
  <c r="I165" i="2" s="1"/>
  <c r="Q165" i="2" s="1"/>
  <c r="Q164" i="2"/>
  <c r="O163" i="2"/>
  <c r="N155" i="2" l="1"/>
  <c r="M155" i="2"/>
  <c r="L155" i="2"/>
  <c r="K155" i="2"/>
  <c r="J155" i="2"/>
  <c r="I155" i="2"/>
  <c r="H155" i="2"/>
  <c r="G155" i="2"/>
  <c r="F155" i="2"/>
  <c r="E155" i="2"/>
  <c r="D155" i="2"/>
  <c r="C155" i="2"/>
  <c r="N154" i="2"/>
  <c r="M154" i="2"/>
  <c r="L154" i="2"/>
  <c r="G154" i="2"/>
  <c r="F154" i="2"/>
  <c r="E156" i="2"/>
  <c r="D156" i="2"/>
  <c r="J153" i="2"/>
  <c r="I153" i="2"/>
  <c r="H153" i="2"/>
  <c r="C153" i="2"/>
  <c r="O152" i="2"/>
  <c r="O150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N145" i="2"/>
  <c r="N147" i="2" s="1"/>
  <c r="M145" i="2"/>
  <c r="L145" i="2"/>
  <c r="G145" i="2"/>
  <c r="G147" i="2" s="1"/>
  <c r="F145" i="2"/>
  <c r="F147" i="2" s="1"/>
  <c r="E145" i="2"/>
  <c r="E147" i="2" s="1"/>
  <c r="D145" i="2"/>
  <c r="D147" i="2" s="1"/>
  <c r="K145" i="2"/>
  <c r="K147" i="2" s="1"/>
  <c r="J144" i="2"/>
  <c r="J145" i="2" s="1"/>
  <c r="I144" i="2"/>
  <c r="I145" i="2" s="1"/>
  <c r="H144" i="2"/>
  <c r="H145" i="2" s="1"/>
  <c r="C144" i="2"/>
  <c r="C145" i="2" s="1"/>
  <c r="O143" i="2"/>
  <c r="O141" i="2"/>
  <c r="K136" i="2"/>
  <c r="K138" i="2" s="1"/>
  <c r="Q78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N136" i="2"/>
  <c r="N138" i="2" s="1"/>
  <c r="M136" i="2"/>
  <c r="M138" i="2" s="1"/>
  <c r="L136" i="2"/>
  <c r="L138" i="2" s="1"/>
  <c r="G136" i="2"/>
  <c r="G138" i="2" s="1"/>
  <c r="F136" i="2"/>
  <c r="F138" i="2" s="1"/>
  <c r="E136" i="2"/>
  <c r="E138" i="2" s="1"/>
  <c r="D136" i="2"/>
  <c r="D138" i="2" s="1"/>
  <c r="J135" i="2"/>
  <c r="J136" i="2" s="1"/>
  <c r="J138" i="2" s="1"/>
  <c r="I135" i="2"/>
  <c r="O135" i="2" s="1"/>
  <c r="H135" i="2"/>
  <c r="H136" i="2" s="1"/>
  <c r="H138" i="2" s="1"/>
  <c r="C135" i="2"/>
  <c r="C136" i="2" s="1"/>
  <c r="C138" i="2" s="1"/>
  <c r="O134" i="2"/>
  <c r="O132" i="2"/>
  <c r="O144" i="2" l="1"/>
  <c r="N156" i="2"/>
  <c r="M156" i="2"/>
  <c r="L156" i="2"/>
  <c r="O153" i="2"/>
  <c r="J154" i="2"/>
  <c r="G156" i="2"/>
  <c r="C154" i="2"/>
  <c r="F156" i="2"/>
  <c r="H154" i="2"/>
  <c r="K154" i="2"/>
  <c r="I154" i="2"/>
  <c r="I147" i="2"/>
  <c r="O145" i="2"/>
  <c r="Q155" i="2"/>
  <c r="Q146" i="2"/>
  <c r="J147" i="2"/>
  <c r="C147" i="2"/>
  <c r="H147" i="2"/>
  <c r="M147" i="2"/>
  <c r="L147" i="2"/>
  <c r="I136" i="2"/>
  <c r="O136" i="2" s="1"/>
  <c r="Q137" i="2"/>
  <c r="O154" i="2" l="1"/>
  <c r="J156" i="2"/>
  <c r="C156" i="2"/>
  <c r="H156" i="2"/>
  <c r="K156" i="2"/>
  <c r="I156" i="2"/>
  <c r="Q147" i="2"/>
  <c r="I138" i="2"/>
  <c r="Q138" i="2" s="1"/>
  <c r="Q156" i="2" l="1"/>
  <c r="N128" i="2" l="1"/>
  <c r="M128" i="2"/>
  <c r="L128" i="2"/>
  <c r="K128" i="2"/>
  <c r="J128" i="2"/>
  <c r="I128" i="2"/>
  <c r="H128" i="2"/>
  <c r="G128" i="2"/>
  <c r="F128" i="2"/>
  <c r="E128" i="2"/>
  <c r="D128" i="2"/>
  <c r="C128" i="2"/>
  <c r="N127" i="2"/>
  <c r="N129" i="2" s="1"/>
  <c r="M127" i="2"/>
  <c r="M129" i="2" s="1"/>
  <c r="L127" i="2"/>
  <c r="L129" i="2" s="1"/>
  <c r="G127" i="2"/>
  <c r="G129" i="2" s="1"/>
  <c r="F127" i="2"/>
  <c r="F129" i="2" s="1"/>
  <c r="E127" i="2"/>
  <c r="E129" i="2" s="1"/>
  <c r="D127" i="2"/>
  <c r="D129" i="2" s="1"/>
  <c r="K127" i="2"/>
  <c r="K129" i="2" s="1"/>
  <c r="J126" i="2"/>
  <c r="J127" i="2" s="1"/>
  <c r="J129" i="2" s="1"/>
  <c r="I126" i="2"/>
  <c r="I127" i="2" s="1"/>
  <c r="H126" i="2"/>
  <c r="H127" i="2" s="1"/>
  <c r="H129" i="2" s="1"/>
  <c r="C126" i="2"/>
  <c r="C127" i="2" s="1"/>
  <c r="C129" i="2" s="1"/>
  <c r="O125" i="2"/>
  <c r="O123" i="2"/>
  <c r="Q128" i="2" l="1"/>
  <c r="O127" i="2"/>
  <c r="I129" i="2"/>
  <c r="Q129" i="2" s="1"/>
  <c r="O126" i="2"/>
  <c r="O114" i="2"/>
  <c r="O105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N118" i="2"/>
  <c r="N120" i="2" s="1"/>
  <c r="M118" i="2"/>
  <c r="M120" i="2" s="1"/>
  <c r="L118" i="2"/>
  <c r="L120" i="2" s="1"/>
  <c r="G118" i="2"/>
  <c r="G120" i="2" s="1"/>
  <c r="F118" i="2"/>
  <c r="F120" i="2" s="1"/>
  <c r="E118" i="2"/>
  <c r="E120" i="2" s="1"/>
  <c r="D118" i="2"/>
  <c r="D120" i="2" s="1"/>
  <c r="K118" i="2"/>
  <c r="K120" i="2" s="1"/>
  <c r="J117" i="2"/>
  <c r="J118" i="2" s="1"/>
  <c r="J120" i="2" s="1"/>
  <c r="I117" i="2"/>
  <c r="O117" i="2" s="1"/>
  <c r="H117" i="2"/>
  <c r="H118" i="2" s="1"/>
  <c r="H120" i="2" s="1"/>
  <c r="C117" i="2"/>
  <c r="C118" i="2" s="1"/>
  <c r="C120" i="2" s="1"/>
  <c r="O116" i="2"/>
  <c r="Q119" i="2" l="1"/>
  <c r="I118" i="2"/>
  <c r="O118" i="2" s="1"/>
  <c r="I120" i="2" l="1"/>
  <c r="Q120" i="2" s="1"/>
  <c r="N110" i="2" l="1"/>
  <c r="M110" i="2"/>
  <c r="L110" i="2"/>
  <c r="K110" i="2"/>
  <c r="J110" i="2"/>
  <c r="I110" i="2"/>
  <c r="H110" i="2"/>
  <c r="G110" i="2"/>
  <c r="F110" i="2"/>
  <c r="E110" i="2"/>
  <c r="D110" i="2"/>
  <c r="C110" i="2"/>
  <c r="N109" i="2"/>
  <c r="N111" i="2" s="1"/>
  <c r="M109" i="2"/>
  <c r="M111" i="2" s="1"/>
  <c r="L109" i="2"/>
  <c r="L111" i="2" s="1"/>
  <c r="G109" i="2"/>
  <c r="G111" i="2" s="1"/>
  <c r="F109" i="2"/>
  <c r="F111" i="2" s="1"/>
  <c r="E109" i="2"/>
  <c r="E111" i="2" s="1"/>
  <c r="D109" i="2"/>
  <c r="D111" i="2" s="1"/>
  <c r="J108" i="2"/>
  <c r="J109" i="2" s="1"/>
  <c r="J111" i="2" s="1"/>
  <c r="I108" i="2"/>
  <c r="O108" i="2" s="1"/>
  <c r="H108" i="2"/>
  <c r="H109" i="2" s="1"/>
  <c r="H111" i="2" s="1"/>
  <c r="C108" i="2"/>
  <c r="C109" i="2" s="1"/>
  <c r="C111" i="2" s="1"/>
  <c r="O107" i="2"/>
  <c r="Q110" i="2" l="1"/>
  <c r="I109" i="2"/>
  <c r="K109" i="2"/>
  <c r="K111" i="2" l="1"/>
  <c r="I111" i="2"/>
  <c r="O109" i="2"/>
  <c r="Q111" i="2" l="1"/>
  <c r="I87" i="2" l="1"/>
  <c r="I204" i="2" s="1"/>
  <c r="N101" i="2" l="1"/>
  <c r="M101" i="2"/>
  <c r="L101" i="2"/>
  <c r="K101" i="2"/>
  <c r="J101" i="2"/>
  <c r="I101" i="2"/>
  <c r="H101" i="2"/>
  <c r="G101" i="2"/>
  <c r="F101" i="2"/>
  <c r="E101" i="2"/>
  <c r="D101" i="2"/>
  <c r="C101" i="2"/>
  <c r="N100" i="2"/>
  <c r="N102" i="2" s="1"/>
  <c r="M100" i="2"/>
  <c r="M102" i="2" s="1"/>
  <c r="L100" i="2"/>
  <c r="L102" i="2" s="1"/>
  <c r="G100" i="2"/>
  <c r="G102" i="2" s="1"/>
  <c r="F100" i="2"/>
  <c r="F102" i="2" s="1"/>
  <c r="E100" i="2"/>
  <c r="E102" i="2" s="1"/>
  <c r="D100" i="2"/>
  <c r="D102" i="2" s="1"/>
  <c r="J99" i="2"/>
  <c r="J100" i="2" s="1"/>
  <c r="J102" i="2" s="1"/>
  <c r="I99" i="2"/>
  <c r="I100" i="2" s="1"/>
  <c r="H99" i="2"/>
  <c r="H100" i="2" s="1"/>
  <c r="H102" i="2" s="1"/>
  <c r="C99" i="2"/>
  <c r="C100" i="2" s="1"/>
  <c r="C102" i="2" s="1"/>
  <c r="O98" i="2"/>
  <c r="O96" i="2"/>
  <c r="O99" i="2" l="1"/>
  <c r="Q101" i="2"/>
  <c r="I102" i="2"/>
  <c r="O100" i="2"/>
  <c r="K100" i="2"/>
  <c r="K102" i="2" l="1"/>
  <c r="Q102" i="2" s="1"/>
  <c r="N92" i="2" l="1"/>
  <c r="M92" i="2"/>
  <c r="L92" i="2"/>
  <c r="K92" i="2"/>
  <c r="J92" i="2"/>
  <c r="I92" i="2"/>
  <c r="H92" i="2"/>
  <c r="G92" i="2"/>
  <c r="F92" i="2"/>
  <c r="E92" i="2"/>
  <c r="D92" i="2"/>
  <c r="C92" i="2"/>
  <c r="N91" i="2"/>
  <c r="N93" i="2" s="1"/>
  <c r="M91" i="2"/>
  <c r="M93" i="2" s="1"/>
  <c r="L91" i="2"/>
  <c r="L93" i="2" s="1"/>
  <c r="G91" i="2"/>
  <c r="G93" i="2" s="1"/>
  <c r="F91" i="2"/>
  <c r="F93" i="2" s="1"/>
  <c r="E91" i="2"/>
  <c r="E93" i="2" s="1"/>
  <c r="D91" i="2"/>
  <c r="D93" i="2" s="1"/>
  <c r="K90" i="2"/>
  <c r="J90" i="2"/>
  <c r="J91" i="2" s="1"/>
  <c r="J93" i="2" s="1"/>
  <c r="I90" i="2"/>
  <c r="I91" i="2" s="1"/>
  <c r="H90" i="2"/>
  <c r="H91" i="2" s="1"/>
  <c r="H93" i="2" s="1"/>
  <c r="C91" i="2"/>
  <c r="O89" i="2"/>
  <c r="O87" i="2"/>
  <c r="N83" i="2"/>
  <c r="M83" i="2"/>
  <c r="L83" i="2"/>
  <c r="K83" i="2"/>
  <c r="J83" i="2"/>
  <c r="I83" i="2"/>
  <c r="H83" i="2"/>
  <c r="G83" i="2"/>
  <c r="F83" i="2"/>
  <c r="E83" i="2"/>
  <c r="D83" i="2"/>
  <c r="C83" i="2"/>
  <c r="N82" i="2"/>
  <c r="N84" i="2" s="1"/>
  <c r="M82" i="2"/>
  <c r="M84" i="2" s="1"/>
  <c r="L82" i="2"/>
  <c r="L84" i="2" s="1"/>
  <c r="G82" i="2"/>
  <c r="G84" i="2" s="1"/>
  <c r="F82" i="2"/>
  <c r="F84" i="2" s="1"/>
  <c r="E82" i="2"/>
  <c r="E84" i="2" s="1"/>
  <c r="D82" i="2"/>
  <c r="D84" i="2" s="1"/>
  <c r="K81" i="2"/>
  <c r="J81" i="2"/>
  <c r="J82" i="2" s="1"/>
  <c r="J84" i="2" s="1"/>
  <c r="I81" i="2"/>
  <c r="I82" i="2" s="1"/>
  <c r="H81" i="2"/>
  <c r="H82" i="2" s="1"/>
  <c r="H84" i="2" s="1"/>
  <c r="C81" i="2"/>
  <c r="O80" i="2"/>
  <c r="O78" i="2"/>
  <c r="C82" i="2" l="1"/>
  <c r="C84" i="2" s="1"/>
  <c r="Q92" i="2"/>
  <c r="C93" i="2"/>
  <c r="O90" i="2"/>
  <c r="I93" i="2"/>
  <c r="O91" i="2"/>
  <c r="K91" i="2"/>
  <c r="Q83" i="2"/>
  <c r="O81" i="2"/>
  <c r="I84" i="2"/>
  <c r="O82" i="2"/>
  <c r="K82" i="2"/>
  <c r="K93" i="2" l="1"/>
  <c r="Q93" i="2" s="1"/>
  <c r="K84" i="2"/>
  <c r="Q84" i="2" s="1"/>
  <c r="H53" i="2" l="1"/>
  <c r="K34" i="2" l="1"/>
  <c r="K25" i="2" l="1"/>
  <c r="H25" i="2"/>
  <c r="C25" i="2"/>
  <c r="K52" i="2" l="1"/>
  <c r="C53" i="2"/>
  <c r="G74" i="2" l="1"/>
  <c r="J62" i="2" l="1"/>
  <c r="K62" i="2" l="1"/>
  <c r="K43" i="2"/>
  <c r="C74" i="2" l="1"/>
  <c r="N74" i="2"/>
  <c r="M74" i="2"/>
  <c r="L74" i="2"/>
  <c r="K74" i="2"/>
  <c r="J74" i="2"/>
  <c r="I74" i="2"/>
  <c r="H74" i="2"/>
  <c r="F74" i="2"/>
  <c r="E74" i="2"/>
  <c r="D74" i="2"/>
  <c r="E64" i="2"/>
  <c r="F64" i="2"/>
  <c r="G64" i="2"/>
  <c r="H64" i="2"/>
  <c r="I64" i="2"/>
  <c r="J64" i="2"/>
  <c r="K64" i="2"/>
  <c r="L64" i="2"/>
  <c r="M64" i="2"/>
  <c r="N64" i="2"/>
  <c r="D64" i="2"/>
  <c r="C64" i="2"/>
  <c r="D208" i="2"/>
  <c r="E208" i="2"/>
  <c r="F208" i="2"/>
  <c r="G208" i="2"/>
  <c r="H208" i="2"/>
  <c r="I208" i="2"/>
  <c r="J208" i="2"/>
  <c r="K208" i="2"/>
  <c r="L208" i="2"/>
  <c r="M208" i="2"/>
  <c r="N208" i="2"/>
  <c r="C208" i="2"/>
  <c r="C45" i="2"/>
  <c r="C43" i="2"/>
  <c r="H43" i="2"/>
  <c r="H44" i="2" s="1"/>
  <c r="I43" i="2"/>
  <c r="O43" i="2" s="1"/>
  <c r="J43" i="2"/>
  <c r="D54" i="2"/>
  <c r="E54" i="2"/>
  <c r="F54" i="2"/>
  <c r="G54" i="2"/>
  <c r="H54" i="2"/>
  <c r="I54" i="2"/>
  <c r="J54" i="2"/>
  <c r="K54" i="2"/>
  <c r="L54" i="2"/>
  <c r="M54" i="2"/>
  <c r="N54" i="2"/>
  <c r="C54" i="2"/>
  <c r="D45" i="2"/>
  <c r="E45" i="2"/>
  <c r="F45" i="2"/>
  <c r="G45" i="2"/>
  <c r="H45" i="2"/>
  <c r="I45" i="2"/>
  <c r="J45" i="2"/>
  <c r="K45" i="2"/>
  <c r="L45" i="2"/>
  <c r="M45" i="2"/>
  <c r="N45" i="2"/>
  <c r="N36" i="2"/>
  <c r="D36" i="2"/>
  <c r="E36" i="2"/>
  <c r="F36" i="2"/>
  <c r="G36" i="2"/>
  <c r="H36" i="2"/>
  <c r="I36" i="2"/>
  <c r="J36" i="2"/>
  <c r="K36" i="2"/>
  <c r="L36" i="2"/>
  <c r="M36" i="2"/>
  <c r="C36" i="2"/>
  <c r="D27" i="2"/>
  <c r="E27" i="2"/>
  <c r="F27" i="2"/>
  <c r="G27" i="2"/>
  <c r="H27" i="2"/>
  <c r="I27" i="2"/>
  <c r="J27" i="2"/>
  <c r="K27" i="2"/>
  <c r="L27" i="2"/>
  <c r="M27" i="2"/>
  <c r="N27" i="2"/>
  <c r="C27" i="2"/>
  <c r="D18" i="2"/>
  <c r="E18" i="2"/>
  <c r="F18" i="2"/>
  <c r="G18" i="2"/>
  <c r="H18" i="2"/>
  <c r="I18" i="2"/>
  <c r="J18" i="2"/>
  <c r="K18" i="2"/>
  <c r="L18" i="2"/>
  <c r="M18" i="2"/>
  <c r="N18" i="2"/>
  <c r="C18" i="2"/>
  <c r="D9" i="2"/>
  <c r="E9" i="2"/>
  <c r="F9" i="2"/>
  <c r="G9" i="2"/>
  <c r="H9" i="2"/>
  <c r="I9" i="2"/>
  <c r="J9" i="2"/>
  <c r="K9" i="2"/>
  <c r="L9" i="2"/>
  <c r="M9" i="2"/>
  <c r="N9" i="2"/>
  <c r="C9" i="2"/>
  <c r="O1" i="2"/>
  <c r="O174" i="2" s="1"/>
  <c r="O67" i="2"/>
  <c r="O173" i="2" l="1"/>
  <c r="O182" i="2"/>
  <c r="O183" i="2"/>
  <c r="O164" i="2"/>
  <c r="O165" i="2"/>
  <c r="O155" i="2"/>
  <c r="O156" i="2"/>
  <c r="O146" i="2"/>
  <c r="O147" i="2"/>
  <c r="O137" i="2"/>
  <c r="O138" i="2"/>
  <c r="O128" i="2"/>
  <c r="O119" i="2"/>
  <c r="O129" i="2"/>
  <c r="O120" i="2"/>
  <c r="O110" i="2"/>
  <c r="O111" i="2"/>
  <c r="O101" i="2"/>
  <c r="O102" i="2"/>
  <c r="O92" i="2"/>
  <c r="O93" i="2"/>
  <c r="O83" i="2"/>
  <c r="O84" i="2"/>
  <c r="Q74" i="2"/>
  <c r="Q54" i="2"/>
  <c r="Q64" i="2"/>
  <c r="Q208" i="2"/>
  <c r="Q9" i="2"/>
  <c r="Q18" i="2"/>
  <c r="Q45" i="2"/>
  <c r="Q36" i="2"/>
  <c r="Q27" i="2"/>
  <c r="K63" i="2"/>
  <c r="N73" i="2"/>
  <c r="N75" i="2" s="1"/>
  <c r="M73" i="2"/>
  <c r="M75" i="2" s="1"/>
  <c r="L73" i="2"/>
  <c r="L75" i="2" s="1"/>
  <c r="G73" i="2"/>
  <c r="G75" i="2" s="1"/>
  <c r="F73" i="2"/>
  <c r="F75" i="2" s="1"/>
  <c r="E73" i="2"/>
  <c r="E75" i="2" s="1"/>
  <c r="D73" i="2"/>
  <c r="D75" i="2" s="1"/>
  <c r="K72" i="2"/>
  <c r="K73" i="2" s="1"/>
  <c r="K75" i="2" s="1"/>
  <c r="J72" i="2"/>
  <c r="J73" i="2" s="1"/>
  <c r="J75" i="2" s="1"/>
  <c r="I72" i="2"/>
  <c r="O72" i="2" s="1"/>
  <c r="H72" i="2"/>
  <c r="H73" i="2" s="1"/>
  <c r="H75" i="2" s="1"/>
  <c r="C73" i="2"/>
  <c r="C75" i="2" s="1"/>
  <c r="O71" i="2"/>
  <c r="O69" i="2"/>
  <c r="K35" i="2"/>
  <c r="O22" i="2"/>
  <c r="O24" i="2"/>
  <c r="O31" i="2"/>
  <c r="O33" i="2"/>
  <c r="O40" i="2"/>
  <c r="O42" i="2"/>
  <c r="O49" i="2"/>
  <c r="O54" i="2" s="1"/>
  <c r="O51" i="2"/>
  <c r="O59" i="2"/>
  <c r="O64" i="2" s="1"/>
  <c r="O61" i="2"/>
  <c r="O198" i="2" s="1"/>
  <c r="O13" i="2"/>
  <c r="O15" i="2"/>
  <c r="O3" i="2"/>
  <c r="O4" i="2"/>
  <c r="O6" i="2"/>
  <c r="O201" i="2"/>
  <c r="O202" i="2"/>
  <c r="O205" i="2"/>
  <c r="N63" i="2"/>
  <c r="N65" i="2" s="1"/>
  <c r="M63" i="2"/>
  <c r="M65" i="2" s="1"/>
  <c r="L63" i="2"/>
  <c r="L65" i="2" s="1"/>
  <c r="G63" i="2"/>
  <c r="G65" i="2" s="1"/>
  <c r="F63" i="2"/>
  <c r="F65" i="2" s="1"/>
  <c r="E63" i="2"/>
  <c r="E65" i="2" s="1"/>
  <c r="D63" i="2"/>
  <c r="D65" i="2" s="1"/>
  <c r="J63" i="2"/>
  <c r="J65" i="2" s="1"/>
  <c r="I62" i="2"/>
  <c r="I63" i="2" s="1"/>
  <c r="H65" i="2"/>
  <c r="C65" i="2"/>
  <c r="N53" i="2"/>
  <c r="N55" i="2" s="1"/>
  <c r="M53" i="2"/>
  <c r="M55" i="2" s="1"/>
  <c r="L53" i="2"/>
  <c r="L55" i="2" s="1"/>
  <c r="G53" i="2"/>
  <c r="G55" i="2" s="1"/>
  <c r="F53" i="2"/>
  <c r="F55" i="2" s="1"/>
  <c r="E53" i="2"/>
  <c r="E55" i="2" s="1"/>
  <c r="D53" i="2"/>
  <c r="D55" i="2" s="1"/>
  <c r="K53" i="2"/>
  <c r="J52" i="2"/>
  <c r="J53" i="2" s="1"/>
  <c r="J55" i="2" s="1"/>
  <c r="I52" i="2"/>
  <c r="I53" i="2" s="1"/>
  <c r="H55" i="2"/>
  <c r="C55" i="2"/>
  <c r="N44" i="2"/>
  <c r="N46" i="2" s="1"/>
  <c r="M44" i="2"/>
  <c r="M46" i="2" s="1"/>
  <c r="L44" i="2"/>
  <c r="L46" i="2" s="1"/>
  <c r="G44" i="2"/>
  <c r="G46" i="2" s="1"/>
  <c r="F44" i="2"/>
  <c r="F46" i="2" s="1"/>
  <c r="E44" i="2"/>
  <c r="E46" i="2" s="1"/>
  <c r="D44" i="2"/>
  <c r="D46" i="2" s="1"/>
  <c r="J44" i="2"/>
  <c r="J46" i="2" s="1"/>
  <c r="I44" i="2"/>
  <c r="I46" i="2" s="1"/>
  <c r="H46" i="2"/>
  <c r="C44" i="2"/>
  <c r="C46" i="2" s="1"/>
  <c r="N35" i="2"/>
  <c r="N37" i="2" s="1"/>
  <c r="M35" i="2"/>
  <c r="M37" i="2" s="1"/>
  <c r="L35" i="2"/>
  <c r="L37" i="2" s="1"/>
  <c r="G35" i="2"/>
  <c r="G37" i="2" s="1"/>
  <c r="F35" i="2"/>
  <c r="F37" i="2" s="1"/>
  <c r="E35" i="2"/>
  <c r="E37" i="2" s="1"/>
  <c r="D35" i="2"/>
  <c r="D37" i="2" s="1"/>
  <c r="J34" i="2"/>
  <c r="J35" i="2" s="1"/>
  <c r="J37" i="2" s="1"/>
  <c r="I34" i="2"/>
  <c r="I35" i="2" s="1"/>
  <c r="H34" i="2"/>
  <c r="H35" i="2" s="1"/>
  <c r="H37" i="2" s="1"/>
  <c r="C34" i="2"/>
  <c r="C35" i="2" s="1"/>
  <c r="C37" i="2" s="1"/>
  <c r="N26" i="2"/>
  <c r="N28" i="2" s="1"/>
  <c r="M26" i="2"/>
  <c r="M28" i="2" s="1"/>
  <c r="L26" i="2"/>
  <c r="L28" i="2" s="1"/>
  <c r="G26" i="2"/>
  <c r="G28" i="2" s="1"/>
  <c r="F26" i="2"/>
  <c r="F28" i="2" s="1"/>
  <c r="E26" i="2"/>
  <c r="E28" i="2" s="1"/>
  <c r="D26" i="2"/>
  <c r="D28" i="2" s="1"/>
  <c r="K26" i="2"/>
  <c r="J25" i="2"/>
  <c r="J26" i="2" s="1"/>
  <c r="J28" i="2" s="1"/>
  <c r="I25" i="2"/>
  <c r="I26" i="2" s="1"/>
  <c r="H26" i="2"/>
  <c r="H28" i="2" s="1"/>
  <c r="C26" i="2"/>
  <c r="C28" i="2" s="1"/>
  <c r="L17" i="2"/>
  <c r="L19" i="2" s="1"/>
  <c r="K16" i="2"/>
  <c r="K17" i="2" s="1"/>
  <c r="J16" i="2"/>
  <c r="J17" i="2" s="1"/>
  <c r="J19" i="2" s="1"/>
  <c r="I16" i="2"/>
  <c r="I17" i="2" s="1"/>
  <c r="H16" i="2"/>
  <c r="H17" i="2" s="1"/>
  <c r="H19" i="2" s="1"/>
  <c r="C16" i="2"/>
  <c r="C17" i="2" s="1"/>
  <c r="C19" i="2" s="1"/>
  <c r="N17" i="2"/>
  <c r="N19" i="2" s="1"/>
  <c r="M17" i="2"/>
  <c r="M19" i="2" s="1"/>
  <c r="G17" i="2"/>
  <c r="G19" i="2" s="1"/>
  <c r="F17" i="2"/>
  <c r="F19" i="2" s="1"/>
  <c r="E17" i="2"/>
  <c r="E19" i="2" s="1"/>
  <c r="D17" i="2"/>
  <c r="D19" i="2" s="1"/>
  <c r="D5" i="2"/>
  <c r="E5" i="2"/>
  <c r="F5" i="2"/>
  <c r="G5" i="2"/>
  <c r="H5" i="2"/>
  <c r="I5" i="2"/>
  <c r="O5" i="2" s="1"/>
  <c r="J5" i="2"/>
  <c r="K5" i="2"/>
  <c r="L5" i="2"/>
  <c r="M5" i="2"/>
  <c r="N5" i="2"/>
  <c r="C5" i="2"/>
  <c r="I7" i="2"/>
  <c r="N6" i="2"/>
  <c r="L6" i="2"/>
  <c r="K6" i="2"/>
  <c r="J6" i="2"/>
  <c r="H6" i="2"/>
  <c r="F6" i="2"/>
  <c r="E6" i="2"/>
  <c r="D6" i="2"/>
  <c r="C6" i="2"/>
  <c r="O74" i="2" l="1"/>
  <c r="O204" i="2"/>
  <c r="O208" i="2" s="1"/>
  <c r="D203" i="2"/>
  <c r="K65" i="2"/>
  <c r="O63" i="2"/>
  <c r="O65" i="2" s="1"/>
  <c r="I65" i="2"/>
  <c r="O53" i="2"/>
  <c r="I55" i="2"/>
  <c r="O26" i="2"/>
  <c r="I28" i="2"/>
  <c r="O35" i="2"/>
  <c r="I37" i="2"/>
  <c r="K28" i="2"/>
  <c r="O17" i="2"/>
  <c r="I19" i="2"/>
  <c r="K37" i="2"/>
  <c r="K19" i="2"/>
  <c r="K55" i="2"/>
  <c r="O44" i="2"/>
  <c r="I8" i="2"/>
  <c r="D8" i="2"/>
  <c r="D10" i="2" s="1"/>
  <c r="E8" i="2"/>
  <c r="E10" i="2" s="1"/>
  <c r="J7" i="2"/>
  <c r="L8" i="2"/>
  <c r="C7" i="2"/>
  <c r="C206" i="2" s="1"/>
  <c r="G8" i="2"/>
  <c r="H7" i="2"/>
  <c r="I73" i="2"/>
  <c r="O52" i="2"/>
  <c r="K44" i="2"/>
  <c r="K46" i="2" s="1"/>
  <c r="O16" i="2"/>
  <c r="O7" i="2"/>
  <c r="O34" i="2"/>
  <c r="O62" i="2"/>
  <c r="O25" i="2"/>
  <c r="F8" i="2"/>
  <c r="N8" i="2"/>
  <c r="M8" i="2"/>
  <c r="K7" i="2"/>
  <c r="O199" i="2" l="1"/>
  <c r="O200" i="2" s="1"/>
  <c r="O209" i="2" s="1"/>
  <c r="Q55" i="2"/>
  <c r="Q37" i="2"/>
  <c r="Q65" i="2"/>
  <c r="Q28" i="2"/>
  <c r="O73" i="2"/>
  <c r="O75" i="2" s="1"/>
  <c r="I75" i="2"/>
  <c r="Q75" i="2" s="1"/>
  <c r="Q19" i="2"/>
  <c r="L203" i="2"/>
  <c r="L207" i="2"/>
  <c r="M203" i="2"/>
  <c r="M207" i="2"/>
  <c r="D206" i="2"/>
  <c r="D207" i="2"/>
  <c r="N203" i="2"/>
  <c r="N207" i="2"/>
  <c r="F203" i="2"/>
  <c r="F207" i="2"/>
  <c r="D12" i="2"/>
  <c r="D14" i="2" s="1"/>
  <c r="D21" i="2" s="1"/>
  <c r="D23" i="2" s="1"/>
  <c r="D30" i="2" s="1"/>
  <c r="D32" i="2" s="1"/>
  <c r="D39" i="2" s="1"/>
  <c r="G206" i="2"/>
  <c r="G207" i="2"/>
  <c r="E203" i="2"/>
  <c r="E207" i="2"/>
  <c r="E12" i="2"/>
  <c r="E14" i="2" s="1"/>
  <c r="Q46" i="2"/>
  <c r="N12" i="2"/>
  <c r="N14" i="2" s="1"/>
  <c r="N21" i="2" s="1"/>
  <c r="N23" i="2" s="1"/>
  <c r="N30" i="2" s="1"/>
  <c r="N32" i="2" s="1"/>
  <c r="N39" i="2" s="1"/>
  <c r="N10" i="2"/>
  <c r="L12" i="2"/>
  <c r="L14" i="2" s="1"/>
  <c r="L21" i="2" s="1"/>
  <c r="L23" i="2" s="1"/>
  <c r="L30" i="2" s="1"/>
  <c r="L32" i="2" s="1"/>
  <c r="L39" i="2" s="1"/>
  <c r="L10" i="2"/>
  <c r="F12" i="2"/>
  <c r="F14" i="2" s="1"/>
  <c r="F10" i="2"/>
  <c r="G12" i="2"/>
  <c r="G14" i="2" s="1"/>
  <c r="G21" i="2" s="1"/>
  <c r="G23" i="2" s="1"/>
  <c r="G30" i="2" s="1"/>
  <c r="G32" i="2" s="1"/>
  <c r="G39" i="2" s="1"/>
  <c r="G41" i="2" s="1"/>
  <c r="G48" i="2" s="1"/>
  <c r="G50" i="2" s="1"/>
  <c r="G58" i="2" s="1"/>
  <c r="G10" i="2"/>
  <c r="O8" i="2"/>
  <c r="I10" i="2"/>
  <c r="M12" i="2"/>
  <c r="M14" i="2" s="1"/>
  <c r="M21" i="2" s="1"/>
  <c r="M23" i="2" s="1"/>
  <c r="M30" i="2" s="1"/>
  <c r="M32" i="2" s="1"/>
  <c r="M39" i="2" s="1"/>
  <c r="M10" i="2"/>
  <c r="I12" i="2"/>
  <c r="K8" i="2"/>
  <c r="K10" i="2" s="1"/>
  <c r="H8" i="2"/>
  <c r="J8" i="2"/>
  <c r="C8" i="2"/>
  <c r="I207" i="2"/>
  <c r="F206" i="2" l="1"/>
  <c r="L206" i="2"/>
  <c r="N206" i="2"/>
  <c r="M206" i="2"/>
  <c r="E206" i="2"/>
  <c r="C207" i="2"/>
  <c r="D41" i="2"/>
  <c r="D48" i="2" s="1"/>
  <c r="D50" i="2" s="1"/>
  <c r="D58" i="2" s="1"/>
  <c r="D60" i="2" s="1"/>
  <c r="D68" i="2" s="1"/>
  <c r="D70" i="2" s="1"/>
  <c r="D77" i="2" s="1"/>
  <c r="D79" i="2" s="1"/>
  <c r="D86" i="2" s="1"/>
  <c r="D88" i="2" s="1"/>
  <c r="D95" i="2" s="1"/>
  <c r="D97" i="2" s="1"/>
  <c r="D104" i="2" s="1"/>
  <c r="D106" i="2" s="1"/>
  <c r="D113" i="2" s="1"/>
  <c r="D115" i="2" s="1"/>
  <c r="D122" i="2" s="1"/>
  <c r="D124" i="2" s="1"/>
  <c r="D131" i="2" s="1"/>
  <c r="D133" i="2" s="1"/>
  <c r="D140" i="2" s="1"/>
  <c r="D142" i="2" s="1"/>
  <c r="D149" i="2" s="1"/>
  <c r="D151" i="2" s="1"/>
  <c r="D158" i="2" s="1"/>
  <c r="D160" i="2" s="1"/>
  <c r="L41" i="2"/>
  <c r="L48" i="2" s="1"/>
  <c r="L50" i="2" s="1"/>
  <c r="L58" i="2" s="1"/>
  <c r="L60" i="2" s="1"/>
  <c r="L68" i="2" s="1"/>
  <c r="M41" i="2"/>
  <c r="M48" i="2" s="1"/>
  <c r="M50" i="2" s="1"/>
  <c r="M58" i="2" s="1"/>
  <c r="M60" i="2" s="1"/>
  <c r="M68" i="2" s="1"/>
  <c r="N41" i="2"/>
  <c r="N48" i="2" s="1"/>
  <c r="N50" i="2" s="1"/>
  <c r="N58" i="2" s="1"/>
  <c r="N60" i="2" s="1"/>
  <c r="N68" i="2" s="1"/>
  <c r="O12" i="2"/>
  <c r="I14" i="2"/>
  <c r="I21" i="2" s="1"/>
  <c r="F21" i="2"/>
  <c r="F23" i="2" s="1"/>
  <c r="F30" i="2" s="1"/>
  <c r="F32" i="2" s="1"/>
  <c r="F39" i="2" s="1"/>
  <c r="E21" i="2"/>
  <c r="E23" i="2" s="1"/>
  <c r="E30" i="2" s="1"/>
  <c r="E32" i="2" s="1"/>
  <c r="E39" i="2" s="1"/>
  <c r="G60" i="2"/>
  <c r="G68" i="2" s="1"/>
  <c r="G70" i="2" s="1"/>
  <c r="G77" i="2" s="1"/>
  <c r="G79" i="2" s="1"/>
  <c r="G86" i="2" s="1"/>
  <c r="G88" i="2" s="1"/>
  <c r="G95" i="2" s="1"/>
  <c r="G97" i="2" s="1"/>
  <c r="G104" i="2" s="1"/>
  <c r="G106" i="2" s="1"/>
  <c r="G113" i="2" s="1"/>
  <c r="G115" i="2" s="1"/>
  <c r="G122" i="2" s="1"/>
  <c r="G124" i="2" s="1"/>
  <c r="G131" i="2" s="1"/>
  <c r="G133" i="2" s="1"/>
  <c r="G140" i="2" s="1"/>
  <c r="G142" i="2" s="1"/>
  <c r="G149" i="2" s="1"/>
  <c r="G151" i="2" s="1"/>
  <c r="J203" i="2"/>
  <c r="J207" i="2"/>
  <c r="H203" i="2"/>
  <c r="H206" i="2" s="1"/>
  <c r="H207" i="2"/>
  <c r="C12" i="2"/>
  <c r="C10" i="2"/>
  <c r="J12" i="2"/>
  <c r="J14" i="2" s="1"/>
  <c r="J10" i="2"/>
  <c r="H12" i="2"/>
  <c r="H14" i="2" s="1"/>
  <c r="H21" i="2" s="1"/>
  <c r="H23" i="2" s="1"/>
  <c r="H30" i="2" s="1"/>
  <c r="H32" i="2" s="1"/>
  <c r="H39" i="2" s="1"/>
  <c r="H10" i="2"/>
  <c r="K12" i="2"/>
  <c r="I203" i="2"/>
  <c r="O207" i="2"/>
  <c r="D167" i="2" l="1"/>
  <c r="D169" i="2" s="1"/>
  <c r="D176" i="2" s="1"/>
  <c r="D178" i="2" s="1"/>
  <c r="J206" i="2"/>
  <c r="G158" i="2"/>
  <c r="G160" i="2" s="1"/>
  <c r="M70" i="2"/>
  <c r="M77" i="2" s="1"/>
  <c r="M79" i="2" s="1"/>
  <c r="M86" i="2" s="1"/>
  <c r="M88" i="2" s="1"/>
  <c r="N70" i="2"/>
  <c r="N77" i="2" s="1"/>
  <c r="N79" i="2" s="1"/>
  <c r="N86" i="2" s="1"/>
  <c r="N88" i="2" s="1"/>
  <c r="N95" i="2" s="1"/>
  <c r="N97" i="2" s="1"/>
  <c r="N104" i="2" s="1"/>
  <c r="N106" i="2" s="1"/>
  <c r="N113" i="2" s="1"/>
  <c r="N115" i="2" s="1"/>
  <c r="N122" i="2" s="1"/>
  <c r="N124" i="2" s="1"/>
  <c r="N131" i="2" s="1"/>
  <c r="N133" i="2" s="1"/>
  <c r="N140" i="2" s="1"/>
  <c r="N142" i="2" s="1"/>
  <c r="N149" i="2" s="1"/>
  <c r="N151" i="2" s="1"/>
  <c r="N158" i="2" s="1"/>
  <c r="N160" i="2" s="1"/>
  <c r="L70" i="2"/>
  <c r="L77" i="2" s="1"/>
  <c r="L79" i="2" s="1"/>
  <c r="L86" i="2" s="1"/>
  <c r="F41" i="2"/>
  <c r="F48" i="2" s="1"/>
  <c r="F50" i="2" s="1"/>
  <c r="F58" i="2" s="1"/>
  <c r="F60" i="2" s="1"/>
  <c r="F68" i="2" s="1"/>
  <c r="F70" i="2" s="1"/>
  <c r="F77" i="2" s="1"/>
  <c r="F79" i="2" s="1"/>
  <c r="F86" i="2" s="1"/>
  <c r="F88" i="2" s="1"/>
  <c r="F95" i="2" s="1"/>
  <c r="F97" i="2" s="1"/>
  <c r="F104" i="2" s="1"/>
  <c r="F106" i="2" s="1"/>
  <c r="F113" i="2" s="1"/>
  <c r="F115" i="2" s="1"/>
  <c r="F122" i="2" s="1"/>
  <c r="F124" i="2" s="1"/>
  <c r="F131" i="2" s="1"/>
  <c r="F133" i="2" s="1"/>
  <c r="F140" i="2" s="1"/>
  <c r="F142" i="2" s="1"/>
  <c r="F149" i="2" s="1"/>
  <c r="F151" i="2" s="1"/>
  <c r="F158" i="2" s="1"/>
  <c r="F160" i="2" s="1"/>
  <c r="E41" i="2"/>
  <c r="E48" i="2" s="1"/>
  <c r="E50" i="2" s="1"/>
  <c r="E58" i="2" s="1"/>
  <c r="E60" i="2" s="1"/>
  <c r="E68" i="2" s="1"/>
  <c r="E70" i="2" s="1"/>
  <c r="E77" i="2" s="1"/>
  <c r="E79" i="2" s="1"/>
  <c r="E86" i="2" s="1"/>
  <c r="E88" i="2" s="1"/>
  <c r="E95" i="2" s="1"/>
  <c r="E97" i="2" s="1"/>
  <c r="E104" i="2" s="1"/>
  <c r="E106" i="2" s="1"/>
  <c r="E113" i="2" s="1"/>
  <c r="E115" i="2" s="1"/>
  <c r="E122" i="2" s="1"/>
  <c r="E124" i="2" s="1"/>
  <c r="E131" i="2" s="1"/>
  <c r="E133" i="2" s="1"/>
  <c r="E140" i="2" s="1"/>
  <c r="E142" i="2" s="1"/>
  <c r="E149" i="2" s="1"/>
  <c r="E151" i="2" s="1"/>
  <c r="E158" i="2" s="1"/>
  <c r="E160" i="2" s="1"/>
  <c r="H41" i="2"/>
  <c r="H48" i="2" s="1"/>
  <c r="H50" i="2" s="1"/>
  <c r="H58" i="2" s="1"/>
  <c r="H60" i="2" s="1"/>
  <c r="H68" i="2" s="1"/>
  <c r="H70" i="2" s="1"/>
  <c r="H77" i="2" s="1"/>
  <c r="H79" i="2" s="1"/>
  <c r="H86" i="2" s="1"/>
  <c r="H88" i="2" s="1"/>
  <c r="H95" i="2" s="1"/>
  <c r="H97" i="2" s="1"/>
  <c r="H104" i="2" s="1"/>
  <c r="H106" i="2" s="1"/>
  <c r="H113" i="2" s="1"/>
  <c r="H115" i="2" s="1"/>
  <c r="H122" i="2" s="1"/>
  <c r="H124" i="2" s="1"/>
  <c r="C14" i="2"/>
  <c r="C21" i="2" s="1"/>
  <c r="C23" i="2" s="1"/>
  <c r="C30" i="2" s="1"/>
  <c r="C32" i="2" s="1"/>
  <c r="C39" i="2" s="1"/>
  <c r="J21" i="2"/>
  <c r="J23" i="2" s="1"/>
  <c r="J30" i="2" s="1"/>
  <c r="J32" i="2" s="1"/>
  <c r="O14" i="2"/>
  <c r="K207" i="2"/>
  <c r="Q207" i="2" s="1"/>
  <c r="Q10" i="2"/>
  <c r="K203" i="2"/>
  <c r="I23" i="2"/>
  <c r="O21" i="2"/>
  <c r="K14" i="2"/>
  <c r="I206" i="2"/>
  <c r="O203" i="2"/>
  <c r="E167" i="2" l="1"/>
  <c r="E169" i="2" s="1"/>
  <c r="E176" i="2" s="1"/>
  <c r="E178" i="2" s="1"/>
  <c r="N167" i="2"/>
  <c r="N169" i="2" s="1"/>
  <c r="N176" i="2" s="1"/>
  <c r="N178" i="2" s="1"/>
  <c r="G167" i="2"/>
  <c r="G169" i="2" s="1"/>
  <c r="G176" i="2" s="1"/>
  <c r="G178" i="2" s="1"/>
  <c r="F167" i="2"/>
  <c r="F169" i="2" s="1"/>
  <c r="H131" i="2"/>
  <c r="H133" i="2" s="1"/>
  <c r="H140" i="2" s="1"/>
  <c r="H142" i="2" s="1"/>
  <c r="H149" i="2" s="1"/>
  <c r="H151" i="2" s="1"/>
  <c r="H158" i="2" s="1"/>
  <c r="H160" i="2" s="1"/>
  <c r="M95" i="2"/>
  <c r="M97" i="2" s="1"/>
  <c r="M104" i="2" s="1"/>
  <c r="M106" i="2" s="1"/>
  <c r="M113" i="2" s="1"/>
  <c r="M115" i="2" s="1"/>
  <c r="M122" i="2" s="1"/>
  <c r="M124" i="2" s="1"/>
  <c r="M131" i="2" s="1"/>
  <c r="M133" i="2" s="1"/>
  <c r="M140" i="2" s="1"/>
  <c r="M142" i="2" s="1"/>
  <c r="M149" i="2" s="1"/>
  <c r="M151" i="2" s="1"/>
  <c r="M158" i="2" s="1"/>
  <c r="M160" i="2" s="1"/>
  <c r="L88" i="2"/>
  <c r="C41" i="2"/>
  <c r="C48" i="2" s="1"/>
  <c r="C50" i="2" s="1"/>
  <c r="C58" i="2" s="1"/>
  <c r="C60" i="2" s="1"/>
  <c r="J39" i="2"/>
  <c r="K206" i="2"/>
  <c r="O206" i="2"/>
  <c r="I30" i="2"/>
  <c r="O23" i="2"/>
  <c r="K21" i="2"/>
  <c r="F176" i="2" l="1"/>
  <c r="F178" i="2" s="1"/>
  <c r="M167" i="2"/>
  <c r="M169" i="2" s="1"/>
  <c r="M176" i="2" s="1"/>
  <c r="M178" i="2" s="1"/>
  <c r="H167" i="2"/>
  <c r="H169" i="2" s="1"/>
  <c r="H176" i="2" s="1"/>
  <c r="H178" i="2" s="1"/>
  <c r="L95" i="2"/>
  <c r="L97" i="2" s="1"/>
  <c r="L104" i="2" s="1"/>
  <c r="L106" i="2" s="1"/>
  <c r="L113" i="2" s="1"/>
  <c r="L115" i="2" s="1"/>
  <c r="L122" i="2" s="1"/>
  <c r="L124" i="2" s="1"/>
  <c r="L131" i="2" s="1"/>
  <c r="L133" i="2" s="1"/>
  <c r="L140" i="2" s="1"/>
  <c r="L142" i="2" s="1"/>
  <c r="L149" i="2" s="1"/>
  <c r="L151" i="2" s="1"/>
  <c r="C68" i="2"/>
  <c r="C70" i="2" s="1"/>
  <c r="J41" i="2"/>
  <c r="J48" i="2" s="1"/>
  <c r="J50" i="2" s="1"/>
  <c r="J58" i="2" s="1"/>
  <c r="J60" i="2" s="1"/>
  <c r="K23" i="2"/>
  <c r="I32" i="2"/>
  <c r="O30" i="2"/>
  <c r="L158" i="2" l="1"/>
  <c r="L160" i="2" s="1"/>
  <c r="C77" i="2"/>
  <c r="C79" i="2" s="1"/>
  <c r="J70" i="2"/>
  <c r="J77" i="2" s="1"/>
  <c r="J79" i="2" s="1"/>
  <c r="J86" i="2" s="1"/>
  <c r="J88" i="2" s="1"/>
  <c r="J95" i="2" s="1"/>
  <c r="J97" i="2" s="1"/>
  <c r="J104" i="2" s="1"/>
  <c r="J106" i="2" s="1"/>
  <c r="J113" i="2" s="1"/>
  <c r="J115" i="2" s="1"/>
  <c r="J122" i="2" s="1"/>
  <c r="J124" i="2" s="1"/>
  <c r="J131" i="2" s="1"/>
  <c r="J133" i="2" s="1"/>
  <c r="J140" i="2" s="1"/>
  <c r="J142" i="2" s="1"/>
  <c r="J149" i="2" s="1"/>
  <c r="J151" i="2" s="1"/>
  <c r="J158" i="2" s="1"/>
  <c r="J160" i="2" s="1"/>
  <c r="K30" i="2"/>
  <c r="I39" i="2"/>
  <c r="O32" i="2"/>
  <c r="J167" i="2" l="1"/>
  <c r="J169" i="2" s="1"/>
  <c r="J176" i="2" s="1"/>
  <c r="J178" i="2" s="1"/>
  <c r="L167" i="2"/>
  <c r="L169" i="2" s="1"/>
  <c r="L176" i="2" s="1"/>
  <c r="L178" i="2" s="1"/>
  <c r="C86" i="2"/>
  <c r="C88" i="2" s="1"/>
  <c r="C97" i="2" s="1"/>
  <c r="C104" i="2" s="1"/>
  <c r="C106" i="2" s="1"/>
  <c r="C113" i="2" s="1"/>
  <c r="C115" i="2" s="1"/>
  <c r="C122" i="2" s="1"/>
  <c r="C124" i="2" s="1"/>
  <c r="C131" i="2" s="1"/>
  <c r="C133" i="2" s="1"/>
  <c r="C140" i="2" s="1"/>
  <c r="C142" i="2" s="1"/>
  <c r="I41" i="2"/>
  <c r="O39" i="2"/>
  <c r="K32" i="2"/>
  <c r="C149" i="2" l="1"/>
  <c r="C151" i="2" s="1"/>
  <c r="C158" i="2" s="1"/>
  <c r="C160" i="2" s="1"/>
  <c r="C167" i="2" s="1"/>
  <c r="C169" i="2" s="1"/>
  <c r="C176" i="2" s="1"/>
  <c r="C178" i="2" s="1"/>
  <c r="K39" i="2"/>
  <c r="I48" i="2"/>
  <c r="O41" i="2"/>
  <c r="I50" i="2" l="1"/>
  <c r="O48" i="2"/>
  <c r="K41" i="2"/>
  <c r="K48" i="2" l="1"/>
  <c r="I58" i="2"/>
  <c r="O50" i="2"/>
  <c r="I60" i="2" l="1"/>
  <c r="O58" i="2"/>
  <c r="K50" i="2"/>
  <c r="K58" i="2" s="1"/>
  <c r="O60" i="2" l="1"/>
  <c r="I68" i="2"/>
  <c r="K60" i="2" l="1"/>
  <c r="K68" i="2" s="1"/>
  <c r="I70" i="2"/>
  <c r="O68" i="2"/>
  <c r="O70" i="2" l="1"/>
  <c r="K70" i="2"/>
  <c r="K77" i="2" l="1"/>
  <c r="O77" i="2"/>
  <c r="I79" i="2"/>
  <c r="O79" i="2" l="1"/>
  <c r="I86" i="2"/>
  <c r="K79" i="2"/>
  <c r="K86" i="2" s="1"/>
  <c r="Q86" i="2" s="1"/>
  <c r="O86" i="2" l="1"/>
  <c r="I88" i="2"/>
  <c r="K88" i="2"/>
  <c r="K95" i="2" s="1"/>
  <c r="O88" i="2" l="1"/>
  <c r="I95" i="2"/>
  <c r="K97" i="2"/>
  <c r="K104" i="2" s="1"/>
  <c r="K106" i="2" s="1"/>
  <c r="K113" i="2" s="1"/>
  <c r="K115" i="2" s="1"/>
  <c r="K122" i="2" s="1"/>
  <c r="K124" i="2" l="1"/>
  <c r="K131" i="2" s="1"/>
  <c r="Q122" i="2"/>
  <c r="O95" i="2"/>
  <c r="I97" i="2"/>
  <c r="K133" i="2" l="1"/>
  <c r="K140" i="2" s="1"/>
  <c r="Q131" i="2"/>
  <c r="O97" i="2"/>
  <c r="I104" i="2"/>
  <c r="K142" i="2" l="1"/>
  <c r="K149" i="2" s="1"/>
  <c r="Q140" i="2"/>
  <c r="O104" i="2"/>
  <c r="I106" i="2"/>
  <c r="Q149" i="2" l="1"/>
  <c r="K151" i="2"/>
  <c r="K158" i="2" s="1"/>
  <c r="O106" i="2"/>
  <c r="I113" i="2"/>
  <c r="Q158" i="2" l="1"/>
  <c r="K160" i="2"/>
  <c r="O113" i="2"/>
  <c r="I115" i="2"/>
  <c r="K167" i="2" l="1"/>
  <c r="O115" i="2"/>
  <c r="I122" i="2"/>
  <c r="K169" i="2" l="1"/>
  <c r="K176" i="2" s="1"/>
  <c r="Q167" i="2"/>
  <c r="O122" i="2"/>
  <c r="I124" i="2"/>
  <c r="K178" i="2" l="1"/>
  <c r="Q176" i="2"/>
  <c r="O124" i="2"/>
  <c r="I131" i="2"/>
  <c r="O131" i="2" l="1"/>
  <c r="I133" i="2"/>
  <c r="O133" i="2" l="1"/>
  <c r="I140" i="2"/>
  <c r="O140" i="2" l="1"/>
  <c r="I142" i="2"/>
  <c r="O142" i="2" l="1"/>
  <c r="I149" i="2"/>
  <c r="O149" i="2" l="1"/>
  <c r="I151" i="2"/>
  <c r="O151" i="2" l="1"/>
  <c r="I158" i="2"/>
  <c r="I160" i="2" l="1"/>
  <c r="O158" i="2"/>
  <c r="I167" i="2" l="1"/>
  <c r="O160" i="2"/>
  <c r="O167" i="2" l="1"/>
  <c r="I169" i="2"/>
  <c r="O169" i="2" l="1"/>
  <c r="O176" i="2" s="1"/>
  <c r="I176" i="2"/>
  <c r="I178" i="2" s="1"/>
  <c r="O178" i="2" s="1"/>
</calcChain>
</file>

<file path=xl/sharedStrings.xml><?xml version="1.0" encoding="utf-8"?>
<sst xmlns="http://schemas.openxmlformats.org/spreadsheetml/2006/main" count="215" uniqueCount="45">
  <si>
    <t>Month</t>
  </si>
  <si>
    <t>Status</t>
  </si>
  <si>
    <t>FAC Connectors</t>
  </si>
  <si>
    <t>Fiber Rossette</t>
  </si>
  <si>
    <t>HOOK C</t>
  </si>
  <si>
    <t>HOOK L</t>
  </si>
  <si>
    <t xml:space="preserve">BOLT &amp; NUT </t>
  </si>
  <si>
    <t>DROP WIRE RETAINER</t>
  </si>
  <si>
    <t>CABLE CAT5E</t>
  </si>
  <si>
    <t>CABLE TWIN WIRE</t>
  </si>
  <si>
    <t>Fiber Drop Wire - F1+G1</t>
  </si>
  <si>
    <t>CAT Box</t>
  </si>
  <si>
    <t>July 7-31</t>
  </si>
  <si>
    <t>Carry Forward Balance</t>
  </si>
  <si>
    <t>Received</t>
  </si>
  <si>
    <t>Total Inhand</t>
  </si>
  <si>
    <t>Usage</t>
  </si>
  <si>
    <t>Wastage</t>
  </si>
  <si>
    <t>Total Usage</t>
  </si>
  <si>
    <t>Received Rs</t>
  </si>
  <si>
    <t>Usage Rs</t>
  </si>
  <si>
    <t>AUG</t>
  </si>
  <si>
    <t>Usage Total</t>
  </si>
  <si>
    <t>SEP</t>
  </si>
  <si>
    <t>OCT</t>
  </si>
  <si>
    <t>NOV</t>
  </si>
  <si>
    <t>DEC</t>
  </si>
  <si>
    <t>Jan</t>
  </si>
  <si>
    <t>31 Inhand</t>
  </si>
  <si>
    <t>FEB</t>
  </si>
  <si>
    <t>March</t>
  </si>
  <si>
    <t>April</t>
  </si>
  <si>
    <t>May</t>
  </si>
  <si>
    <t>June</t>
  </si>
  <si>
    <t>July</t>
  </si>
  <si>
    <t>Total</t>
  </si>
  <si>
    <t>Fiber Usage + Wastage</t>
  </si>
  <si>
    <t>PSTN Usage</t>
  </si>
  <si>
    <t>Only IPTV Usage</t>
  </si>
  <si>
    <t>All Services Usage</t>
  </si>
  <si>
    <t>Faulty</t>
  </si>
  <si>
    <t>Balance</t>
  </si>
  <si>
    <t>Usage Cost</t>
  </si>
  <si>
    <t>Recevid Cost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</si>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</sst>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[Red]#,##0.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Calibri"/>
      <family val="2"/>
    </font>
    <font>
      <b/>
      <sz val="2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5E6A2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6">
    <xf numFmtId="0" fontId="0" fillId="0" borderId="0" xfId="0"/>
    <xf numFmtId="0" fontId="2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/>
    <xf numFmtId="2" fontId="0" fillId="7" borderId="1" xfId="0" applyNumberFormat="1" applyFill="1" applyBorder="1"/>
    <xf numFmtId="0" fontId="1" fillId="7" borderId="1" xfId="0" applyFont="1" applyFill="1" applyBorder="1"/>
    <xf numFmtId="0" fontId="1" fillId="11" borderId="1" xfId="0" applyFont="1" applyFill="1" applyBorder="1"/>
    <xf numFmtId="2" fontId="0" fillId="11" borderId="1" xfId="0" applyNumberFormat="1" applyFill="1" applyBorder="1"/>
    <xf numFmtId="0" fontId="1" fillId="12" borderId="1" xfId="0" applyFont="1" applyFill="1" applyBorder="1"/>
    <xf numFmtId="2" fontId="0" fillId="12" borderId="1" xfId="0" applyNumberFormat="1" applyFill="1" applyBorder="1"/>
    <xf numFmtId="0" fontId="3" fillId="9" borderId="1" xfId="0" applyFont="1" applyFill="1" applyBorder="1"/>
    <xf numFmtId="2" fontId="3" fillId="9" borderId="1" xfId="0" applyNumberFormat="1" applyFont="1" applyFill="1" applyBorder="1"/>
    <xf numFmtId="0" fontId="3" fillId="10" borderId="1" xfId="0" applyFont="1" applyFill="1" applyBorder="1"/>
    <xf numFmtId="2" fontId="3" fillId="10" borderId="1" xfId="0" applyNumberFormat="1" applyFont="1" applyFill="1" applyBorder="1"/>
    <xf numFmtId="2" fontId="4" fillId="9" borderId="1" xfId="0" applyNumberFormat="1" applyFont="1" applyFill="1" applyBorder="1"/>
    <xf numFmtId="0" fontId="3" fillId="3" borderId="1" xfId="0" applyFont="1" applyFill="1" applyBorder="1"/>
    <xf numFmtId="2" fontId="4" fillId="3" borderId="1" xfId="0" applyNumberFormat="1" applyFont="1" applyFill="1" applyBorder="1"/>
    <xf numFmtId="0" fontId="3" fillId="7" borderId="1" xfId="0" applyFont="1" applyFill="1" applyBorder="1"/>
    <xf numFmtId="2" fontId="3" fillId="7" borderId="1" xfId="0" applyNumberFormat="1" applyFont="1" applyFill="1" applyBorder="1"/>
    <xf numFmtId="2" fontId="3" fillId="4" borderId="1" xfId="0" applyNumberFormat="1" applyFont="1" applyFill="1" applyBorder="1"/>
    <xf numFmtId="0" fontId="3" fillId="5" borderId="1" xfId="0" applyFont="1" applyFill="1" applyBorder="1"/>
    <xf numFmtId="2" fontId="4" fillId="5" borderId="1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9" fontId="0" fillId="0" borderId="0" xfId="0" applyNumberFormat="1"/>
    <xf numFmtId="0" fontId="3" fillId="13" borderId="0" xfId="0" applyFont="1" applyFill="1"/>
    <xf numFmtId="2" fontId="3" fillId="13" borderId="1" xfId="0" applyNumberFormat="1" applyFont="1" applyFill="1" applyBorder="1"/>
    <xf numFmtId="0" fontId="7" fillId="0" borderId="0" xfId="0" applyFont="1"/>
    <xf numFmtId="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4" fontId="6" fillId="14" borderId="0" xfId="0" applyNumberFormat="1" applyFont="1" applyFill="1"/>
    <xf numFmtId="0" fontId="6" fillId="16" borderId="0" xfId="0" applyFont="1" applyFill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8" borderId="8" xfId="0" applyFill="1" applyBorder="1"/>
    <xf numFmtId="0" fontId="0" fillId="8" borderId="7" xfId="0" applyFill="1" applyBorder="1"/>
    <xf numFmtId="0" fontId="0" fillId="8" borderId="0" xfId="0" applyFill="1"/>
    <xf numFmtId="0" fontId="3" fillId="2" borderId="5" xfId="0" applyFont="1" applyFill="1" applyBorder="1" applyAlignment="1">
      <alignment vertical="center"/>
    </xf>
    <xf numFmtId="0" fontId="0" fillId="2" borderId="0" xfId="0" applyFill="1"/>
    <xf numFmtId="0" fontId="0" fillId="2" borderId="5" xfId="0" applyFill="1" applyBorder="1"/>
    <xf numFmtId="0" fontId="0" fillId="16" borderId="0" xfId="0" applyFill="1"/>
    <xf numFmtId="164" fontId="9" fillId="14" borderId="0" xfId="0" applyNumberFormat="1" applyFont="1" applyFill="1"/>
    <xf numFmtId="164" fontId="1" fillId="14" borderId="0" xfId="0" applyNumberFormat="1" applyFont="1" applyFill="1"/>
    <xf numFmtId="0" fontId="8" fillId="15" borderId="0" xfId="0" applyFont="1" applyFill="1"/>
    <xf numFmtId="0" fontId="6" fillId="17" borderId="3" xfId="0" applyFont="1" applyFill="1" applyBorder="1" applyAlignment="1">
      <alignment vertical="center" wrapText="1"/>
    </xf>
    <xf numFmtId="0" fontId="6" fillId="17" borderId="1" xfId="0" applyFont="1" applyFill="1" applyBorder="1"/>
    <xf numFmtId="2" fontId="11" fillId="17" borderId="1" xfId="0" applyNumberFormat="1" applyFont="1" applyFill="1" applyBorder="1"/>
    <xf numFmtId="0" fontId="11" fillId="17" borderId="0" xfId="0" applyFont="1" applyFill="1"/>
    <xf numFmtId="9" fontId="11" fillId="17" borderId="0" xfId="0" applyNumberFormat="1" applyFont="1" applyFill="1"/>
    <xf numFmtId="0" fontId="0" fillId="0" borderId="0" xfId="0" applyAlignment="1">
      <alignment horizontal="center"/>
    </xf>
    <xf numFmtId="164" fontId="6" fillId="0" borderId="0" xfId="0" applyNumberFormat="1" applyFont="1"/>
    <xf numFmtId="0" fontId="6" fillId="0" borderId="0" xfId="0" applyFont="1"/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43" fontId="3" fillId="2" borderId="0" xfId="0" applyNumberFormat="1" applyFont="1" applyFill="1" applyAlignment="1">
      <alignment horizontal="center" vertical="center"/>
    </xf>
    <xf numFmtId="43" fontId="3" fillId="10" borderId="6" xfId="0" applyNumberFormat="1" applyFont="1" applyFill="1" applyBorder="1"/>
    <xf numFmtId="43" fontId="3" fillId="10" borderId="7" xfId="0" applyNumberFormat="1" applyFont="1" applyFill="1" applyBorder="1"/>
    <xf numFmtId="43" fontId="0" fillId="0" borderId="0" xfId="0" applyNumberFormat="1"/>
    <xf numFmtId="43" fontId="3" fillId="10" borderId="0" xfId="1" applyFont="1" applyFill="1" applyBorder="1"/>
    <xf numFmtId="43" fontId="0" fillId="0" borderId="0" xfId="0" applyNumberFormat="1" applyAlignment="1">
      <alignment horizontal="center"/>
    </xf>
    <xf numFmtId="43" fontId="3" fillId="6" borderId="6" xfId="0" applyNumberFormat="1" applyFont="1" applyFill="1" applyBorder="1"/>
    <xf numFmtId="43" fontId="3" fillId="6" borderId="7" xfId="0" applyNumberFormat="1" applyFont="1" applyFill="1" applyBorder="1"/>
    <xf numFmtId="43" fontId="3" fillId="6" borderId="0" xfId="1" applyFont="1" applyFill="1" applyBorder="1" applyAlignment="1"/>
    <xf numFmtId="0" fontId="12" fillId="18" borderId="1" xfId="0" applyFont="1" applyFill="1" applyBorder="1"/>
    <xf numFmtId="164" fontId="6" fillId="8" borderId="0" xfId="0" applyNumberFormat="1" applyFont="1" applyFill="1"/>
    <xf numFmtId="0" fontId="11" fillId="8" borderId="0" xfId="0" applyFont="1" applyFill="1"/>
    <xf numFmtId="0" fontId="1" fillId="17" borderId="3" xfId="0" applyFont="1" applyFill="1" applyBorder="1" applyAlignment="1">
      <alignment vertical="center" wrapText="1"/>
    </xf>
    <xf numFmtId="0" fontId="1" fillId="17" borderId="1" xfId="0" applyFont="1" applyFill="1" applyBorder="1"/>
    <xf numFmtId="2" fontId="0" fillId="17" borderId="1" xfId="0" applyNumberFormat="1" applyFill="1" applyBorder="1"/>
    <xf numFmtId="0" fontId="0" fillId="17" borderId="0" xfId="0" applyFill="1"/>
    <xf numFmtId="9" fontId="0" fillId="17" borderId="0" xfId="0" applyNumberFormat="1" applyFill="1"/>
    <xf numFmtId="164" fontId="13" fillId="0" borderId="0" xfId="0" applyNumberFormat="1" applyFont="1"/>
    <xf numFmtId="0" fontId="9" fillId="0" borderId="0" xfId="0" applyFont="1"/>
    <xf numFmtId="2" fontId="4" fillId="12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99"/>
      <color rgb="FFFFFF99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telecomservices-my.sharepoint.com/personal/prasad_slts_lk/Documents/BOM%20Summary/Metirial%20Details%20Monthly.xlsx" TargetMode="External"/><Relationship Id="rId1" Type="http://schemas.openxmlformats.org/officeDocument/2006/relationships/externalLinkPath" Target="https://sltelecomservices-my.sharepoint.com/personal/prasad_slts_lk/Documents/BOM%20Summary/Metirial%20Details%20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heet1"/>
      <sheetName val="SEP"/>
      <sheetName val="OCT"/>
      <sheetName val="NOV"/>
      <sheetName val="DEC"/>
      <sheetName val="summary"/>
      <sheetName val="Sheet2"/>
      <sheetName val="Sheet3"/>
    </sheetNames>
    <sheetDataSet>
      <sheetData sheetId="0">
        <row r="34">
          <cell r="C34">
            <v>13252</v>
          </cell>
          <cell r="D34">
            <v>6611</v>
          </cell>
          <cell r="E34">
            <v>6076</v>
          </cell>
          <cell r="F34">
            <v>4798</v>
          </cell>
          <cell r="H34">
            <v>64469</v>
          </cell>
          <cell r="J34">
            <v>7769</v>
          </cell>
          <cell r="K34">
            <v>1098586</v>
          </cell>
          <cell r="L34">
            <v>265</v>
          </cell>
          <cell r="N34">
            <v>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8049-6B1F-4CA6-82EF-65C48941E689}">
  <dimension ref="A1:XEY211"/>
  <sheetViews>
    <sheetView tabSelected="1" zoomScaleNormal="100" workbookViewId="0">
      <pane xSplit="2" ySplit="2" topLeftCell="F151" activePane="bottomRight" state="frozen"/>
      <selection pane="topRight" activeCell="C1" sqref="C1"/>
      <selection pane="bottomLeft" activeCell="A3" sqref="A3"/>
      <selection pane="bottomRight" activeCell="H169" sqref="H169"/>
    </sheetView>
  </sheetViews>
  <sheetFormatPr defaultColWidth="13.33203125" defaultRowHeight="14.4" x14ac:dyDescent="0.3"/>
  <cols>
    <col min="1" max="1" width="11.77734375" customWidth="1"/>
    <col min="2" max="2" width="22.33203125" customWidth="1"/>
    <col min="3" max="6" width="15.44140625" bestFit="1" customWidth="1"/>
    <col min="7" max="7" width="14.21875" bestFit="1" customWidth="1"/>
    <col min="8" max="8" width="17.5546875" bestFit="1" customWidth="1"/>
    <col min="9" max="10" width="15.44140625" bestFit="1" customWidth="1"/>
    <col min="11" max="11" width="19.33203125" bestFit="1" customWidth="1"/>
    <col min="12" max="12" width="15.44140625" bestFit="1" customWidth="1"/>
    <col min="13" max="13" width="16.5546875" bestFit="1" customWidth="1"/>
    <col min="14" max="15" width="15.44140625" bestFit="1" customWidth="1"/>
    <col min="16" max="16" width="3.77734375" bestFit="1" customWidth="1"/>
    <col min="17" max="17" width="18.5546875" bestFit="1" customWidth="1"/>
    <col min="18" max="18" width="13.33203125" bestFit="1" customWidth="1"/>
    <col min="19" max="19" width="31.88671875" customWidth="1"/>
  </cols>
  <sheetData>
    <row r="1" spans="1:18 16379:16379" s="50" customFormat="1" ht="15.6" x14ac:dyDescent="0.3">
      <c r="A1"/>
      <c r="B1"/>
      <c r="C1" s="26">
        <v>160.34</v>
      </c>
      <c r="D1">
        <v>228.51</v>
      </c>
      <c r="E1">
        <v>144.72999999999999</v>
      </c>
      <c r="F1">
        <v>218.85</v>
      </c>
      <c r="G1">
        <v>182.97</v>
      </c>
      <c r="H1">
        <v>29.59</v>
      </c>
      <c r="I1">
        <v>104.03</v>
      </c>
      <c r="J1">
        <v>52.55</v>
      </c>
      <c r="K1">
        <v>11.19</v>
      </c>
      <c r="L1" s="27">
        <v>8506.9599999999991</v>
      </c>
      <c r="M1" s="27">
        <v>13923.22</v>
      </c>
      <c r="N1" s="27">
        <v>29167.47</v>
      </c>
      <c r="O1">
        <f>I1*305</f>
        <v>31729.15</v>
      </c>
      <c r="P1"/>
      <c r="Q1"/>
      <c r="R1"/>
      <c r="XEY1"/>
    </row>
    <row r="2" spans="1:18 16379:16379" s="50" customFormat="1" ht="27.6" x14ac:dyDescent="0.3">
      <c r="A2" s="2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>
        <v>5.6</v>
      </c>
      <c r="M2" s="1">
        <v>6.7</v>
      </c>
      <c r="N2" s="1">
        <v>8</v>
      </c>
      <c r="O2" s="1" t="s">
        <v>11</v>
      </c>
      <c r="P2"/>
      <c r="Q2"/>
      <c r="R2"/>
      <c r="XEY2"/>
    </row>
    <row r="3" spans="1:18 16379:16379" s="50" customFormat="1" x14ac:dyDescent="0.3">
      <c r="A3" s="32" t="s">
        <v>12</v>
      </c>
      <c r="B3" s="4" t="s">
        <v>13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f>I3/305</f>
        <v>0</v>
      </c>
      <c r="P3"/>
      <c r="Q3"/>
      <c r="R3"/>
      <c r="XEY3"/>
    </row>
    <row r="4" spans="1:18 16379:16379" s="50" customFormat="1" x14ac:dyDescent="0.3">
      <c r="A4" s="33"/>
      <c r="B4" s="5" t="s">
        <v>14</v>
      </c>
      <c r="C4" s="6">
        <v>14000</v>
      </c>
      <c r="D4" s="6">
        <v>7000</v>
      </c>
      <c r="E4" s="6">
        <v>5000</v>
      </c>
      <c r="F4" s="6">
        <v>8400</v>
      </c>
      <c r="G4" s="6">
        <v>4200</v>
      </c>
      <c r="H4" s="6">
        <v>56000</v>
      </c>
      <c r="I4" s="6">
        <v>21350</v>
      </c>
      <c r="J4" s="6">
        <v>17500</v>
      </c>
      <c r="K4" s="6">
        <v>1330000</v>
      </c>
      <c r="L4" s="6">
        <v>196</v>
      </c>
      <c r="M4" s="6">
        <v>1040</v>
      </c>
      <c r="N4" s="6">
        <v>17</v>
      </c>
      <c r="O4" s="6">
        <f t="shared" ref="O4:O8" si="0">I4/305</f>
        <v>70</v>
      </c>
      <c r="P4"/>
      <c r="Q4"/>
      <c r="R4"/>
      <c r="XEY4"/>
    </row>
    <row r="5" spans="1:18 16379:16379" s="50" customFormat="1" x14ac:dyDescent="0.3">
      <c r="A5" s="33"/>
      <c r="B5" s="5" t="s">
        <v>15</v>
      </c>
      <c r="C5" s="6">
        <f>C3+C4</f>
        <v>14000</v>
      </c>
      <c r="D5" s="6">
        <f t="shared" ref="D5:N5" si="1">D3+D4</f>
        <v>7000</v>
      </c>
      <c r="E5" s="6">
        <f t="shared" si="1"/>
        <v>5000</v>
      </c>
      <c r="F5" s="6">
        <f t="shared" si="1"/>
        <v>8400</v>
      </c>
      <c r="G5" s="6">
        <f t="shared" si="1"/>
        <v>4200</v>
      </c>
      <c r="H5" s="6">
        <f t="shared" si="1"/>
        <v>56000</v>
      </c>
      <c r="I5" s="6">
        <f t="shared" si="1"/>
        <v>21350</v>
      </c>
      <c r="J5" s="6">
        <f t="shared" si="1"/>
        <v>17500</v>
      </c>
      <c r="K5" s="6">
        <f t="shared" si="1"/>
        <v>1330000</v>
      </c>
      <c r="L5" s="6">
        <f t="shared" si="1"/>
        <v>196</v>
      </c>
      <c r="M5" s="6">
        <f t="shared" si="1"/>
        <v>1040</v>
      </c>
      <c r="N5" s="6">
        <f t="shared" si="1"/>
        <v>17</v>
      </c>
      <c r="O5" s="6">
        <f t="shared" si="0"/>
        <v>70</v>
      </c>
      <c r="P5"/>
      <c r="Q5"/>
      <c r="R5"/>
      <c r="XEY5"/>
    </row>
    <row r="6" spans="1:18 16379:16379" s="50" customFormat="1" x14ac:dyDescent="0.3">
      <c r="A6" s="45"/>
      <c r="B6" s="46" t="s">
        <v>16</v>
      </c>
      <c r="C6" s="47">
        <f>[1]JUL!C34</f>
        <v>13252</v>
      </c>
      <c r="D6" s="47">
        <f>[1]JUL!D34</f>
        <v>6611</v>
      </c>
      <c r="E6" s="47">
        <f>[1]JUL!E34</f>
        <v>6076</v>
      </c>
      <c r="F6" s="47">
        <f>[1]JUL!F34</f>
        <v>4798</v>
      </c>
      <c r="G6" s="47">
        <v>2399</v>
      </c>
      <c r="H6" s="47">
        <f>[1]JUL!H34</f>
        <v>64469</v>
      </c>
      <c r="I6" s="47">
        <v>5415</v>
      </c>
      <c r="J6" s="47">
        <f>[1]JUL!J34</f>
        <v>7769</v>
      </c>
      <c r="K6" s="47">
        <f>[1]JUL!K34</f>
        <v>1098586</v>
      </c>
      <c r="L6" s="47">
        <f>[1]JUL!L34</f>
        <v>265</v>
      </c>
      <c r="M6" s="47">
        <v>966</v>
      </c>
      <c r="N6" s="47">
        <f>[1]JUL!N34</f>
        <v>17</v>
      </c>
      <c r="O6" s="47">
        <f t="shared" si="0"/>
        <v>17.754098360655739</v>
      </c>
      <c r="P6"/>
      <c r="Q6"/>
      <c r="R6"/>
      <c r="XEY6"/>
    </row>
    <row r="7" spans="1:18 16379:16379" s="50" customFormat="1" x14ac:dyDescent="0.3">
      <c r="A7" s="33"/>
      <c r="B7" s="7" t="s">
        <v>17</v>
      </c>
      <c r="C7" s="8">
        <f>ROUND((C6*0.02),0)</f>
        <v>265</v>
      </c>
      <c r="D7" s="8">
        <v>0</v>
      </c>
      <c r="E7" s="8">
        <v>0</v>
      </c>
      <c r="F7" s="8">
        <v>0</v>
      </c>
      <c r="G7" s="8">
        <v>0</v>
      </c>
      <c r="H7" s="8">
        <f>ROUND(H6*0.01,0)</f>
        <v>645</v>
      </c>
      <c r="I7" s="8">
        <f>I6*0.01</f>
        <v>54.15</v>
      </c>
      <c r="J7" s="8">
        <f>J6*0.05</f>
        <v>388.45000000000005</v>
      </c>
      <c r="K7" s="8">
        <f>K6*0.05</f>
        <v>54929.3</v>
      </c>
      <c r="L7" s="8">
        <v>0</v>
      </c>
      <c r="M7" s="8">
        <v>0</v>
      </c>
      <c r="N7" s="8">
        <v>0</v>
      </c>
      <c r="O7" s="8">
        <f t="shared" si="0"/>
        <v>0.17754098360655737</v>
      </c>
      <c r="P7" s="23">
        <v>0.05</v>
      </c>
      <c r="Q7"/>
      <c r="R7"/>
      <c r="XEY7"/>
    </row>
    <row r="8" spans="1:18 16379:16379" s="50" customFormat="1" x14ac:dyDescent="0.3">
      <c r="A8" s="34"/>
      <c r="B8" s="7" t="s">
        <v>18</v>
      </c>
      <c r="C8" s="8">
        <f>C6+C7</f>
        <v>13517</v>
      </c>
      <c r="D8" s="8">
        <f t="shared" ref="D8:N8" si="2">D6+D7</f>
        <v>6611</v>
      </c>
      <c r="E8" s="8">
        <f t="shared" si="2"/>
        <v>6076</v>
      </c>
      <c r="F8" s="8">
        <f t="shared" si="2"/>
        <v>4798</v>
      </c>
      <c r="G8" s="8">
        <f t="shared" si="2"/>
        <v>2399</v>
      </c>
      <c r="H8" s="8">
        <f t="shared" si="2"/>
        <v>65114</v>
      </c>
      <c r="I8" s="8">
        <f t="shared" si="2"/>
        <v>5469.15</v>
      </c>
      <c r="J8" s="8">
        <f t="shared" si="2"/>
        <v>8157.45</v>
      </c>
      <c r="K8" s="8">
        <f>K6+K7</f>
        <v>1153515.3</v>
      </c>
      <c r="L8" s="8">
        <f t="shared" si="2"/>
        <v>265</v>
      </c>
      <c r="M8" s="8">
        <f t="shared" si="2"/>
        <v>966</v>
      </c>
      <c r="N8" s="8">
        <f t="shared" si="2"/>
        <v>17</v>
      </c>
      <c r="O8" s="8">
        <f t="shared" si="0"/>
        <v>17.931639344262294</v>
      </c>
      <c r="P8"/>
      <c r="Q8"/>
      <c r="R8"/>
      <c r="XEY8"/>
    </row>
    <row r="9" spans="1:18 16379:16379" s="28" customFormat="1" x14ac:dyDescent="0.3">
      <c r="A9" s="28" t="s">
        <v>19</v>
      </c>
      <c r="C9" s="28">
        <f>C4*C1</f>
        <v>2244760</v>
      </c>
      <c r="D9" s="28">
        <f t="shared" ref="D9:N9" si="3">D4*D1</f>
        <v>1599570</v>
      </c>
      <c r="E9" s="28">
        <f t="shared" si="3"/>
        <v>723650</v>
      </c>
      <c r="F9" s="28">
        <f t="shared" si="3"/>
        <v>1838340</v>
      </c>
      <c r="G9" s="28">
        <f t="shared" si="3"/>
        <v>768474</v>
      </c>
      <c r="H9" s="28">
        <f t="shared" si="3"/>
        <v>1657040</v>
      </c>
      <c r="I9" s="28">
        <f t="shared" si="3"/>
        <v>2221040.5</v>
      </c>
      <c r="J9" s="28">
        <f t="shared" si="3"/>
        <v>919625</v>
      </c>
      <c r="K9" s="28">
        <f t="shared" si="3"/>
        <v>14882700</v>
      </c>
      <c r="L9" s="28">
        <f t="shared" si="3"/>
        <v>1667364.16</v>
      </c>
      <c r="M9" s="28">
        <f t="shared" si="3"/>
        <v>14480148.799999999</v>
      </c>
      <c r="N9" s="28">
        <f t="shared" si="3"/>
        <v>495846.99</v>
      </c>
      <c r="Q9" s="28">
        <f>SUM(C9:N9)</f>
        <v>43498559.450000003</v>
      </c>
      <c r="XEY9"/>
    </row>
    <row r="10" spans="1:18 16379:16379" s="51" customFormat="1" x14ac:dyDescent="0.3">
      <c r="A10" s="30" t="s">
        <v>20</v>
      </c>
      <c r="B10" s="30"/>
      <c r="C10" s="30">
        <f>C8*C1</f>
        <v>2167315.7800000003</v>
      </c>
      <c r="D10" s="30">
        <f t="shared" ref="D10:N10" si="4">D8*D1</f>
        <v>1510679.6099999999</v>
      </c>
      <c r="E10" s="30">
        <f t="shared" si="4"/>
        <v>879379.48</v>
      </c>
      <c r="F10" s="30">
        <f t="shared" si="4"/>
        <v>1050042.3</v>
      </c>
      <c r="G10" s="30">
        <f t="shared" si="4"/>
        <v>438945.02999999997</v>
      </c>
      <c r="H10" s="30">
        <f t="shared" si="4"/>
        <v>1926723.26</v>
      </c>
      <c r="I10" s="30">
        <f t="shared" si="4"/>
        <v>568955.67449999996</v>
      </c>
      <c r="J10" s="30">
        <f t="shared" si="4"/>
        <v>428673.99749999994</v>
      </c>
      <c r="K10" s="30">
        <f t="shared" si="4"/>
        <v>12907836.207</v>
      </c>
      <c r="L10" s="30">
        <f t="shared" si="4"/>
        <v>2254344.4</v>
      </c>
      <c r="M10" s="30">
        <f t="shared" si="4"/>
        <v>13449830.52</v>
      </c>
      <c r="N10" s="30">
        <f t="shared" si="4"/>
        <v>495846.99</v>
      </c>
      <c r="O10" s="30"/>
      <c r="P10" s="30"/>
      <c r="Q10" s="30">
        <f>SUM(C10:N10)</f>
        <v>38078573.249000005</v>
      </c>
      <c r="XEY10"/>
    </row>
    <row r="11" spans="1:18 16379:16379" s="52" customForma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XEY11"/>
    </row>
    <row r="12" spans="1:18 16379:16379" s="50" customFormat="1" x14ac:dyDescent="0.3">
      <c r="A12" s="32" t="s">
        <v>21</v>
      </c>
      <c r="B12" s="4" t="s">
        <v>13</v>
      </c>
      <c r="C12" s="3">
        <f>C5-C8</f>
        <v>483</v>
      </c>
      <c r="D12" s="3">
        <f t="shared" ref="D12:N12" si="5">D5-D8</f>
        <v>389</v>
      </c>
      <c r="E12" s="3">
        <f t="shared" si="5"/>
        <v>-1076</v>
      </c>
      <c r="F12" s="3">
        <f t="shared" si="5"/>
        <v>3602</v>
      </c>
      <c r="G12" s="3">
        <f t="shared" si="5"/>
        <v>1801</v>
      </c>
      <c r="H12" s="3">
        <f t="shared" si="5"/>
        <v>-9114</v>
      </c>
      <c r="I12" s="3">
        <f t="shared" si="5"/>
        <v>15880.85</v>
      </c>
      <c r="J12" s="3">
        <f t="shared" si="5"/>
        <v>9342.5499999999993</v>
      </c>
      <c r="K12" s="3">
        <f t="shared" si="5"/>
        <v>176484.69999999995</v>
      </c>
      <c r="L12" s="3">
        <f t="shared" si="5"/>
        <v>-69</v>
      </c>
      <c r="M12" s="3">
        <f t="shared" si="5"/>
        <v>74</v>
      </c>
      <c r="N12" s="3">
        <f t="shared" si="5"/>
        <v>0</v>
      </c>
      <c r="O12" s="3">
        <f>I12/305</f>
        <v>52.068360655737706</v>
      </c>
      <c r="P12"/>
      <c r="Q12"/>
      <c r="R12"/>
      <c r="XEY12"/>
    </row>
    <row r="13" spans="1:18 16379:16379" s="50" customFormat="1" x14ac:dyDescent="0.3">
      <c r="A13" s="33"/>
      <c r="B13" s="5" t="s">
        <v>14</v>
      </c>
      <c r="C13" s="6">
        <v>20100</v>
      </c>
      <c r="D13" s="6">
        <v>10004</v>
      </c>
      <c r="E13" s="6">
        <v>7001</v>
      </c>
      <c r="F13" s="6">
        <v>11997</v>
      </c>
      <c r="G13" s="6">
        <v>6002</v>
      </c>
      <c r="H13" s="6">
        <v>88781</v>
      </c>
      <c r="I13" s="6">
        <v>39040</v>
      </c>
      <c r="J13" s="6">
        <v>26000</v>
      </c>
      <c r="K13" s="6">
        <v>1750000</v>
      </c>
      <c r="L13" s="6">
        <v>180</v>
      </c>
      <c r="M13" s="6">
        <v>1119</v>
      </c>
      <c r="N13" s="6">
        <v>0</v>
      </c>
      <c r="O13" s="6">
        <f t="shared" ref="O13:O17" si="6">I13/305</f>
        <v>128</v>
      </c>
      <c r="P13"/>
      <c r="Q13"/>
      <c r="R13"/>
      <c r="XEY13"/>
    </row>
    <row r="14" spans="1:18 16379:16379" s="50" customFormat="1" x14ac:dyDescent="0.3">
      <c r="A14" s="33"/>
      <c r="B14" s="5" t="s">
        <v>15</v>
      </c>
      <c r="C14" s="6">
        <f>C12+C13</f>
        <v>20583</v>
      </c>
      <c r="D14" s="6">
        <f t="shared" ref="D14" si="7">D12+D13</f>
        <v>10393</v>
      </c>
      <c r="E14" s="6">
        <f t="shared" ref="E14" si="8">E12+E13</f>
        <v>5925</v>
      </c>
      <c r="F14" s="6">
        <f>F12+F13</f>
        <v>15599</v>
      </c>
      <c r="G14" s="6">
        <f t="shared" ref="G14" si="9">G12+G13</f>
        <v>7803</v>
      </c>
      <c r="H14" s="6">
        <f t="shared" ref="H14" si="10">H12+H13</f>
        <v>79667</v>
      </c>
      <c r="I14" s="6">
        <f t="shared" ref="I14" si="11">I12+I13</f>
        <v>54920.85</v>
      </c>
      <c r="J14" s="6">
        <f t="shared" ref="J14" si="12">J12+J13</f>
        <v>35342.550000000003</v>
      </c>
      <c r="K14" s="6">
        <f t="shared" ref="K14" si="13">K12+K13</f>
        <v>1926484.7</v>
      </c>
      <c r="L14" s="6">
        <f t="shared" ref="L14" si="14">L12+L13</f>
        <v>111</v>
      </c>
      <c r="M14" s="6">
        <f t="shared" ref="M14" si="15">M12+M13</f>
        <v>1193</v>
      </c>
      <c r="N14" s="6">
        <f t="shared" ref="N14" si="16">N12+N13</f>
        <v>0</v>
      </c>
      <c r="O14" s="6">
        <f t="shared" si="6"/>
        <v>180.06836065573771</v>
      </c>
      <c r="P14"/>
      <c r="Q14"/>
      <c r="R14"/>
      <c r="XEY14"/>
    </row>
    <row r="15" spans="1:18 16379:16379" s="50" customFormat="1" x14ac:dyDescent="0.3">
      <c r="A15" s="45"/>
      <c r="B15" s="46" t="s">
        <v>16</v>
      </c>
      <c r="C15" s="47">
        <v>14154</v>
      </c>
      <c r="D15" s="47">
        <v>7073</v>
      </c>
      <c r="E15" s="47">
        <v>6558</v>
      </c>
      <c r="F15" s="47">
        <v>5338</v>
      </c>
      <c r="G15" s="47">
        <v>2669</v>
      </c>
      <c r="H15" s="47">
        <v>74598</v>
      </c>
      <c r="I15" s="47">
        <v>6138</v>
      </c>
      <c r="J15" s="47">
        <v>8703</v>
      </c>
      <c r="K15" s="47">
        <v>1145850</v>
      </c>
      <c r="L15" s="47">
        <v>163</v>
      </c>
      <c r="M15" s="47">
        <v>1215</v>
      </c>
      <c r="N15" s="47">
        <v>7</v>
      </c>
      <c r="O15" s="47">
        <f t="shared" si="6"/>
        <v>20.124590163934425</v>
      </c>
      <c r="P15"/>
      <c r="Q15"/>
      <c r="R15"/>
      <c r="XEY15"/>
    </row>
    <row r="16" spans="1:18 16379:16379" s="50" customFormat="1" x14ac:dyDescent="0.3">
      <c r="A16" s="33"/>
      <c r="B16" s="7" t="s">
        <v>17</v>
      </c>
      <c r="C16" s="8">
        <f>ROUND((C15*0.02),0)</f>
        <v>283</v>
      </c>
      <c r="D16" s="8">
        <v>0</v>
      </c>
      <c r="E16" s="8">
        <v>0</v>
      </c>
      <c r="F16" s="8">
        <v>0</v>
      </c>
      <c r="G16" s="8">
        <v>0</v>
      </c>
      <c r="H16" s="8">
        <f>ROUND(H15*0.01,0)</f>
        <v>746</v>
      </c>
      <c r="I16" s="8">
        <f>I15*0.01</f>
        <v>61.38</v>
      </c>
      <c r="J16" s="8">
        <f>J15*0.05</f>
        <v>435.15000000000003</v>
      </c>
      <c r="K16" s="8">
        <f>K15*0.05</f>
        <v>57292.5</v>
      </c>
      <c r="L16" s="8">
        <v>0</v>
      </c>
      <c r="M16" s="8">
        <v>0</v>
      </c>
      <c r="N16" s="8">
        <v>0</v>
      </c>
      <c r="O16" s="8">
        <f t="shared" si="6"/>
        <v>0.20124590163934428</v>
      </c>
      <c r="P16" s="23">
        <v>0.05</v>
      </c>
      <c r="Q16"/>
      <c r="R16"/>
      <c r="XEY16"/>
    </row>
    <row r="17" spans="1:18 16379:16379" s="50" customFormat="1" x14ac:dyDescent="0.3">
      <c r="A17" s="34"/>
      <c r="B17" s="7" t="s">
        <v>22</v>
      </c>
      <c r="C17" s="8">
        <f>C15+C16</f>
        <v>14437</v>
      </c>
      <c r="D17" s="8">
        <f t="shared" ref="D17" si="17">D15+D16</f>
        <v>7073</v>
      </c>
      <c r="E17" s="8">
        <f t="shared" ref="E17" si="18">E15+E16</f>
        <v>6558</v>
      </c>
      <c r="F17" s="8">
        <f t="shared" ref="F17" si="19">F15+F16</f>
        <v>5338</v>
      </c>
      <c r="G17" s="8">
        <f t="shared" ref="G17" si="20">G15+G16</f>
        <v>2669</v>
      </c>
      <c r="H17" s="8">
        <f t="shared" ref="H17" si="21">H15+H16</f>
        <v>75344</v>
      </c>
      <c r="I17" s="8">
        <f t="shared" ref="I17" si="22">I15+I16</f>
        <v>6199.38</v>
      </c>
      <c r="J17" s="8">
        <f t="shared" ref="J17" si="23">J15+J16</f>
        <v>9138.15</v>
      </c>
      <c r="K17" s="8">
        <f t="shared" ref="K17" si="24">K15+K16</f>
        <v>1203142.5</v>
      </c>
      <c r="L17" s="8">
        <f t="shared" ref="L17" si="25">L15+L16</f>
        <v>163</v>
      </c>
      <c r="M17" s="8">
        <f t="shared" ref="M17" si="26">M15+M16</f>
        <v>1215</v>
      </c>
      <c r="N17" s="8">
        <f t="shared" ref="N17" si="27">N15+N16</f>
        <v>7</v>
      </c>
      <c r="O17" s="8">
        <f t="shared" si="6"/>
        <v>20.325836065573771</v>
      </c>
      <c r="P17"/>
      <c r="Q17"/>
      <c r="R17"/>
      <c r="XEY17"/>
    </row>
    <row r="18" spans="1:18 16379:16379" s="29" customFormat="1" x14ac:dyDescent="0.3">
      <c r="A18" s="28" t="s">
        <v>19</v>
      </c>
      <c r="C18" s="29">
        <f>C13*C1</f>
        <v>3222834</v>
      </c>
      <c r="D18" s="29">
        <f t="shared" ref="D18:N18" si="28">D13*D1</f>
        <v>2286014.04</v>
      </c>
      <c r="E18" s="29">
        <f t="shared" si="28"/>
        <v>1013254.73</v>
      </c>
      <c r="F18" s="29">
        <f t="shared" si="28"/>
        <v>2625543.4499999997</v>
      </c>
      <c r="G18" s="29">
        <f t="shared" si="28"/>
        <v>1098185.94</v>
      </c>
      <c r="H18" s="29">
        <f t="shared" si="28"/>
        <v>2627029.79</v>
      </c>
      <c r="I18" s="29">
        <f t="shared" si="28"/>
        <v>4061331.2</v>
      </c>
      <c r="J18" s="29">
        <f t="shared" si="28"/>
        <v>1366300</v>
      </c>
      <c r="K18" s="29">
        <f t="shared" si="28"/>
        <v>19582500</v>
      </c>
      <c r="L18" s="29">
        <f t="shared" si="28"/>
        <v>1531252.7999999998</v>
      </c>
      <c r="M18" s="29">
        <f t="shared" si="28"/>
        <v>15580083.18</v>
      </c>
      <c r="N18" s="29">
        <f t="shared" si="28"/>
        <v>0</v>
      </c>
      <c r="Q18" s="28">
        <f>SUM(C18:N18)</f>
        <v>54994329.129999995</v>
      </c>
      <c r="R18" s="28"/>
      <c r="XEY18"/>
    </row>
    <row r="19" spans="1:18 16379:16379" s="29" customFormat="1" x14ac:dyDescent="0.3">
      <c r="A19" s="30" t="s">
        <v>20</v>
      </c>
      <c r="B19" s="42"/>
      <c r="C19" s="30">
        <f t="shared" ref="C19:N19" si="29">C17*C1</f>
        <v>2314828.58</v>
      </c>
      <c r="D19" s="30">
        <f t="shared" si="29"/>
        <v>1616251.23</v>
      </c>
      <c r="E19" s="30">
        <f t="shared" si="29"/>
        <v>949139.34</v>
      </c>
      <c r="F19" s="30">
        <f t="shared" si="29"/>
        <v>1168221.3</v>
      </c>
      <c r="G19" s="30">
        <f t="shared" si="29"/>
        <v>488346.93</v>
      </c>
      <c r="H19" s="30">
        <f t="shared" si="29"/>
        <v>2229428.96</v>
      </c>
      <c r="I19" s="30">
        <f t="shared" si="29"/>
        <v>644921.50140000007</v>
      </c>
      <c r="J19" s="30">
        <f t="shared" si="29"/>
        <v>480209.78249999997</v>
      </c>
      <c r="K19" s="30">
        <f t="shared" si="29"/>
        <v>13463164.574999999</v>
      </c>
      <c r="L19" s="30">
        <f t="shared" si="29"/>
        <v>1386634.4799999997</v>
      </c>
      <c r="M19" s="30">
        <f t="shared" si="29"/>
        <v>16916712.300000001</v>
      </c>
      <c r="N19" s="30">
        <f t="shared" si="29"/>
        <v>204172.29</v>
      </c>
      <c r="O19" s="30"/>
      <c r="P19" s="30"/>
      <c r="Q19" s="30">
        <f>SUM(C19:N19)</f>
        <v>41862031.2689</v>
      </c>
      <c r="R19" s="51"/>
      <c r="XEY19"/>
    </row>
    <row r="20" spans="1:18 16379:16379" s="52" customFormat="1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XEY20"/>
    </row>
    <row r="21" spans="1:18 16379:16379" s="50" customFormat="1" x14ac:dyDescent="0.3">
      <c r="A21" s="32" t="s">
        <v>23</v>
      </c>
      <c r="B21" s="4" t="s">
        <v>13</v>
      </c>
      <c r="C21" s="3">
        <f t="shared" ref="C21:N21" si="30">C14-C17</f>
        <v>6146</v>
      </c>
      <c r="D21" s="3">
        <f t="shared" si="30"/>
        <v>3320</v>
      </c>
      <c r="E21" s="3">
        <f>E14-E17</f>
        <v>-633</v>
      </c>
      <c r="F21" s="3">
        <f>F14-F17</f>
        <v>10261</v>
      </c>
      <c r="G21" s="3">
        <f t="shared" si="30"/>
        <v>5134</v>
      </c>
      <c r="H21" s="3">
        <f t="shared" si="30"/>
        <v>4323</v>
      </c>
      <c r="I21" s="3">
        <f t="shared" si="30"/>
        <v>48721.47</v>
      </c>
      <c r="J21" s="3">
        <f>J14-J17</f>
        <v>26204.400000000001</v>
      </c>
      <c r="K21" s="3">
        <f t="shared" si="30"/>
        <v>723342.2</v>
      </c>
      <c r="L21" s="3">
        <f t="shared" si="30"/>
        <v>-52</v>
      </c>
      <c r="M21" s="3">
        <f t="shared" si="30"/>
        <v>-22</v>
      </c>
      <c r="N21" s="3">
        <f t="shared" si="30"/>
        <v>-7</v>
      </c>
      <c r="O21" s="3">
        <f t="shared" ref="O21" si="31">I21/305</f>
        <v>159.74252459016392</v>
      </c>
      <c r="P21"/>
      <c r="Q21"/>
      <c r="R21"/>
      <c r="XEY21"/>
    </row>
    <row r="22" spans="1:18 16379:16379" s="50" customFormat="1" x14ac:dyDescent="0.3">
      <c r="A22" s="33"/>
      <c r="B22" s="5" t="s">
        <v>14</v>
      </c>
      <c r="C22" s="6">
        <v>20000</v>
      </c>
      <c r="D22" s="6">
        <v>10000</v>
      </c>
      <c r="E22" s="6">
        <v>7000</v>
      </c>
      <c r="F22" s="6">
        <v>8000</v>
      </c>
      <c r="G22" s="6">
        <v>4000</v>
      </c>
      <c r="H22" s="6">
        <v>92700</v>
      </c>
      <c r="I22" s="6">
        <v>22875</v>
      </c>
      <c r="J22" s="6">
        <v>15000</v>
      </c>
      <c r="K22" s="6">
        <v>1808000</v>
      </c>
      <c r="L22" s="6">
        <v>0</v>
      </c>
      <c r="M22" s="6">
        <v>1279</v>
      </c>
      <c r="N22" s="6">
        <v>0</v>
      </c>
      <c r="O22" s="6">
        <f t="shared" ref="O22:O26" si="32">I22/305</f>
        <v>75</v>
      </c>
      <c r="P22"/>
      <c r="Q22"/>
      <c r="R22"/>
      <c r="XEY22"/>
    </row>
    <row r="23" spans="1:18 16379:16379" s="50" customFormat="1" x14ac:dyDescent="0.3">
      <c r="A23" s="33"/>
      <c r="B23" s="5" t="s">
        <v>15</v>
      </c>
      <c r="C23" s="6">
        <f>C21+C22</f>
        <v>26146</v>
      </c>
      <c r="D23" s="6">
        <f t="shared" ref="D23" si="33">D21+D22</f>
        <v>13320</v>
      </c>
      <c r="E23" s="6">
        <f t="shared" ref="E23" si="34">E21+E22</f>
        <v>6367</v>
      </c>
      <c r="F23" s="6">
        <f t="shared" ref="F23" si="35">F21+F22</f>
        <v>18261</v>
      </c>
      <c r="G23" s="6">
        <f t="shared" ref="G23" si="36">G21+G22</f>
        <v>9134</v>
      </c>
      <c r="H23" s="6">
        <f t="shared" ref="H23" si="37">H21+H22</f>
        <v>97023</v>
      </c>
      <c r="I23" s="6">
        <f t="shared" ref="I23" si="38">I21+I22</f>
        <v>71596.47</v>
      </c>
      <c r="J23" s="6">
        <f t="shared" ref="J23" si="39">J21+J22</f>
        <v>41204.400000000001</v>
      </c>
      <c r="K23" s="6">
        <f t="shared" ref="K23" si="40">K21+K22</f>
        <v>2531342.2000000002</v>
      </c>
      <c r="L23" s="6">
        <f t="shared" ref="L23" si="41">L21+L22</f>
        <v>-52</v>
      </c>
      <c r="M23" s="6">
        <f t="shared" ref="M23" si="42">M21+M22</f>
        <v>1257</v>
      </c>
      <c r="N23" s="6">
        <f t="shared" ref="N23" si="43">N21+N22</f>
        <v>-7</v>
      </c>
      <c r="O23" s="6">
        <f t="shared" si="32"/>
        <v>234.74252459016392</v>
      </c>
      <c r="P23"/>
      <c r="Q23"/>
      <c r="R23"/>
      <c r="XEY23"/>
    </row>
    <row r="24" spans="1:18 16379:16379" s="50" customFormat="1" x14ac:dyDescent="0.3">
      <c r="A24" s="45"/>
      <c r="B24" s="46" t="s">
        <v>16</v>
      </c>
      <c r="C24" s="47">
        <v>12969</v>
      </c>
      <c r="D24" s="47">
        <v>6455</v>
      </c>
      <c r="E24" s="47">
        <v>5947</v>
      </c>
      <c r="F24" s="47">
        <v>4752</v>
      </c>
      <c r="G24" s="47">
        <v>2376</v>
      </c>
      <c r="H24" s="47">
        <v>66759</v>
      </c>
      <c r="I24" s="47">
        <v>7208</v>
      </c>
      <c r="J24" s="47">
        <v>8235.5</v>
      </c>
      <c r="K24" s="47">
        <v>1030586</v>
      </c>
      <c r="L24" s="47">
        <v>135</v>
      </c>
      <c r="M24" s="47">
        <v>1103</v>
      </c>
      <c r="N24" s="47">
        <v>7</v>
      </c>
      <c r="O24" s="47">
        <f t="shared" si="32"/>
        <v>23.632786885245903</v>
      </c>
      <c r="P24"/>
      <c r="Q24"/>
      <c r="R24"/>
      <c r="XEY24"/>
    </row>
    <row r="25" spans="1:18 16379:16379" s="50" customFormat="1" x14ac:dyDescent="0.3">
      <c r="A25" s="33"/>
      <c r="B25" s="7" t="s">
        <v>17</v>
      </c>
      <c r="C25" s="8">
        <f>ROUND((C24*0.05),0)</f>
        <v>648</v>
      </c>
      <c r="D25" s="8">
        <v>0</v>
      </c>
      <c r="E25" s="8">
        <v>0</v>
      </c>
      <c r="F25" s="8">
        <v>0</v>
      </c>
      <c r="G25" s="8">
        <v>0</v>
      </c>
      <c r="H25" s="8">
        <f>ROUND(H24*0.02,0)</f>
        <v>1335</v>
      </c>
      <c r="I25" s="8">
        <f>I24*0.01</f>
        <v>72.08</v>
      </c>
      <c r="J25" s="8">
        <f>J24*0.05</f>
        <v>411.77500000000003</v>
      </c>
      <c r="K25" s="8">
        <f>K24*0.05</f>
        <v>51529.3</v>
      </c>
      <c r="L25" s="8">
        <v>0</v>
      </c>
      <c r="M25" s="8">
        <v>0</v>
      </c>
      <c r="N25" s="8">
        <v>0</v>
      </c>
      <c r="O25" s="8">
        <f t="shared" si="32"/>
        <v>0.23632786885245902</v>
      </c>
      <c r="P25" s="23">
        <v>0.05</v>
      </c>
      <c r="Q25"/>
      <c r="R25"/>
      <c r="XEY25"/>
    </row>
    <row r="26" spans="1:18 16379:16379" s="50" customFormat="1" x14ac:dyDescent="0.3">
      <c r="A26" s="34"/>
      <c r="B26" s="7" t="s">
        <v>22</v>
      </c>
      <c r="C26" s="8">
        <f>C24+C25</f>
        <v>13617</v>
      </c>
      <c r="D26" s="8">
        <f t="shared" ref="D26" si="44">D24+D25</f>
        <v>6455</v>
      </c>
      <c r="E26" s="8">
        <f t="shared" ref="E26" si="45">E24+E25</f>
        <v>5947</v>
      </c>
      <c r="F26" s="8">
        <f t="shared" ref="F26" si="46">F24+F25</f>
        <v>4752</v>
      </c>
      <c r="G26" s="8">
        <f t="shared" ref="G26" si="47">G24+G25</f>
        <v>2376</v>
      </c>
      <c r="H26" s="8">
        <f t="shared" ref="H26" si="48">H24+H25</f>
        <v>68094</v>
      </c>
      <c r="I26" s="8">
        <f t="shared" ref="I26" si="49">I24+I25</f>
        <v>7280.08</v>
      </c>
      <c r="J26" s="8">
        <f t="shared" ref="J26" si="50">J24+J25</f>
        <v>8647.2749999999996</v>
      </c>
      <c r="K26" s="8">
        <f t="shared" ref="K26" si="51">K24+K25</f>
        <v>1082115.3</v>
      </c>
      <c r="L26" s="8">
        <f t="shared" ref="L26" si="52">L24+L25</f>
        <v>135</v>
      </c>
      <c r="M26" s="8">
        <f t="shared" ref="M26" si="53">M24+M25</f>
        <v>1103</v>
      </c>
      <c r="N26" s="8">
        <f t="shared" ref="N26" si="54">N24+N25</f>
        <v>7</v>
      </c>
      <c r="O26" s="8">
        <f t="shared" si="32"/>
        <v>23.869114754098362</v>
      </c>
      <c r="P26"/>
      <c r="Q26"/>
      <c r="R26"/>
      <c r="XEY26"/>
    </row>
    <row r="27" spans="1:18 16379:16379" s="29" customFormat="1" x14ac:dyDescent="0.3">
      <c r="A27" s="28" t="s">
        <v>19</v>
      </c>
      <c r="C27" s="29">
        <f t="shared" ref="C27:N27" si="55">C22*C1</f>
        <v>3206800</v>
      </c>
      <c r="D27" s="29">
        <f t="shared" si="55"/>
        <v>2285100</v>
      </c>
      <c r="E27" s="29">
        <f t="shared" si="55"/>
        <v>1013109.9999999999</v>
      </c>
      <c r="F27" s="29">
        <f t="shared" si="55"/>
        <v>1750800</v>
      </c>
      <c r="G27" s="29">
        <f t="shared" si="55"/>
        <v>731880</v>
      </c>
      <c r="H27" s="29">
        <f t="shared" si="55"/>
        <v>2742993</v>
      </c>
      <c r="I27" s="29">
        <f t="shared" si="55"/>
        <v>2379686.25</v>
      </c>
      <c r="J27" s="29">
        <f t="shared" si="55"/>
        <v>788250</v>
      </c>
      <c r="K27" s="29">
        <f t="shared" si="55"/>
        <v>20231520</v>
      </c>
      <c r="L27" s="29">
        <f t="shared" si="55"/>
        <v>0</v>
      </c>
      <c r="M27" s="29">
        <f t="shared" si="55"/>
        <v>17807798.379999999</v>
      </c>
      <c r="N27" s="29">
        <f t="shared" si="55"/>
        <v>0</v>
      </c>
      <c r="Q27" s="28">
        <f>SUM(C27:N27)</f>
        <v>52937937.629999995</v>
      </c>
      <c r="R27" s="28"/>
      <c r="XEY27"/>
    </row>
    <row r="28" spans="1:18 16379:16379" s="29" customFormat="1" x14ac:dyDescent="0.3">
      <c r="A28" s="30" t="s">
        <v>20</v>
      </c>
      <c r="B28" s="30"/>
      <c r="C28" s="30">
        <f t="shared" ref="C28:N28" si="56">C26*C1</f>
        <v>2183349.7800000003</v>
      </c>
      <c r="D28" s="30">
        <f t="shared" si="56"/>
        <v>1475032.05</v>
      </c>
      <c r="E28" s="30">
        <f t="shared" si="56"/>
        <v>860709.30999999994</v>
      </c>
      <c r="F28" s="30">
        <f t="shared" si="56"/>
        <v>1039975.2</v>
      </c>
      <c r="G28" s="30">
        <f t="shared" si="56"/>
        <v>434736.72</v>
      </c>
      <c r="H28" s="30">
        <f t="shared" si="56"/>
        <v>2014901.46</v>
      </c>
      <c r="I28" s="30">
        <f t="shared" si="56"/>
        <v>757346.72239999997</v>
      </c>
      <c r="J28" s="30">
        <f t="shared" si="56"/>
        <v>454414.30124999996</v>
      </c>
      <c r="K28" s="30">
        <f t="shared" si="56"/>
        <v>12108870.207</v>
      </c>
      <c r="L28" s="30">
        <f t="shared" si="56"/>
        <v>1148439.5999999999</v>
      </c>
      <c r="M28" s="30">
        <f t="shared" si="56"/>
        <v>15357311.66</v>
      </c>
      <c r="N28" s="30">
        <f t="shared" si="56"/>
        <v>204172.29</v>
      </c>
      <c r="O28" s="30"/>
      <c r="P28" s="30"/>
      <c r="Q28" s="30">
        <f>SUM(C28:N28)</f>
        <v>38039259.300650001</v>
      </c>
      <c r="R28" s="51"/>
      <c r="XEY28"/>
    </row>
    <row r="29" spans="1:18 16379:16379" s="52" customFormat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XEY29"/>
    </row>
    <row r="30" spans="1:18 16379:16379" s="50" customFormat="1" x14ac:dyDescent="0.3">
      <c r="A30" s="32" t="s">
        <v>24</v>
      </c>
      <c r="B30" s="4" t="s">
        <v>13</v>
      </c>
      <c r="C30" s="3">
        <f>C23-C26</f>
        <v>12529</v>
      </c>
      <c r="D30" s="3">
        <f t="shared" ref="D30:N30" si="57">D23-D26</f>
        <v>6865</v>
      </c>
      <c r="E30" s="3">
        <f t="shared" si="57"/>
        <v>420</v>
      </c>
      <c r="F30" s="3">
        <f t="shared" si="57"/>
        <v>13509</v>
      </c>
      <c r="G30" s="3">
        <f t="shared" si="57"/>
        <v>6758</v>
      </c>
      <c r="H30" s="3">
        <f t="shared" si="57"/>
        <v>28929</v>
      </c>
      <c r="I30" s="3">
        <f t="shared" si="57"/>
        <v>64316.39</v>
      </c>
      <c r="J30" s="3">
        <f t="shared" si="57"/>
        <v>32557.125</v>
      </c>
      <c r="K30" s="3">
        <f t="shared" si="57"/>
        <v>1449226.9000000001</v>
      </c>
      <c r="L30" s="3">
        <f t="shared" si="57"/>
        <v>-187</v>
      </c>
      <c r="M30" s="3">
        <f t="shared" si="57"/>
        <v>154</v>
      </c>
      <c r="N30" s="3">
        <f t="shared" si="57"/>
        <v>-14</v>
      </c>
      <c r="O30" s="3">
        <f t="shared" ref="O30" si="58">I30/305</f>
        <v>210.87340983606558</v>
      </c>
      <c r="P30"/>
      <c r="Q30"/>
      <c r="R30"/>
      <c r="XEY30"/>
    </row>
    <row r="31" spans="1:18 16379:16379" s="50" customFormat="1" x14ac:dyDescent="0.3">
      <c r="A31" s="33"/>
      <c r="B31" s="5" t="s">
        <v>14</v>
      </c>
      <c r="C31" s="6">
        <v>14000</v>
      </c>
      <c r="D31" s="6">
        <v>7000</v>
      </c>
      <c r="E31" s="6">
        <v>5000</v>
      </c>
      <c r="F31" s="6">
        <v>0</v>
      </c>
      <c r="G31" s="6">
        <v>0</v>
      </c>
      <c r="H31" s="6">
        <v>56000</v>
      </c>
      <c r="I31" s="6">
        <v>0</v>
      </c>
      <c r="J31" s="6">
        <v>0</v>
      </c>
      <c r="K31" s="6">
        <v>800000</v>
      </c>
      <c r="L31" s="6">
        <v>295</v>
      </c>
      <c r="M31" s="6">
        <v>1285</v>
      </c>
      <c r="N31" s="6">
        <v>33</v>
      </c>
      <c r="O31" s="6">
        <f t="shared" ref="O31:O35" si="59">I31/305</f>
        <v>0</v>
      </c>
      <c r="P31"/>
      <c r="Q31"/>
      <c r="R31"/>
      <c r="XEY31"/>
    </row>
    <row r="32" spans="1:18 16379:16379" s="50" customFormat="1" x14ac:dyDescent="0.3">
      <c r="A32" s="33"/>
      <c r="B32" s="5" t="s">
        <v>15</v>
      </c>
      <c r="C32" s="6">
        <f>C30+C31</f>
        <v>26529</v>
      </c>
      <c r="D32" s="6">
        <f t="shared" ref="D32" si="60">D30+D31</f>
        <v>13865</v>
      </c>
      <c r="E32" s="6">
        <f t="shared" ref="E32" si="61">E30+E31</f>
        <v>5420</v>
      </c>
      <c r="F32" s="6">
        <f t="shared" ref="F32" si="62">F30+F31</f>
        <v>13509</v>
      </c>
      <c r="G32" s="6">
        <f t="shared" ref="G32" si="63">G30+G31</f>
        <v>6758</v>
      </c>
      <c r="H32" s="6">
        <f t="shared" ref="H32" si="64">H30+H31</f>
        <v>84929</v>
      </c>
      <c r="I32" s="6">
        <f t="shared" ref="I32" si="65">I30+I31</f>
        <v>64316.39</v>
      </c>
      <c r="J32" s="6">
        <f t="shared" ref="J32" si="66">J30+J31</f>
        <v>32557.125</v>
      </c>
      <c r="K32" s="6">
        <f t="shared" ref="K32" si="67">K30+K31</f>
        <v>2249226.9000000004</v>
      </c>
      <c r="L32" s="6">
        <f t="shared" ref="L32" si="68">L30+L31</f>
        <v>108</v>
      </c>
      <c r="M32" s="6">
        <f t="shared" ref="M32" si="69">M30+M31</f>
        <v>1439</v>
      </c>
      <c r="N32" s="6">
        <f t="shared" ref="N32" si="70">N30+N31</f>
        <v>19</v>
      </c>
      <c r="O32" s="6">
        <f t="shared" si="59"/>
        <v>210.87340983606558</v>
      </c>
      <c r="P32"/>
      <c r="Q32"/>
      <c r="R32"/>
      <c r="XEY32"/>
    </row>
    <row r="33" spans="1:18 16379:16379" s="50" customFormat="1" x14ac:dyDescent="0.3">
      <c r="A33" s="45"/>
      <c r="B33" s="46" t="s">
        <v>16</v>
      </c>
      <c r="C33" s="47">
        <v>15183</v>
      </c>
      <c r="D33" s="47">
        <v>7581</v>
      </c>
      <c r="E33" s="47">
        <v>7072</v>
      </c>
      <c r="F33" s="47">
        <v>5186</v>
      </c>
      <c r="G33" s="47">
        <v>2593</v>
      </c>
      <c r="H33" s="47">
        <v>76095</v>
      </c>
      <c r="I33" s="47">
        <v>7413</v>
      </c>
      <c r="J33" s="47">
        <v>11493.5</v>
      </c>
      <c r="K33" s="47">
        <v>1179105</v>
      </c>
      <c r="L33" s="47">
        <v>120</v>
      </c>
      <c r="M33" s="47">
        <v>1184</v>
      </c>
      <c r="N33" s="47">
        <v>12</v>
      </c>
      <c r="O33" s="47">
        <f t="shared" si="59"/>
        <v>24.304918032786887</v>
      </c>
      <c r="P33" s="23">
        <v>0.05</v>
      </c>
      <c r="Q33"/>
      <c r="R33"/>
      <c r="XEY33"/>
    </row>
    <row r="34" spans="1:18 16379:16379" s="50" customFormat="1" x14ac:dyDescent="0.3">
      <c r="A34" s="33"/>
      <c r="B34" s="7" t="s">
        <v>17</v>
      </c>
      <c r="C34" s="8">
        <f>ROUND((C33*0.02),0)</f>
        <v>304</v>
      </c>
      <c r="D34" s="8">
        <v>0</v>
      </c>
      <c r="E34" s="8">
        <v>0</v>
      </c>
      <c r="F34" s="8">
        <v>0</v>
      </c>
      <c r="G34" s="8">
        <v>0</v>
      </c>
      <c r="H34" s="8">
        <f>ROUND(H33*0.01,0)</f>
        <v>761</v>
      </c>
      <c r="I34" s="8">
        <f>I33*0.01</f>
        <v>74.13</v>
      </c>
      <c r="J34" s="8">
        <f>J33*0.05</f>
        <v>574.67500000000007</v>
      </c>
      <c r="K34" s="8">
        <f>K33*0.08</f>
        <v>94328.400000000009</v>
      </c>
      <c r="L34" s="8">
        <v>0</v>
      </c>
      <c r="M34" s="8">
        <v>0</v>
      </c>
      <c r="N34" s="8">
        <v>0</v>
      </c>
      <c r="O34" s="8">
        <f t="shared" si="59"/>
        <v>0.24304918032786885</v>
      </c>
      <c r="P34"/>
      <c r="Q34"/>
      <c r="R34"/>
      <c r="XEY34"/>
    </row>
    <row r="35" spans="1:18 16379:16379" s="50" customFormat="1" x14ac:dyDescent="0.3">
      <c r="A35" s="34"/>
      <c r="B35" s="7" t="s">
        <v>22</v>
      </c>
      <c r="C35" s="8">
        <f>C33+C34</f>
        <v>15487</v>
      </c>
      <c r="D35" s="8">
        <f t="shared" ref="D35" si="71">D33+D34</f>
        <v>7581</v>
      </c>
      <c r="E35" s="8">
        <f t="shared" ref="E35" si="72">E33+E34</f>
        <v>7072</v>
      </c>
      <c r="F35" s="8">
        <f t="shared" ref="F35" si="73">F33+F34</f>
        <v>5186</v>
      </c>
      <c r="G35" s="8">
        <f t="shared" ref="G35" si="74">G33+G34</f>
        <v>2593</v>
      </c>
      <c r="H35" s="8">
        <f t="shared" ref="H35" si="75">H33+H34</f>
        <v>76856</v>
      </c>
      <c r="I35" s="8">
        <f t="shared" ref="I35" si="76">I33+I34</f>
        <v>7487.13</v>
      </c>
      <c r="J35" s="8">
        <f t="shared" ref="J35" si="77">J33+J34</f>
        <v>12068.174999999999</v>
      </c>
      <c r="K35" s="8">
        <f>K33+K34</f>
        <v>1273433.3999999999</v>
      </c>
      <c r="L35" s="8">
        <f t="shared" ref="L35" si="78">L33+L34</f>
        <v>120</v>
      </c>
      <c r="M35" s="8">
        <f t="shared" ref="M35" si="79">M33+M34</f>
        <v>1184</v>
      </c>
      <c r="N35" s="8">
        <f t="shared" ref="N35" si="80">N33+N34</f>
        <v>12</v>
      </c>
      <c r="O35" s="8">
        <f t="shared" si="59"/>
        <v>24.547967213114756</v>
      </c>
      <c r="P35"/>
      <c r="Q35"/>
      <c r="R35"/>
      <c r="XEY35"/>
    </row>
    <row r="36" spans="1:18 16379:16379" s="29" customFormat="1" x14ac:dyDescent="0.3">
      <c r="A36" s="28" t="s">
        <v>19</v>
      </c>
      <c r="C36" s="29">
        <f t="shared" ref="C36:N36" si="81">C31*C1</f>
        <v>2244760</v>
      </c>
      <c r="D36" s="29">
        <f t="shared" si="81"/>
        <v>1599570</v>
      </c>
      <c r="E36" s="29">
        <f t="shared" si="81"/>
        <v>723650</v>
      </c>
      <c r="F36" s="29">
        <f t="shared" si="81"/>
        <v>0</v>
      </c>
      <c r="G36" s="29">
        <f t="shared" si="81"/>
        <v>0</v>
      </c>
      <c r="H36" s="29">
        <f t="shared" si="81"/>
        <v>1657040</v>
      </c>
      <c r="I36" s="29">
        <f t="shared" si="81"/>
        <v>0</v>
      </c>
      <c r="J36" s="29">
        <f t="shared" si="81"/>
        <v>0</v>
      </c>
      <c r="K36" s="29">
        <f t="shared" si="81"/>
        <v>8952000</v>
      </c>
      <c r="L36" s="29">
        <f t="shared" si="81"/>
        <v>2509553.1999999997</v>
      </c>
      <c r="M36" s="29">
        <f t="shared" si="81"/>
        <v>17891337.699999999</v>
      </c>
      <c r="N36" s="29">
        <f t="shared" si="81"/>
        <v>962526.51</v>
      </c>
      <c r="Q36" s="28">
        <f>SUM(C36:N36)</f>
        <v>36540437.409999996</v>
      </c>
      <c r="R36" s="28"/>
      <c r="XEY36"/>
    </row>
    <row r="37" spans="1:18 16379:16379" s="29" customFormat="1" x14ac:dyDescent="0.3">
      <c r="A37" s="30" t="s">
        <v>20</v>
      </c>
      <c r="B37" s="30"/>
      <c r="C37" s="30">
        <f t="shared" ref="C37:N37" si="82">C35*C1</f>
        <v>2483185.58</v>
      </c>
      <c r="D37" s="30">
        <f t="shared" si="82"/>
        <v>1732334.3099999998</v>
      </c>
      <c r="E37" s="30">
        <f t="shared" si="82"/>
        <v>1023530.5599999999</v>
      </c>
      <c r="F37" s="30">
        <f t="shared" si="82"/>
        <v>1134956.0999999999</v>
      </c>
      <c r="G37" s="30">
        <f t="shared" si="82"/>
        <v>474441.21</v>
      </c>
      <c r="H37" s="30">
        <f t="shared" si="82"/>
        <v>2274169.04</v>
      </c>
      <c r="I37" s="30">
        <f t="shared" si="82"/>
        <v>778886.13390000002</v>
      </c>
      <c r="J37" s="30">
        <f t="shared" si="82"/>
        <v>634182.59624999994</v>
      </c>
      <c r="K37" s="30">
        <f t="shared" si="82"/>
        <v>14249719.745999997</v>
      </c>
      <c r="L37" s="30">
        <f t="shared" si="82"/>
        <v>1020835.2</v>
      </c>
      <c r="M37" s="30">
        <f t="shared" si="82"/>
        <v>16485092.479999999</v>
      </c>
      <c r="N37" s="30">
        <f t="shared" si="82"/>
        <v>350009.64</v>
      </c>
      <c r="O37" s="30"/>
      <c r="P37" s="30"/>
      <c r="Q37" s="30">
        <f>SUM(C37:N37)</f>
        <v>42641342.596149996</v>
      </c>
      <c r="R37" s="51"/>
      <c r="XEY37"/>
    </row>
    <row r="38" spans="1:18 16379:16379" s="52" customFormat="1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XEY38"/>
    </row>
    <row r="39" spans="1:18 16379:16379" s="50" customFormat="1" x14ac:dyDescent="0.3">
      <c r="A39" s="32" t="s">
        <v>25</v>
      </c>
      <c r="B39" s="4" t="s">
        <v>13</v>
      </c>
      <c r="C39" s="3">
        <f>C32-C35</f>
        <v>11042</v>
      </c>
      <c r="D39" s="3">
        <f t="shared" ref="D39:N39" si="83">D32-D35</f>
        <v>6284</v>
      </c>
      <c r="E39" s="3">
        <f t="shared" si="83"/>
        <v>-1652</v>
      </c>
      <c r="F39" s="3">
        <f t="shared" si="83"/>
        <v>8323</v>
      </c>
      <c r="G39" s="3">
        <f t="shared" si="83"/>
        <v>4165</v>
      </c>
      <c r="H39" s="3">
        <f t="shared" si="83"/>
        <v>8073</v>
      </c>
      <c r="I39" s="3">
        <f>I32-I35</f>
        <v>56829.26</v>
      </c>
      <c r="J39" s="3">
        <f>(J32-J35)</f>
        <v>20488.95</v>
      </c>
      <c r="K39" s="3">
        <f t="shared" si="83"/>
        <v>975793.50000000047</v>
      </c>
      <c r="L39" s="3">
        <f t="shared" si="83"/>
        <v>-12</v>
      </c>
      <c r="M39" s="3">
        <f t="shared" si="83"/>
        <v>255</v>
      </c>
      <c r="N39" s="3">
        <f t="shared" si="83"/>
        <v>7</v>
      </c>
      <c r="O39" s="3">
        <f t="shared" ref="O39" si="84">I39/305</f>
        <v>186.32544262295082</v>
      </c>
      <c r="P39"/>
      <c r="Q39"/>
      <c r="R39"/>
      <c r="XEY39"/>
    </row>
    <row r="40" spans="1:18 16379:16379" s="50" customFormat="1" x14ac:dyDescent="0.3">
      <c r="A40" s="33"/>
      <c r="B40" s="5" t="s">
        <v>14</v>
      </c>
      <c r="C40" s="6">
        <v>11000</v>
      </c>
      <c r="D40" s="6">
        <v>5000</v>
      </c>
      <c r="E40" s="6">
        <v>4000</v>
      </c>
      <c r="F40" s="6">
        <v>0</v>
      </c>
      <c r="G40" s="6">
        <v>0</v>
      </c>
      <c r="H40" s="6">
        <v>72000</v>
      </c>
      <c r="I40" s="6">
        <v>0</v>
      </c>
      <c r="J40" s="6">
        <v>7500</v>
      </c>
      <c r="K40" s="6">
        <v>600000</v>
      </c>
      <c r="L40" s="6">
        <v>364</v>
      </c>
      <c r="M40" s="6">
        <v>1415</v>
      </c>
      <c r="N40" s="6">
        <v>3</v>
      </c>
      <c r="O40" s="6">
        <f t="shared" ref="O40:O44" si="85">I40/305</f>
        <v>0</v>
      </c>
      <c r="P40"/>
      <c r="Q40"/>
      <c r="R40"/>
      <c r="XEY40"/>
    </row>
    <row r="41" spans="1:18 16379:16379" s="50" customFormat="1" x14ac:dyDescent="0.3">
      <c r="A41" s="33"/>
      <c r="B41" s="5" t="s">
        <v>15</v>
      </c>
      <c r="C41" s="6">
        <f>C39+C40</f>
        <v>22042</v>
      </c>
      <c r="D41" s="6">
        <f t="shared" ref="D41" si="86">D39+D40</f>
        <v>11284</v>
      </c>
      <c r="E41" s="6">
        <f t="shared" ref="E41" si="87">E39+E40</f>
        <v>2348</v>
      </c>
      <c r="F41" s="6">
        <f t="shared" ref="F41" si="88">F39+F40</f>
        <v>8323</v>
      </c>
      <c r="G41" s="6">
        <f t="shared" ref="G41" si="89">G39+G40</f>
        <v>4165</v>
      </c>
      <c r="H41" s="6">
        <f t="shared" ref="H41" si="90">H39+H40</f>
        <v>80073</v>
      </c>
      <c r="I41" s="6">
        <f t="shared" ref="I41" si="91">I39+I40</f>
        <v>56829.26</v>
      </c>
      <c r="J41" s="6">
        <f t="shared" ref="J41" si="92">J39+J40</f>
        <v>27988.95</v>
      </c>
      <c r="K41" s="6">
        <f t="shared" ref="K41" si="93">K39+K40</f>
        <v>1575793.5000000005</v>
      </c>
      <c r="L41" s="6">
        <f t="shared" ref="L41" si="94">L39+L40</f>
        <v>352</v>
      </c>
      <c r="M41" s="6">
        <f t="shared" ref="M41" si="95">M39+M40</f>
        <v>1670</v>
      </c>
      <c r="N41" s="6">
        <f t="shared" ref="N41" si="96">N39+N40</f>
        <v>10</v>
      </c>
      <c r="O41" s="6">
        <f t="shared" si="85"/>
        <v>186.32544262295082</v>
      </c>
      <c r="P41"/>
      <c r="Q41"/>
      <c r="R41"/>
      <c r="XEY41"/>
    </row>
    <row r="42" spans="1:18 16379:16379" s="50" customFormat="1" x14ac:dyDescent="0.3">
      <c r="A42" s="45"/>
      <c r="B42" s="46" t="s">
        <v>16</v>
      </c>
      <c r="C42" s="47">
        <v>12990</v>
      </c>
      <c r="D42" s="47">
        <v>6484</v>
      </c>
      <c r="E42" s="47">
        <v>5993</v>
      </c>
      <c r="F42" s="47">
        <v>5522</v>
      </c>
      <c r="G42" s="47">
        <v>2761</v>
      </c>
      <c r="H42" s="47">
        <v>67874</v>
      </c>
      <c r="I42" s="47">
        <v>6526</v>
      </c>
      <c r="J42" s="47">
        <v>16965.75</v>
      </c>
      <c r="K42" s="47">
        <v>1051777</v>
      </c>
      <c r="L42" s="47">
        <v>199</v>
      </c>
      <c r="M42" s="47">
        <v>1274</v>
      </c>
      <c r="N42" s="47">
        <v>25</v>
      </c>
      <c r="O42" s="8">
        <f t="shared" si="85"/>
        <v>21.39672131147541</v>
      </c>
      <c r="P42"/>
      <c r="Q42"/>
      <c r="R42"/>
      <c r="XEY42"/>
    </row>
    <row r="43" spans="1:18 16379:16379" s="50" customFormat="1" x14ac:dyDescent="0.3">
      <c r="A43" s="33"/>
      <c r="B43" s="7" t="s">
        <v>17</v>
      </c>
      <c r="C43" s="8">
        <f>ROUND((C42*0.02),0)</f>
        <v>260</v>
      </c>
      <c r="D43" s="8">
        <v>0</v>
      </c>
      <c r="E43" s="8">
        <v>0</v>
      </c>
      <c r="F43" s="8">
        <v>0</v>
      </c>
      <c r="G43" s="8">
        <v>0</v>
      </c>
      <c r="H43" s="8">
        <f>ROUND(H42*0.01,0)</f>
        <v>679</v>
      </c>
      <c r="I43" s="8">
        <f>I42*0.01</f>
        <v>65.260000000000005</v>
      </c>
      <c r="J43" s="8">
        <f>J42*0.05</f>
        <v>848.28750000000002</v>
      </c>
      <c r="K43" s="8">
        <f>K42*0.05</f>
        <v>52588.850000000006</v>
      </c>
      <c r="L43" s="8">
        <v>0</v>
      </c>
      <c r="M43" s="8">
        <v>0</v>
      </c>
      <c r="N43" s="8">
        <v>0</v>
      </c>
      <c r="O43" s="8">
        <f t="shared" si="85"/>
        <v>0.21396721311475411</v>
      </c>
      <c r="P43" s="23">
        <v>0.05</v>
      </c>
      <c r="Q43"/>
      <c r="R43"/>
      <c r="XEY43"/>
    </row>
    <row r="44" spans="1:18 16379:16379" s="50" customFormat="1" x14ac:dyDescent="0.3">
      <c r="A44" s="34"/>
      <c r="B44" s="7" t="s">
        <v>22</v>
      </c>
      <c r="C44" s="8">
        <f>C42+C43</f>
        <v>13250</v>
      </c>
      <c r="D44" s="8">
        <f t="shared" ref="D44" si="97">D42+D43</f>
        <v>6484</v>
      </c>
      <c r="E44" s="8">
        <f t="shared" ref="E44" si="98">E42+E43</f>
        <v>5993</v>
      </c>
      <c r="F44" s="8">
        <f t="shared" ref="F44" si="99">F42+F43</f>
        <v>5522</v>
      </c>
      <c r="G44" s="8">
        <f t="shared" ref="G44" si="100">G42+G43</f>
        <v>2761</v>
      </c>
      <c r="H44" s="8">
        <f>H42+H43</f>
        <v>68553</v>
      </c>
      <c r="I44" s="8">
        <f t="shared" ref="I44" si="101">I42+I43</f>
        <v>6591.26</v>
      </c>
      <c r="J44" s="8">
        <f t="shared" ref="J44" si="102">J42+J43</f>
        <v>17814.037499999999</v>
      </c>
      <c r="K44" s="8">
        <f t="shared" ref="K44" si="103">K42+K43</f>
        <v>1104365.8500000001</v>
      </c>
      <c r="L44" s="8">
        <f t="shared" ref="L44" si="104">L42+L43</f>
        <v>199</v>
      </c>
      <c r="M44" s="8">
        <f t="shared" ref="M44" si="105">M42+M43</f>
        <v>1274</v>
      </c>
      <c r="N44" s="8">
        <f t="shared" ref="N44" si="106">N42+N43</f>
        <v>25</v>
      </c>
      <c r="O44" s="8">
        <f t="shared" si="85"/>
        <v>21.610688524590163</v>
      </c>
      <c r="P44"/>
      <c r="Q44"/>
      <c r="R44"/>
      <c r="XEY44"/>
    </row>
    <row r="45" spans="1:18 16379:16379" s="29" customFormat="1" x14ac:dyDescent="0.3">
      <c r="A45" s="28" t="s">
        <v>19</v>
      </c>
      <c r="C45" s="29">
        <f t="shared" ref="C45:N45" si="107">C40*C1</f>
        <v>1763740</v>
      </c>
      <c r="D45" s="29">
        <f t="shared" si="107"/>
        <v>1142550</v>
      </c>
      <c r="E45" s="29">
        <f t="shared" si="107"/>
        <v>578920</v>
      </c>
      <c r="F45" s="29">
        <f t="shared" si="107"/>
        <v>0</v>
      </c>
      <c r="G45" s="29">
        <f t="shared" si="107"/>
        <v>0</v>
      </c>
      <c r="H45" s="29">
        <f t="shared" si="107"/>
        <v>2130480</v>
      </c>
      <c r="I45" s="29">
        <f t="shared" si="107"/>
        <v>0</v>
      </c>
      <c r="J45" s="29">
        <f t="shared" si="107"/>
        <v>394125</v>
      </c>
      <c r="K45" s="29">
        <f t="shared" si="107"/>
        <v>6714000</v>
      </c>
      <c r="L45" s="29">
        <f t="shared" si="107"/>
        <v>3096533.4399999995</v>
      </c>
      <c r="M45" s="29">
        <f t="shared" si="107"/>
        <v>19701356.300000001</v>
      </c>
      <c r="N45" s="29">
        <f t="shared" si="107"/>
        <v>87502.41</v>
      </c>
      <c r="Q45" s="28">
        <f>SUM(C45:N45)</f>
        <v>35609207.149999999</v>
      </c>
      <c r="R45" s="28"/>
      <c r="XEY45"/>
    </row>
    <row r="46" spans="1:18 16379:16379" s="29" customFormat="1" x14ac:dyDescent="0.3">
      <c r="A46" s="30" t="s">
        <v>20</v>
      </c>
      <c r="B46" s="30"/>
      <c r="C46" s="30">
        <f t="shared" ref="C46:N46" si="108">C44*C1</f>
        <v>2124505</v>
      </c>
      <c r="D46" s="30">
        <f t="shared" si="108"/>
        <v>1481658.8399999999</v>
      </c>
      <c r="E46" s="30">
        <f t="shared" si="108"/>
        <v>867366.8899999999</v>
      </c>
      <c r="F46" s="30">
        <f t="shared" si="108"/>
        <v>1208489.7</v>
      </c>
      <c r="G46" s="30">
        <f t="shared" si="108"/>
        <v>505180.17</v>
      </c>
      <c r="H46" s="30">
        <f t="shared" si="108"/>
        <v>2028483.27</v>
      </c>
      <c r="I46" s="30">
        <f t="shared" si="108"/>
        <v>685688.77780000004</v>
      </c>
      <c r="J46" s="30">
        <f t="shared" si="108"/>
        <v>936127.67062499991</v>
      </c>
      <c r="K46" s="30">
        <f t="shared" si="108"/>
        <v>12357853.861500001</v>
      </c>
      <c r="L46" s="30">
        <f t="shared" si="108"/>
        <v>1692885.0399999998</v>
      </c>
      <c r="M46" s="30">
        <f t="shared" si="108"/>
        <v>17738182.279999997</v>
      </c>
      <c r="N46" s="30">
        <f t="shared" si="108"/>
        <v>729186.75</v>
      </c>
      <c r="O46" s="30"/>
      <c r="P46" s="30"/>
      <c r="Q46" s="30">
        <f>SUM(C46:N46)</f>
        <v>42355608.249924995</v>
      </c>
      <c r="R46" s="51"/>
      <c r="XEY46"/>
    </row>
    <row r="47" spans="1:18 16379:16379" s="52" customFormat="1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XEY47"/>
    </row>
    <row r="48" spans="1:18 16379:16379" s="50" customFormat="1" x14ac:dyDescent="0.3">
      <c r="A48" s="32" t="s">
        <v>26</v>
      </c>
      <c r="B48" s="4" t="s">
        <v>13</v>
      </c>
      <c r="C48" s="3">
        <f>C41-C44</f>
        <v>8792</v>
      </c>
      <c r="D48" s="3">
        <f t="shared" ref="D48:N48" si="109">D41-D44</f>
        <v>4800</v>
      </c>
      <c r="E48" s="3">
        <f t="shared" si="109"/>
        <v>-3645</v>
      </c>
      <c r="F48" s="3">
        <f t="shared" si="109"/>
        <v>2801</v>
      </c>
      <c r="G48" s="3">
        <f t="shared" si="109"/>
        <v>1404</v>
      </c>
      <c r="H48" s="3">
        <f t="shared" si="109"/>
        <v>11520</v>
      </c>
      <c r="I48" s="3">
        <f t="shared" si="109"/>
        <v>50238</v>
      </c>
      <c r="J48" s="3">
        <f t="shared" si="109"/>
        <v>10174.912500000002</v>
      </c>
      <c r="K48" s="3">
        <f t="shared" si="109"/>
        <v>471427.65000000037</v>
      </c>
      <c r="L48" s="3">
        <f t="shared" si="109"/>
        <v>153</v>
      </c>
      <c r="M48" s="3">
        <f t="shared" si="109"/>
        <v>396</v>
      </c>
      <c r="N48" s="3">
        <f t="shared" si="109"/>
        <v>-15</v>
      </c>
      <c r="O48" s="3">
        <f t="shared" ref="O48" si="110">I48/305</f>
        <v>164.71475409836066</v>
      </c>
      <c r="P48"/>
      <c r="Q48"/>
      <c r="R48"/>
      <c r="XEY48"/>
    </row>
    <row r="49" spans="1:18 16379:16379" s="50" customFormat="1" x14ac:dyDescent="0.3">
      <c r="A49" s="33"/>
      <c r="B49" s="5" t="s">
        <v>14</v>
      </c>
      <c r="C49" s="6">
        <v>13000</v>
      </c>
      <c r="D49" s="6">
        <v>5000</v>
      </c>
      <c r="E49" s="6">
        <v>4000</v>
      </c>
      <c r="F49" s="6">
        <v>0</v>
      </c>
      <c r="G49" s="6">
        <v>0</v>
      </c>
      <c r="H49" s="6">
        <v>72000</v>
      </c>
      <c r="I49" s="6">
        <v>9150</v>
      </c>
      <c r="J49" s="6">
        <v>15000</v>
      </c>
      <c r="K49" s="6">
        <v>1000000</v>
      </c>
      <c r="L49" s="6">
        <v>425</v>
      </c>
      <c r="M49" s="6">
        <v>1510</v>
      </c>
      <c r="N49" s="6">
        <v>20</v>
      </c>
      <c r="O49" s="6">
        <f t="shared" ref="O49:O53" si="111">I49/305</f>
        <v>30</v>
      </c>
      <c r="P49"/>
      <c r="Q49"/>
      <c r="R49"/>
      <c r="XEY49"/>
    </row>
    <row r="50" spans="1:18 16379:16379" s="50" customFormat="1" x14ac:dyDescent="0.3">
      <c r="A50" s="33"/>
      <c r="B50" s="5" t="s">
        <v>15</v>
      </c>
      <c r="C50" s="6">
        <f>C48+C49</f>
        <v>21792</v>
      </c>
      <c r="D50" s="6">
        <f t="shared" ref="D50" si="112">D48+D49</f>
        <v>9800</v>
      </c>
      <c r="E50" s="6">
        <f t="shared" ref="E50" si="113">E48+E49</f>
        <v>355</v>
      </c>
      <c r="F50" s="6">
        <f t="shared" ref="F50" si="114">F48+F49</f>
        <v>2801</v>
      </c>
      <c r="G50" s="6">
        <f t="shared" ref="G50" si="115">G48+G49</f>
        <v>1404</v>
      </c>
      <c r="H50" s="6">
        <f t="shared" ref="H50" si="116">H48+H49</f>
        <v>83520</v>
      </c>
      <c r="I50" s="6">
        <f t="shared" ref="I50" si="117">I48+I49</f>
        <v>59388</v>
      </c>
      <c r="J50" s="6">
        <f t="shared" ref="J50" si="118">J48+J49</f>
        <v>25174.912500000002</v>
      </c>
      <c r="K50" s="6">
        <f t="shared" ref="K50" si="119">K48+K49</f>
        <v>1471427.6500000004</v>
      </c>
      <c r="L50" s="6">
        <f t="shared" ref="L50" si="120">L48+L49</f>
        <v>578</v>
      </c>
      <c r="M50" s="6">
        <f t="shared" ref="M50" si="121">M48+M49</f>
        <v>1906</v>
      </c>
      <c r="N50" s="6">
        <f t="shared" ref="N50" si="122">N48+N49</f>
        <v>5</v>
      </c>
      <c r="O50" s="6">
        <f t="shared" si="111"/>
        <v>194.71475409836066</v>
      </c>
      <c r="P50"/>
      <c r="Q50"/>
      <c r="R50"/>
      <c r="XEY50"/>
    </row>
    <row r="51" spans="1:18 16379:16379" s="50" customFormat="1" x14ac:dyDescent="0.3">
      <c r="A51" s="33"/>
      <c r="B51" s="7" t="s">
        <v>16</v>
      </c>
      <c r="C51" s="8">
        <v>13022</v>
      </c>
      <c r="D51" s="8">
        <v>6498</v>
      </c>
      <c r="E51" s="8">
        <v>5987</v>
      </c>
      <c r="F51" s="8">
        <v>5250</v>
      </c>
      <c r="G51" s="8">
        <v>2625</v>
      </c>
      <c r="H51" s="8">
        <v>67722</v>
      </c>
      <c r="I51" s="8">
        <v>7080.5</v>
      </c>
      <c r="J51" s="8">
        <v>7132</v>
      </c>
      <c r="K51" s="8">
        <v>1052802</v>
      </c>
      <c r="L51" s="8">
        <v>349</v>
      </c>
      <c r="M51" s="8">
        <v>1188</v>
      </c>
      <c r="N51" s="8">
        <v>20</v>
      </c>
      <c r="O51" s="8">
        <f t="shared" si="111"/>
        <v>23.214754098360658</v>
      </c>
      <c r="P51"/>
      <c r="Q51"/>
      <c r="R51"/>
      <c r="XEY51"/>
    </row>
    <row r="52" spans="1:18 16379:16379" s="50" customFormat="1" x14ac:dyDescent="0.3">
      <c r="A52" s="33"/>
      <c r="B52" s="7" t="s">
        <v>17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9</v>
      </c>
      <c r="I52" s="8">
        <f>I51*0.01</f>
        <v>70.805000000000007</v>
      </c>
      <c r="J52" s="8">
        <f>J51*0.05</f>
        <v>356.6</v>
      </c>
      <c r="K52" s="8">
        <f>17270</f>
        <v>17270</v>
      </c>
      <c r="L52" s="8">
        <v>0</v>
      </c>
      <c r="M52" s="8">
        <v>0</v>
      </c>
      <c r="N52" s="8">
        <v>0</v>
      </c>
      <c r="O52" s="8">
        <f t="shared" si="111"/>
        <v>0.23214754098360657</v>
      </c>
      <c r="P52" s="23">
        <v>0.05</v>
      </c>
      <c r="Q52"/>
      <c r="R52"/>
      <c r="XEY52"/>
    </row>
    <row r="53" spans="1:18 16379:16379" s="50" customFormat="1" x14ac:dyDescent="0.3">
      <c r="A53" s="34"/>
      <c r="B53" s="7" t="s">
        <v>22</v>
      </c>
      <c r="C53" s="8">
        <f>C51+C52</f>
        <v>13022</v>
      </c>
      <c r="D53" s="8">
        <f t="shared" ref="D53" si="123">D51+D52</f>
        <v>6498</v>
      </c>
      <c r="E53" s="8">
        <f t="shared" ref="E53" si="124">E51+E52</f>
        <v>5987</v>
      </c>
      <c r="F53" s="8">
        <f t="shared" ref="F53" si="125">F51+F52</f>
        <v>5250</v>
      </c>
      <c r="G53" s="8">
        <f t="shared" ref="G53" si="126">G51+G52</f>
        <v>2625</v>
      </c>
      <c r="H53" s="8">
        <f>67731</f>
        <v>67731</v>
      </c>
      <c r="I53" s="8">
        <f t="shared" ref="I53" si="127">I51+I52</f>
        <v>7151.3050000000003</v>
      </c>
      <c r="J53" s="8">
        <f t="shared" ref="J53" si="128">J51+J52</f>
        <v>7488.6</v>
      </c>
      <c r="K53" s="8">
        <f t="shared" ref="K53" si="129">K51+K52</f>
        <v>1070072</v>
      </c>
      <c r="L53" s="8">
        <f t="shared" ref="L53" si="130">L51+L52</f>
        <v>349</v>
      </c>
      <c r="M53" s="8">
        <f t="shared" ref="M53" si="131">M51+M52</f>
        <v>1188</v>
      </c>
      <c r="N53" s="8">
        <f t="shared" ref="N53" si="132">N51+N52</f>
        <v>20</v>
      </c>
      <c r="O53" s="8">
        <f t="shared" si="111"/>
        <v>23.446901639344262</v>
      </c>
      <c r="P53"/>
      <c r="Q53"/>
      <c r="R53"/>
      <c r="XEY53"/>
    </row>
    <row r="54" spans="1:18 16379:16379" s="29" customFormat="1" x14ac:dyDescent="0.3">
      <c r="A54" s="28" t="s">
        <v>19</v>
      </c>
      <c r="B54" s="28"/>
      <c r="C54" s="29">
        <f t="shared" ref="C54:N54" si="133">C49*C1</f>
        <v>2084420</v>
      </c>
      <c r="D54" s="29">
        <f t="shared" si="133"/>
        <v>1142550</v>
      </c>
      <c r="E54" s="29">
        <f t="shared" si="133"/>
        <v>578920</v>
      </c>
      <c r="F54" s="29">
        <f t="shared" si="133"/>
        <v>0</v>
      </c>
      <c r="G54" s="29">
        <f t="shared" si="133"/>
        <v>0</v>
      </c>
      <c r="H54" s="29">
        <f t="shared" si="133"/>
        <v>2130480</v>
      </c>
      <c r="I54" s="29">
        <f t="shared" si="133"/>
        <v>951874.5</v>
      </c>
      <c r="J54" s="29">
        <f t="shared" si="133"/>
        <v>788250</v>
      </c>
      <c r="K54" s="29">
        <f t="shared" si="133"/>
        <v>11190000</v>
      </c>
      <c r="L54" s="29">
        <f t="shared" si="133"/>
        <v>3615457.9999999995</v>
      </c>
      <c r="M54" s="29">
        <f t="shared" si="133"/>
        <v>21024062.199999999</v>
      </c>
      <c r="N54" s="29">
        <f t="shared" si="133"/>
        <v>583349.4</v>
      </c>
      <c r="O54" s="29">
        <f>O49*O1</f>
        <v>951874.5</v>
      </c>
      <c r="Q54" s="28">
        <f>SUM(C54:N54)</f>
        <v>44089364.100000001</v>
      </c>
      <c r="R54" s="28"/>
      <c r="XEY54"/>
    </row>
    <row r="55" spans="1:18 16379:16379" s="29" customFormat="1" x14ac:dyDescent="0.3">
      <c r="A55" s="30" t="s">
        <v>20</v>
      </c>
      <c r="B55" s="30"/>
      <c r="C55" s="30">
        <f t="shared" ref="C55:N55" si="134">C53*C1</f>
        <v>2087947.48</v>
      </c>
      <c r="D55" s="30">
        <f t="shared" si="134"/>
        <v>1484857.98</v>
      </c>
      <c r="E55" s="30">
        <f t="shared" si="134"/>
        <v>866498.50999999989</v>
      </c>
      <c r="F55" s="30">
        <f t="shared" si="134"/>
        <v>1148962.5</v>
      </c>
      <c r="G55" s="30">
        <f t="shared" si="134"/>
        <v>480296.25</v>
      </c>
      <c r="H55" s="30">
        <f t="shared" si="134"/>
        <v>2004160.29</v>
      </c>
      <c r="I55" s="30">
        <f t="shared" si="134"/>
        <v>743950.25915000006</v>
      </c>
      <c r="J55" s="30">
        <f t="shared" si="134"/>
        <v>393525.93</v>
      </c>
      <c r="K55" s="30">
        <f t="shared" si="134"/>
        <v>11974105.68</v>
      </c>
      <c r="L55" s="30">
        <f t="shared" si="134"/>
        <v>2968929.0399999996</v>
      </c>
      <c r="M55" s="30">
        <f t="shared" si="134"/>
        <v>16540785.359999999</v>
      </c>
      <c r="N55" s="30">
        <f t="shared" si="134"/>
        <v>583349.4</v>
      </c>
      <c r="O55" s="30"/>
      <c r="P55" s="30"/>
      <c r="Q55" s="30">
        <f>SUM(C55:N55)</f>
        <v>41277368.679149993</v>
      </c>
      <c r="R55" s="51"/>
      <c r="XEY55"/>
    </row>
    <row r="56" spans="1:18 16379:16379" s="53" customFormat="1" ht="33.6" x14ac:dyDescent="0.65">
      <c r="A56" s="44">
        <v>2025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XEY56"/>
    </row>
    <row r="57" spans="1:18 16379:16379" s="53" customFormat="1" ht="4.2" customHeight="1" x14ac:dyDescent="0.6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XEY57"/>
    </row>
    <row r="58" spans="1:18 16379:16379" s="50" customFormat="1" x14ac:dyDescent="0.3">
      <c r="A58" s="32" t="s">
        <v>27</v>
      </c>
      <c r="B58" s="4" t="s">
        <v>13</v>
      </c>
      <c r="C58" s="3">
        <f t="shared" ref="C58:N58" si="135">C50-C53</f>
        <v>8770</v>
      </c>
      <c r="D58" s="3">
        <f t="shared" si="135"/>
        <v>3302</v>
      </c>
      <c r="E58" s="3">
        <f t="shared" si="135"/>
        <v>-5632</v>
      </c>
      <c r="F58" s="3">
        <f t="shared" si="135"/>
        <v>-2449</v>
      </c>
      <c r="G58" s="3">
        <f t="shared" si="135"/>
        <v>-1221</v>
      </c>
      <c r="H58" s="3">
        <f>H50-H53</f>
        <v>15789</v>
      </c>
      <c r="I58" s="3">
        <f t="shared" si="135"/>
        <v>52236.695</v>
      </c>
      <c r="J58" s="3">
        <f t="shared" si="135"/>
        <v>17686.3125</v>
      </c>
      <c r="K58" s="3">
        <f>K50-K53</f>
        <v>401355.65000000037</v>
      </c>
      <c r="L58" s="3">
        <f t="shared" si="135"/>
        <v>229</v>
      </c>
      <c r="M58" s="3">
        <f t="shared" si="135"/>
        <v>718</v>
      </c>
      <c r="N58" s="3">
        <f t="shared" si="135"/>
        <v>-15</v>
      </c>
      <c r="O58" s="3">
        <f t="shared" ref="O58" si="136">I58/305</f>
        <v>171.26785245901638</v>
      </c>
      <c r="P58"/>
      <c r="Q58" s="29"/>
      <c r="R58"/>
      <c r="XEY58"/>
    </row>
    <row r="59" spans="1:18 16379:16379" s="50" customFormat="1" x14ac:dyDescent="0.3">
      <c r="A59" s="33"/>
      <c r="B59" s="5" t="s">
        <v>14</v>
      </c>
      <c r="C59" s="6">
        <v>16000</v>
      </c>
      <c r="D59" s="6">
        <v>7500</v>
      </c>
      <c r="E59" s="6">
        <v>6000</v>
      </c>
      <c r="F59" s="6">
        <v>4000</v>
      </c>
      <c r="G59" s="6">
        <v>2000</v>
      </c>
      <c r="H59" s="6">
        <v>60000</v>
      </c>
      <c r="I59" s="6">
        <v>9150</v>
      </c>
      <c r="J59" s="6">
        <v>10000</v>
      </c>
      <c r="K59" s="6">
        <v>1200000</v>
      </c>
      <c r="L59" s="6">
        <v>440</v>
      </c>
      <c r="M59" s="6">
        <v>1540</v>
      </c>
      <c r="N59" s="6">
        <v>60</v>
      </c>
      <c r="O59" s="6">
        <f t="shared" ref="O59:O63" si="137">I59/305</f>
        <v>30</v>
      </c>
      <c r="P59"/>
      <c r="Q59" s="29"/>
      <c r="R59"/>
      <c r="XEY59"/>
    </row>
    <row r="60" spans="1:18 16379:16379" s="50" customFormat="1" x14ac:dyDescent="0.3">
      <c r="A60" s="33"/>
      <c r="B60" s="5" t="s">
        <v>15</v>
      </c>
      <c r="C60" s="6">
        <f>C58+C59</f>
        <v>24770</v>
      </c>
      <c r="D60" s="6">
        <f t="shared" ref="D60" si="138">D58+D59</f>
        <v>10802</v>
      </c>
      <c r="E60" s="6">
        <f t="shared" ref="E60" si="139">E58+E59</f>
        <v>368</v>
      </c>
      <c r="F60" s="6">
        <f t="shared" ref="F60" si="140">F58+F59</f>
        <v>1551</v>
      </c>
      <c r="G60" s="6">
        <f t="shared" ref="G60" si="141">G58+G59</f>
        <v>779</v>
      </c>
      <c r="H60" s="6">
        <f t="shared" ref="H60" si="142">H58+H59</f>
        <v>75789</v>
      </c>
      <c r="I60" s="6">
        <f t="shared" ref="I60" si="143">I58+I59</f>
        <v>61386.695</v>
      </c>
      <c r="J60" s="6">
        <f t="shared" ref="J60" si="144">J58+J59</f>
        <v>27686.3125</v>
      </c>
      <c r="K60" s="6">
        <f>K58+K59</f>
        <v>1601355.6500000004</v>
      </c>
      <c r="L60" s="6">
        <f t="shared" ref="L60" si="145">L58+L59</f>
        <v>669</v>
      </c>
      <c r="M60" s="6">
        <f t="shared" ref="M60" si="146">M58+M59</f>
        <v>2258</v>
      </c>
      <c r="N60" s="6">
        <f t="shared" ref="N60" si="147">N58+N59</f>
        <v>45</v>
      </c>
      <c r="O60" s="6">
        <f t="shared" si="137"/>
        <v>201.26785245901638</v>
      </c>
      <c r="P60" s="23">
        <v>0.05</v>
      </c>
      <c r="Q60" s="29"/>
      <c r="R60"/>
      <c r="XEY60"/>
    </row>
    <row r="61" spans="1:18 16379:16379" s="50" customFormat="1" x14ac:dyDescent="0.3">
      <c r="A61" s="68"/>
      <c r="B61" s="69" t="s">
        <v>16</v>
      </c>
      <c r="C61" s="70">
        <v>14914</v>
      </c>
      <c r="D61" s="70">
        <v>7442</v>
      </c>
      <c r="E61" s="70">
        <v>6927</v>
      </c>
      <c r="F61" s="70">
        <v>6518</v>
      </c>
      <c r="G61" s="70">
        <v>3259</v>
      </c>
      <c r="H61" s="70">
        <v>84787</v>
      </c>
      <c r="I61" s="70">
        <v>7429</v>
      </c>
      <c r="J61" s="70">
        <v>8437.5</v>
      </c>
      <c r="K61" s="70">
        <v>1199678</v>
      </c>
      <c r="L61" s="70">
        <v>370</v>
      </c>
      <c r="M61" s="70">
        <v>1291</v>
      </c>
      <c r="N61" s="70">
        <v>20</v>
      </c>
      <c r="O61" s="70">
        <f t="shared" si="137"/>
        <v>24.357377049180329</v>
      </c>
      <c r="P61" s="71"/>
      <c r="Q61" s="71"/>
      <c r="R61"/>
      <c r="XEY61"/>
    </row>
    <row r="62" spans="1:18 16379:16379" s="50" customFormat="1" x14ac:dyDescent="0.3">
      <c r="A62" s="33"/>
      <c r="B62" s="7" t="s">
        <v>17</v>
      </c>
      <c r="C62" s="8">
        <v>169</v>
      </c>
      <c r="D62" s="8">
        <v>0</v>
      </c>
      <c r="E62" s="8">
        <v>0</v>
      </c>
      <c r="F62" s="8">
        <v>0</v>
      </c>
      <c r="G62" s="8">
        <v>0</v>
      </c>
      <c r="H62" s="8">
        <v>801</v>
      </c>
      <c r="I62" s="8">
        <f>I61*0.01</f>
        <v>74.290000000000006</v>
      </c>
      <c r="J62" s="8">
        <f>J61*0.05</f>
        <v>421.875</v>
      </c>
      <c r="K62" s="8">
        <f>K61*0.05</f>
        <v>59983.9</v>
      </c>
      <c r="L62" s="8">
        <v>0</v>
      </c>
      <c r="M62" s="8">
        <v>0</v>
      </c>
      <c r="N62" s="8">
        <v>0</v>
      </c>
      <c r="O62" s="8">
        <f t="shared" si="137"/>
        <v>0.24357377049180329</v>
      </c>
      <c r="P62"/>
      <c r="Q62"/>
      <c r="R62"/>
      <c r="XEY62"/>
    </row>
    <row r="63" spans="1:18 16379:16379" s="50" customFormat="1" x14ac:dyDescent="0.3">
      <c r="A63" s="34"/>
      <c r="B63" s="7" t="s">
        <v>22</v>
      </c>
      <c r="C63" s="8">
        <v>15083</v>
      </c>
      <c r="D63" s="8">
        <f t="shared" ref="D63" si="148">D61+D62</f>
        <v>7442</v>
      </c>
      <c r="E63" s="8">
        <f t="shared" ref="E63" si="149">E61+E62</f>
        <v>6927</v>
      </c>
      <c r="F63" s="8">
        <f t="shared" ref="F63" si="150">F61+F62</f>
        <v>6518</v>
      </c>
      <c r="G63" s="8">
        <f t="shared" ref="G63" si="151">G61+G62</f>
        <v>3259</v>
      </c>
      <c r="H63" s="8">
        <v>85588</v>
      </c>
      <c r="I63" s="8">
        <f t="shared" ref="I63" si="152">I61+I62</f>
        <v>7503.29</v>
      </c>
      <c r="J63" s="8">
        <f t="shared" ref="J63" si="153">J61+J62</f>
        <v>8859.375</v>
      </c>
      <c r="K63" s="8">
        <f t="shared" ref="K63" si="154">K61+K62</f>
        <v>1259661.8999999999</v>
      </c>
      <c r="L63" s="8">
        <f t="shared" ref="L63" si="155">L61+L62</f>
        <v>370</v>
      </c>
      <c r="M63" s="8">
        <f t="shared" ref="M63" si="156">M61+M62</f>
        <v>1291</v>
      </c>
      <c r="N63" s="8">
        <f t="shared" ref="N63" si="157">N61+N62</f>
        <v>20</v>
      </c>
      <c r="O63" s="8">
        <f t="shared" si="137"/>
        <v>24.600950819672132</v>
      </c>
      <c r="P63"/>
      <c r="Q63"/>
      <c r="R63"/>
      <c r="XEY63"/>
    </row>
    <row r="64" spans="1:18 16379:16379" s="29" customFormat="1" x14ac:dyDescent="0.3">
      <c r="A64" s="28" t="s">
        <v>19</v>
      </c>
      <c r="B64" s="28"/>
      <c r="C64" s="29">
        <f>C59*C$1</f>
        <v>2565440</v>
      </c>
      <c r="D64" s="29">
        <f>D59*D$1</f>
        <v>1713825</v>
      </c>
      <c r="E64" s="29">
        <f t="shared" ref="E64:O64" si="158">E59*E$1</f>
        <v>868379.99999999988</v>
      </c>
      <c r="F64" s="29">
        <f t="shared" si="158"/>
        <v>875400</v>
      </c>
      <c r="G64" s="29">
        <f t="shared" si="158"/>
        <v>365940</v>
      </c>
      <c r="H64" s="29">
        <f t="shared" si="158"/>
        <v>1775400</v>
      </c>
      <c r="I64" s="29">
        <f t="shared" si="158"/>
        <v>951874.5</v>
      </c>
      <c r="J64" s="29">
        <f t="shared" si="158"/>
        <v>525500</v>
      </c>
      <c r="K64" s="29">
        <f t="shared" si="158"/>
        <v>13428000</v>
      </c>
      <c r="L64" s="29">
        <f t="shared" si="158"/>
        <v>3743062.3999999994</v>
      </c>
      <c r="M64" s="29">
        <f t="shared" si="158"/>
        <v>21441758.800000001</v>
      </c>
      <c r="N64" s="29">
        <f t="shared" si="158"/>
        <v>1750048.2000000002</v>
      </c>
      <c r="O64" s="29">
        <f t="shared" si="158"/>
        <v>951874.5</v>
      </c>
      <c r="Q64" s="28">
        <f>SUM(C64:N64)</f>
        <v>50004628.900000006</v>
      </c>
      <c r="R64" s="28"/>
      <c r="XEY64"/>
    </row>
    <row r="65" spans="1:18 16379:16379" s="29" customFormat="1" x14ac:dyDescent="0.3">
      <c r="A65" s="30" t="s">
        <v>20</v>
      </c>
      <c r="B65" s="43"/>
      <c r="C65" s="30">
        <f>C63*C$1</f>
        <v>2418408.2200000002</v>
      </c>
      <c r="D65" s="30">
        <f t="shared" ref="D65:N65" si="159">D63*D$1</f>
        <v>1700571.42</v>
      </c>
      <c r="E65" s="30">
        <f t="shared" si="159"/>
        <v>1002544.71</v>
      </c>
      <c r="F65" s="30">
        <f t="shared" si="159"/>
        <v>1426464.3</v>
      </c>
      <c r="G65" s="30">
        <f t="shared" si="159"/>
        <v>596299.23</v>
      </c>
      <c r="H65" s="30">
        <f t="shared" si="159"/>
        <v>2532548.92</v>
      </c>
      <c r="I65" s="30">
        <f t="shared" si="159"/>
        <v>780567.25870000001</v>
      </c>
      <c r="J65" s="30">
        <f t="shared" si="159"/>
        <v>465560.15625</v>
      </c>
      <c r="K65" s="30">
        <f t="shared" si="159"/>
        <v>14095616.660999998</v>
      </c>
      <c r="L65" s="30">
        <f t="shared" si="159"/>
        <v>3147575.1999999997</v>
      </c>
      <c r="M65" s="30">
        <f t="shared" si="159"/>
        <v>17974877.02</v>
      </c>
      <c r="N65" s="30">
        <f t="shared" si="159"/>
        <v>583349.4</v>
      </c>
      <c r="O65" s="30">
        <f>O63*O$1</f>
        <v>780567.25870000012</v>
      </c>
      <c r="P65" s="30"/>
      <c r="Q65" s="30">
        <f>SUM(C65:N65)</f>
        <v>46724382.495949991</v>
      </c>
      <c r="R65" s="51"/>
      <c r="XEY65"/>
    </row>
    <row r="66" spans="1:18 16379:16379" x14ac:dyDescent="0.3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1:18 16379:16379" s="50" customFormat="1" x14ac:dyDescent="0.3">
      <c r="A67" s="24" t="s">
        <v>28</v>
      </c>
      <c r="B67" s="24"/>
      <c r="C67" s="24">
        <v>18134</v>
      </c>
      <c r="D67" s="24">
        <v>9722</v>
      </c>
      <c r="E67" s="24">
        <v>8260</v>
      </c>
      <c r="F67" s="24">
        <v>7173</v>
      </c>
      <c r="G67" s="24">
        <v>3631</v>
      </c>
      <c r="H67" s="24">
        <v>77320</v>
      </c>
      <c r="I67" s="24">
        <v>12478</v>
      </c>
      <c r="J67" s="24">
        <v>14053</v>
      </c>
      <c r="K67" s="24">
        <v>1367246</v>
      </c>
      <c r="L67" s="24">
        <v>237</v>
      </c>
      <c r="M67" s="24">
        <v>577</v>
      </c>
      <c r="N67" s="24">
        <v>39</v>
      </c>
      <c r="O67" s="25">
        <f t="shared" ref="O67:O73" si="160">I67/305</f>
        <v>40.911475409836065</v>
      </c>
      <c r="P67"/>
      <c r="Q67"/>
      <c r="R67"/>
      <c r="XEY67"/>
    </row>
    <row r="68" spans="1:18 16379:16379" s="50" customFormat="1" x14ac:dyDescent="0.3">
      <c r="A68" s="32" t="s">
        <v>29</v>
      </c>
      <c r="B68" s="4" t="s">
        <v>13</v>
      </c>
      <c r="C68" s="3">
        <f>C60-C63</f>
        <v>9687</v>
      </c>
      <c r="D68" s="3">
        <f t="shared" ref="D68:N68" si="161">D60-D63</f>
        <v>3360</v>
      </c>
      <c r="E68" s="3">
        <f t="shared" si="161"/>
        <v>-6559</v>
      </c>
      <c r="F68" s="3">
        <f t="shared" si="161"/>
        <v>-4967</v>
      </c>
      <c r="G68" s="3">
        <f t="shared" si="161"/>
        <v>-2480</v>
      </c>
      <c r="H68" s="3">
        <f t="shared" si="161"/>
        <v>-9799</v>
      </c>
      <c r="I68" s="3">
        <f t="shared" si="161"/>
        <v>53883.404999999999</v>
      </c>
      <c r="J68" s="3">
        <v>18826.93</v>
      </c>
      <c r="K68" s="3">
        <f t="shared" si="161"/>
        <v>341693.75000000047</v>
      </c>
      <c r="L68" s="3">
        <f t="shared" si="161"/>
        <v>299</v>
      </c>
      <c r="M68" s="3">
        <f t="shared" si="161"/>
        <v>967</v>
      </c>
      <c r="N68" s="3">
        <f t="shared" si="161"/>
        <v>25</v>
      </c>
      <c r="O68" s="3">
        <f t="shared" si="160"/>
        <v>176.66690163934425</v>
      </c>
      <c r="P68"/>
      <c r="Q68"/>
      <c r="R68"/>
      <c r="XEY68"/>
    </row>
    <row r="69" spans="1:18 16379:16379" s="50" customFormat="1" x14ac:dyDescent="0.3">
      <c r="A69" s="33"/>
      <c r="B69" s="5" t="s">
        <v>14</v>
      </c>
      <c r="C69" s="6">
        <v>20000</v>
      </c>
      <c r="D69" s="6">
        <v>10000</v>
      </c>
      <c r="E69" s="6">
        <v>9000</v>
      </c>
      <c r="F69" s="6">
        <v>6000</v>
      </c>
      <c r="G69" s="6">
        <v>3000</v>
      </c>
      <c r="H69" s="6">
        <v>82000</v>
      </c>
      <c r="I69" s="6">
        <v>12200</v>
      </c>
      <c r="J69" s="6">
        <v>12000</v>
      </c>
      <c r="K69" s="6">
        <v>1600000</v>
      </c>
      <c r="L69" s="6">
        <v>386</v>
      </c>
      <c r="M69" s="6">
        <v>1185</v>
      </c>
      <c r="N69" s="6">
        <v>90</v>
      </c>
      <c r="O69" s="6">
        <f t="shared" si="160"/>
        <v>40</v>
      </c>
      <c r="P69"/>
      <c r="Q69"/>
      <c r="R69"/>
      <c r="XEY69"/>
    </row>
    <row r="70" spans="1:18 16379:16379" s="50" customFormat="1" x14ac:dyDescent="0.3">
      <c r="A70" s="33"/>
      <c r="B70" s="5" t="s">
        <v>15</v>
      </c>
      <c r="C70" s="6">
        <f>C68+C69</f>
        <v>29687</v>
      </c>
      <c r="D70" s="6">
        <f t="shared" ref="D70:N70" si="162">D68+D69</f>
        <v>13360</v>
      </c>
      <c r="E70" s="6">
        <f t="shared" si="162"/>
        <v>2441</v>
      </c>
      <c r="F70" s="6">
        <f t="shared" si="162"/>
        <v>1033</v>
      </c>
      <c r="G70" s="6">
        <f t="shared" si="162"/>
        <v>520</v>
      </c>
      <c r="H70" s="6">
        <f t="shared" si="162"/>
        <v>72201</v>
      </c>
      <c r="I70" s="6">
        <f t="shared" si="162"/>
        <v>66083.404999999999</v>
      </c>
      <c r="J70" s="6">
        <f t="shared" si="162"/>
        <v>30826.93</v>
      </c>
      <c r="K70" s="6">
        <f t="shared" si="162"/>
        <v>1941693.7500000005</v>
      </c>
      <c r="L70" s="6">
        <f t="shared" si="162"/>
        <v>685</v>
      </c>
      <c r="M70" s="6">
        <f t="shared" si="162"/>
        <v>2152</v>
      </c>
      <c r="N70" s="6">
        <f t="shared" si="162"/>
        <v>115</v>
      </c>
      <c r="O70" s="6">
        <f t="shared" si="160"/>
        <v>216.66690163934425</v>
      </c>
      <c r="P70"/>
      <c r="Q70"/>
      <c r="R70"/>
      <c r="XEY70"/>
    </row>
    <row r="71" spans="1:18 16379:16379" s="50" customFormat="1" x14ac:dyDescent="0.3">
      <c r="A71" s="68"/>
      <c r="B71" s="69" t="s">
        <v>16</v>
      </c>
      <c r="C71" s="70">
        <v>14174</v>
      </c>
      <c r="D71" s="70">
        <v>7069</v>
      </c>
      <c r="E71" s="70">
        <v>6587</v>
      </c>
      <c r="F71" s="70">
        <v>5497</v>
      </c>
      <c r="G71" s="70">
        <v>2754</v>
      </c>
      <c r="H71" s="70">
        <v>73729</v>
      </c>
      <c r="I71" s="70">
        <v>6249</v>
      </c>
      <c r="J71" s="70">
        <v>7937.5</v>
      </c>
      <c r="K71" s="70">
        <v>1147737</v>
      </c>
      <c r="L71" s="70">
        <v>338</v>
      </c>
      <c r="M71" s="70">
        <v>1194</v>
      </c>
      <c r="N71" s="70">
        <v>23</v>
      </c>
      <c r="O71" s="70">
        <f t="shared" si="160"/>
        <v>20.488524590163934</v>
      </c>
      <c r="P71" s="72"/>
      <c r="Q71" s="71"/>
      <c r="R71"/>
      <c r="XEY71"/>
    </row>
    <row r="72" spans="1:18 16379:16379" s="50" customFormat="1" x14ac:dyDescent="0.3">
      <c r="A72" s="33"/>
      <c r="B72" s="7" t="s">
        <v>17</v>
      </c>
      <c r="C72" s="8">
        <v>288</v>
      </c>
      <c r="D72" s="8">
        <v>0</v>
      </c>
      <c r="E72" s="8">
        <v>0</v>
      </c>
      <c r="F72" s="8">
        <v>0</v>
      </c>
      <c r="G72" s="8">
        <v>0</v>
      </c>
      <c r="H72" s="8">
        <f>ROUND(H71*0.01,0)</f>
        <v>737</v>
      </c>
      <c r="I72" s="8">
        <f>I71*0.01</f>
        <v>62.49</v>
      </c>
      <c r="J72" s="8">
        <f>J71*0.05</f>
        <v>396.875</v>
      </c>
      <c r="K72" s="8">
        <f>K71*0.05</f>
        <v>57386.850000000006</v>
      </c>
      <c r="L72" s="8">
        <v>0</v>
      </c>
      <c r="M72" s="8">
        <v>0</v>
      </c>
      <c r="N72" s="8">
        <v>0</v>
      </c>
      <c r="O72" s="8">
        <f t="shared" si="160"/>
        <v>0.20488524590163934</v>
      </c>
      <c r="P72" s="23">
        <v>0.05</v>
      </c>
      <c r="Q72"/>
      <c r="R72"/>
      <c r="XEY72"/>
    </row>
    <row r="73" spans="1:18 16379:16379" s="50" customFormat="1" x14ac:dyDescent="0.3">
      <c r="A73" s="34"/>
      <c r="B73" s="7" t="s">
        <v>22</v>
      </c>
      <c r="C73" s="8">
        <f>C71+C72</f>
        <v>14462</v>
      </c>
      <c r="D73" s="8">
        <f t="shared" ref="D73:N73" si="163">D71+D72</f>
        <v>7069</v>
      </c>
      <c r="E73" s="8">
        <f t="shared" si="163"/>
        <v>6587</v>
      </c>
      <c r="F73" s="8">
        <f t="shared" si="163"/>
        <v>5497</v>
      </c>
      <c r="G73" s="8">
        <f t="shared" si="163"/>
        <v>2754</v>
      </c>
      <c r="H73" s="8">
        <f t="shared" si="163"/>
        <v>74466</v>
      </c>
      <c r="I73" s="8">
        <f t="shared" si="163"/>
        <v>6311.49</v>
      </c>
      <c r="J73" s="8">
        <f t="shared" si="163"/>
        <v>8334.375</v>
      </c>
      <c r="K73" s="8">
        <f t="shared" si="163"/>
        <v>1205123.8500000001</v>
      </c>
      <c r="L73" s="8">
        <f t="shared" si="163"/>
        <v>338</v>
      </c>
      <c r="M73" s="8">
        <f t="shared" si="163"/>
        <v>1194</v>
      </c>
      <c r="N73" s="8">
        <f t="shared" si="163"/>
        <v>23</v>
      </c>
      <c r="O73" s="8">
        <f t="shared" si="160"/>
        <v>20.693409836065573</v>
      </c>
      <c r="P73"/>
      <c r="Q73"/>
      <c r="R73"/>
      <c r="XEY73"/>
    </row>
    <row r="74" spans="1:18 16379:16379" s="29" customFormat="1" x14ac:dyDescent="0.3">
      <c r="A74" s="28" t="s">
        <v>19</v>
      </c>
      <c r="B74" s="28"/>
      <c r="C74" s="29">
        <f>C69*C$1</f>
        <v>3206800</v>
      </c>
      <c r="D74" s="29">
        <f>D69*D$1</f>
        <v>2285100</v>
      </c>
      <c r="E74" s="29">
        <f t="shared" ref="E74:O74" si="164">E69*E$1</f>
        <v>1302570</v>
      </c>
      <c r="F74" s="29">
        <f t="shared" si="164"/>
        <v>1313100</v>
      </c>
      <c r="G74" s="29">
        <f>G69*G$1</f>
        <v>548910</v>
      </c>
      <c r="H74" s="29">
        <f t="shared" si="164"/>
        <v>2426380</v>
      </c>
      <c r="I74" s="29">
        <f t="shared" si="164"/>
        <v>1269166</v>
      </c>
      <c r="J74" s="29">
        <f t="shared" si="164"/>
        <v>630600</v>
      </c>
      <c r="K74" s="29">
        <f t="shared" si="164"/>
        <v>17904000</v>
      </c>
      <c r="L74" s="29">
        <f t="shared" si="164"/>
        <v>3283686.5599999996</v>
      </c>
      <c r="M74" s="29">
        <f t="shared" si="164"/>
        <v>16499015.699999999</v>
      </c>
      <c r="N74" s="29">
        <f t="shared" si="164"/>
        <v>2625072.3000000003</v>
      </c>
      <c r="O74" s="29">
        <f t="shared" si="164"/>
        <v>1269166</v>
      </c>
      <c r="Q74" s="28">
        <f>SUM(C74:N74)</f>
        <v>53294400.560000002</v>
      </c>
      <c r="R74" s="28"/>
      <c r="XEY74"/>
    </row>
    <row r="75" spans="1:18 16379:16379" s="29" customFormat="1" x14ac:dyDescent="0.3">
      <c r="A75" s="30" t="s">
        <v>20</v>
      </c>
      <c r="B75" s="43"/>
      <c r="C75" s="30">
        <f>C73*C$1</f>
        <v>2318837.08</v>
      </c>
      <c r="D75" s="30">
        <f t="shared" ref="D75:N75" si="165">D73*D$1</f>
        <v>1615337.19</v>
      </c>
      <c r="E75" s="30">
        <f t="shared" si="165"/>
        <v>953336.50999999989</v>
      </c>
      <c r="F75" s="30">
        <f t="shared" si="165"/>
        <v>1203018.45</v>
      </c>
      <c r="G75" s="30">
        <f>G73*G$1</f>
        <v>503899.38</v>
      </c>
      <c r="H75" s="30">
        <f t="shared" si="165"/>
        <v>2203448.94</v>
      </c>
      <c r="I75" s="30">
        <f t="shared" si="165"/>
        <v>656584.30469999998</v>
      </c>
      <c r="J75" s="30">
        <f t="shared" si="165"/>
        <v>437971.40625</v>
      </c>
      <c r="K75" s="30">
        <f t="shared" si="165"/>
        <v>13485335.8815</v>
      </c>
      <c r="L75" s="30">
        <f t="shared" si="165"/>
        <v>2875352.4799999995</v>
      </c>
      <c r="M75" s="30">
        <f t="shared" si="165"/>
        <v>16624324.68</v>
      </c>
      <c r="N75" s="30">
        <f t="shared" si="165"/>
        <v>670851.81000000006</v>
      </c>
      <c r="O75" s="30">
        <f>O73*O$1</f>
        <v>656584.30469999998</v>
      </c>
      <c r="P75" s="30"/>
      <c r="Q75" s="30">
        <f>SUM(C75:N75)</f>
        <v>43548298.112450004</v>
      </c>
      <c r="R75" s="51"/>
      <c r="XEY75"/>
    </row>
    <row r="76" spans="1:18 16379:16379" s="50" customFormat="1" x14ac:dyDescent="0.3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/>
      <c r="XEY76"/>
    </row>
    <row r="77" spans="1:18 16379:16379" s="50" customFormat="1" x14ac:dyDescent="0.3">
      <c r="A77" s="32" t="s">
        <v>30</v>
      </c>
      <c r="B77" s="4" t="s">
        <v>13</v>
      </c>
      <c r="C77" s="3">
        <f>C70-C73</f>
        <v>15225</v>
      </c>
      <c r="D77" s="3">
        <f t="shared" ref="D77:N77" si="166">D70-D73</f>
        <v>6291</v>
      </c>
      <c r="E77" s="3">
        <f t="shared" si="166"/>
        <v>-4146</v>
      </c>
      <c r="F77" s="3">
        <f t="shared" si="166"/>
        <v>-4464</v>
      </c>
      <c r="G77" s="3">
        <f t="shared" si="166"/>
        <v>-2234</v>
      </c>
      <c r="H77" s="3">
        <f t="shared" si="166"/>
        <v>-2265</v>
      </c>
      <c r="I77" s="3">
        <v>59771</v>
      </c>
      <c r="J77" s="3">
        <f t="shared" si="166"/>
        <v>22492.555</v>
      </c>
      <c r="K77" s="3">
        <f t="shared" si="166"/>
        <v>736569.90000000037</v>
      </c>
      <c r="L77" s="3">
        <f t="shared" si="166"/>
        <v>347</v>
      </c>
      <c r="M77" s="3">
        <f t="shared" si="166"/>
        <v>958</v>
      </c>
      <c r="N77" s="3">
        <f t="shared" si="166"/>
        <v>92</v>
      </c>
      <c r="O77" s="3">
        <f t="shared" ref="O77:O82" si="167">I77/305</f>
        <v>195.97049180327869</v>
      </c>
      <c r="P77"/>
      <c r="Q77"/>
      <c r="R77"/>
      <c r="XEY77"/>
    </row>
    <row r="78" spans="1:18 16379:16379" s="50" customFormat="1" x14ac:dyDescent="0.3">
      <c r="A78" s="33"/>
      <c r="B78" s="5" t="s">
        <v>14</v>
      </c>
      <c r="C78" s="6">
        <v>20000</v>
      </c>
      <c r="D78" s="6">
        <v>10000</v>
      </c>
      <c r="E78" s="6">
        <v>9000</v>
      </c>
      <c r="F78" s="6">
        <v>7000</v>
      </c>
      <c r="G78" s="6">
        <v>3500</v>
      </c>
      <c r="H78" s="6">
        <v>82000</v>
      </c>
      <c r="I78" s="6">
        <v>12200</v>
      </c>
      <c r="J78" s="6">
        <v>15000</v>
      </c>
      <c r="K78" s="6">
        <v>1600000</v>
      </c>
      <c r="L78" s="6">
        <v>390</v>
      </c>
      <c r="M78" s="6">
        <v>1295</v>
      </c>
      <c r="N78" s="6">
        <v>16</v>
      </c>
      <c r="O78" s="6">
        <f t="shared" si="167"/>
        <v>40</v>
      </c>
      <c r="P78"/>
      <c r="Q78">
        <f>K78/2000</f>
        <v>800</v>
      </c>
      <c r="R78"/>
      <c r="XEY78"/>
    </row>
    <row r="79" spans="1:18 16379:16379" s="50" customFormat="1" x14ac:dyDescent="0.3">
      <c r="A79" s="33"/>
      <c r="B79" s="5" t="s">
        <v>15</v>
      </c>
      <c r="C79" s="6">
        <f>C77+C78</f>
        <v>35225</v>
      </c>
      <c r="D79" s="6">
        <f t="shared" ref="D79:N79" si="168">D77+D78</f>
        <v>16291</v>
      </c>
      <c r="E79" s="6">
        <f t="shared" si="168"/>
        <v>4854</v>
      </c>
      <c r="F79" s="6">
        <f t="shared" si="168"/>
        <v>2536</v>
      </c>
      <c r="G79" s="6">
        <f t="shared" si="168"/>
        <v>1266</v>
      </c>
      <c r="H79" s="6">
        <f t="shared" si="168"/>
        <v>79735</v>
      </c>
      <c r="I79" s="6">
        <f t="shared" si="168"/>
        <v>71971</v>
      </c>
      <c r="J79" s="6">
        <f t="shared" si="168"/>
        <v>37492.555</v>
      </c>
      <c r="K79" s="6">
        <f t="shared" si="168"/>
        <v>2336569.9000000004</v>
      </c>
      <c r="L79" s="6">
        <f t="shared" si="168"/>
        <v>737</v>
      </c>
      <c r="M79" s="6">
        <f t="shared" si="168"/>
        <v>2253</v>
      </c>
      <c r="N79" s="6">
        <f t="shared" si="168"/>
        <v>108</v>
      </c>
      <c r="O79" s="6">
        <f t="shared" si="167"/>
        <v>235.97049180327869</v>
      </c>
      <c r="P79"/>
      <c r="Q79"/>
      <c r="R79"/>
      <c r="XEY79"/>
    </row>
    <row r="80" spans="1:18 16379:16379" s="55" customFormat="1" x14ac:dyDescent="0.3">
      <c r="A80" s="45"/>
      <c r="B80" s="46" t="s">
        <v>16</v>
      </c>
      <c r="C80" s="47">
        <v>16334</v>
      </c>
      <c r="D80" s="47">
        <v>8136</v>
      </c>
      <c r="E80" s="47">
        <v>7521</v>
      </c>
      <c r="F80" s="47">
        <v>6017</v>
      </c>
      <c r="G80" s="47">
        <v>3012</v>
      </c>
      <c r="H80" s="47">
        <v>84854</v>
      </c>
      <c r="I80" s="47">
        <v>7504</v>
      </c>
      <c r="J80" s="47">
        <v>8704</v>
      </c>
      <c r="K80" s="47">
        <v>1323906</v>
      </c>
      <c r="L80" s="47">
        <v>403</v>
      </c>
      <c r="M80" s="47">
        <v>1311</v>
      </c>
      <c r="N80" s="47">
        <v>27</v>
      </c>
      <c r="O80" s="47">
        <f t="shared" si="167"/>
        <v>24.60327868852459</v>
      </c>
      <c r="P80" s="49"/>
      <c r="Q80" s="48"/>
      <c r="R80" s="54"/>
      <c r="XEY80"/>
    </row>
    <row r="81" spans="1:18 16379:16379" s="50" customFormat="1" x14ac:dyDescent="0.3">
      <c r="A81" s="33"/>
      <c r="B81" s="7" t="s">
        <v>17</v>
      </c>
      <c r="C81" s="8">
        <f>ROUND((C80*0.02),0)</f>
        <v>327</v>
      </c>
      <c r="D81" s="8">
        <v>0</v>
      </c>
      <c r="E81" s="8">
        <v>0</v>
      </c>
      <c r="F81" s="8">
        <v>0</v>
      </c>
      <c r="G81" s="8">
        <v>0</v>
      </c>
      <c r="H81" s="8">
        <f>ROUND(H80*0.01,0)</f>
        <v>849</v>
      </c>
      <c r="I81" s="8">
        <f>I80*0.01</f>
        <v>75.040000000000006</v>
      </c>
      <c r="J81" s="8">
        <f>J80*0.05</f>
        <v>435.20000000000005</v>
      </c>
      <c r="K81" s="8">
        <f>K80*0.05</f>
        <v>66195.3</v>
      </c>
      <c r="L81" s="8">
        <v>0</v>
      </c>
      <c r="M81" s="8">
        <v>0</v>
      </c>
      <c r="N81" s="8">
        <v>0</v>
      </c>
      <c r="O81" s="8">
        <f t="shared" si="167"/>
        <v>0.24603278688524594</v>
      </c>
      <c r="P81" s="23">
        <v>0.05</v>
      </c>
      <c r="Q81"/>
      <c r="R81"/>
      <c r="XEY81"/>
    </row>
    <row r="82" spans="1:18 16379:16379" s="50" customFormat="1" x14ac:dyDescent="0.3">
      <c r="A82" s="34"/>
      <c r="B82" s="7" t="s">
        <v>22</v>
      </c>
      <c r="C82" s="8">
        <f>C80+C81</f>
        <v>16661</v>
      </c>
      <c r="D82" s="8">
        <f t="shared" ref="D82:N82" si="169">D80+D81</f>
        <v>8136</v>
      </c>
      <c r="E82" s="8">
        <f t="shared" si="169"/>
        <v>7521</v>
      </c>
      <c r="F82" s="8">
        <f t="shared" si="169"/>
        <v>6017</v>
      </c>
      <c r="G82" s="8">
        <f t="shared" si="169"/>
        <v>3012</v>
      </c>
      <c r="H82" s="8">
        <f t="shared" si="169"/>
        <v>85703</v>
      </c>
      <c r="I82" s="8">
        <f t="shared" si="169"/>
        <v>7579.04</v>
      </c>
      <c r="J82" s="8">
        <f t="shared" si="169"/>
        <v>9139.2000000000007</v>
      </c>
      <c r="K82" s="8">
        <f t="shared" si="169"/>
        <v>1390101.3</v>
      </c>
      <c r="L82" s="8">
        <f t="shared" si="169"/>
        <v>403</v>
      </c>
      <c r="M82" s="8">
        <f t="shared" si="169"/>
        <v>1311</v>
      </c>
      <c r="N82" s="8">
        <f t="shared" si="169"/>
        <v>27</v>
      </c>
      <c r="O82" s="8">
        <f t="shared" si="167"/>
        <v>24.849311475409834</v>
      </c>
      <c r="P82"/>
      <c r="Q82"/>
      <c r="R82"/>
      <c r="XEY82"/>
    </row>
    <row r="83" spans="1:18 16379:16379" s="50" customFormat="1" x14ac:dyDescent="0.3">
      <c r="A83" s="28" t="s">
        <v>19</v>
      </c>
      <c r="B83" s="28"/>
      <c r="C83" s="29">
        <f>C78*C$1</f>
        <v>3206800</v>
      </c>
      <c r="D83" s="29">
        <f>D78*D$1</f>
        <v>2285100</v>
      </c>
      <c r="E83" s="29">
        <f t="shared" ref="E83:F83" si="170">E78*E$1</f>
        <v>1302570</v>
      </c>
      <c r="F83" s="29">
        <f t="shared" si="170"/>
        <v>1531950</v>
      </c>
      <c r="G83" s="29">
        <f>G78*G$1</f>
        <v>640395</v>
      </c>
      <c r="H83" s="29">
        <f t="shared" ref="H83:O83" si="171">H78*H$1</f>
        <v>2426380</v>
      </c>
      <c r="I83" s="29">
        <f t="shared" si="171"/>
        <v>1269166</v>
      </c>
      <c r="J83" s="29">
        <f t="shared" si="171"/>
        <v>788250</v>
      </c>
      <c r="K83" s="29">
        <f t="shared" si="171"/>
        <v>17904000</v>
      </c>
      <c r="L83" s="29">
        <f t="shared" si="171"/>
        <v>3317714.3999999994</v>
      </c>
      <c r="M83" s="29">
        <f t="shared" si="171"/>
        <v>18030569.899999999</v>
      </c>
      <c r="N83" s="29">
        <f t="shared" si="171"/>
        <v>466679.52</v>
      </c>
      <c r="O83" s="29">
        <f t="shared" si="171"/>
        <v>1269166</v>
      </c>
      <c r="P83" s="29"/>
      <c r="Q83" s="28">
        <f>SUM(C83:N83)</f>
        <v>53169574.82</v>
      </c>
      <c r="R83" s="28"/>
      <c r="XEY83"/>
    </row>
    <row r="84" spans="1:18 16379:16379" s="50" customFormat="1" x14ac:dyDescent="0.3">
      <c r="A84" s="30" t="s">
        <v>20</v>
      </c>
      <c r="B84" s="43"/>
      <c r="C84" s="30">
        <f>C82*C$1</f>
        <v>2671424.7400000002</v>
      </c>
      <c r="D84" s="30">
        <f t="shared" ref="D84:F84" si="172">D82*D$1</f>
        <v>1859157.3599999999</v>
      </c>
      <c r="E84" s="30">
        <f t="shared" si="172"/>
        <v>1088514.3299999998</v>
      </c>
      <c r="F84" s="30">
        <f t="shared" si="172"/>
        <v>1316820.45</v>
      </c>
      <c r="G84" s="30">
        <f>G82*G$1</f>
        <v>551105.64</v>
      </c>
      <c r="H84" s="30">
        <f t="shared" ref="H84:N84" si="173">H82*H$1</f>
        <v>2535951.77</v>
      </c>
      <c r="I84" s="30">
        <f t="shared" si="173"/>
        <v>788447.53119999997</v>
      </c>
      <c r="J84" s="30">
        <f t="shared" si="173"/>
        <v>480264.96000000002</v>
      </c>
      <c r="K84" s="30">
        <f t="shared" si="173"/>
        <v>15555233.547</v>
      </c>
      <c r="L84" s="30">
        <f t="shared" si="173"/>
        <v>3428304.8799999994</v>
      </c>
      <c r="M84" s="30">
        <f t="shared" si="173"/>
        <v>18253341.419999998</v>
      </c>
      <c r="N84" s="30">
        <f t="shared" si="173"/>
        <v>787521.69000000006</v>
      </c>
      <c r="O84" s="30">
        <f>O82*O$1</f>
        <v>788447.53119999997</v>
      </c>
      <c r="P84" s="30"/>
      <c r="Q84" s="30">
        <f>SUM(C84:N84)</f>
        <v>49316088.318199992</v>
      </c>
      <c r="R84" s="51"/>
      <c r="XEY84"/>
    </row>
    <row r="85" spans="1:18 16379:16379" x14ac:dyDescent="0.3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8 16379:16379" x14ac:dyDescent="0.3">
      <c r="A86" s="32" t="s">
        <v>31</v>
      </c>
      <c r="B86" s="4" t="s">
        <v>13</v>
      </c>
      <c r="C86" s="3">
        <f>C79-C82</f>
        <v>18564</v>
      </c>
      <c r="D86" s="3">
        <f t="shared" ref="D86:N86" si="174">D79-D82</f>
        <v>8155</v>
      </c>
      <c r="E86" s="3">
        <f t="shared" si="174"/>
        <v>-2667</v>
      </c>
      <c r="F86" s="3">
        <f t="shared" si="174"/>
        <v>-3481</v>
      </c>
      <c r="G86" s="3">
        <f t="shared" si="174"/>
        <v>-1746</v>
      </c>
      <c r="H86" s="3">
        <f t="shared" si="174"/>
        <v>-5968</v>
      </c>
      <c r="I86" s="3">
        <f t="shared" si="174"/>
        <v>64391.96</v>
      </c>
      <c r="J86" s="3">
        <f t="shared" si="174"/>
        <v>28353.355</v>
      </c>
      <c r="K86" s="3">
        <f t="shared" si="174"/>
        <v>946468.60000000033</v>
      </c>
      <c r="L86" s="3">
        <f t="shared" si="174"/>
        <v>334</v>
      </c>
      <c r="M86" s="3">
        <f t="shared" si="174"/>
        <v>942</v>
      </c>
      <c r="N86" s="3">
        <f t="shared" si="174"/>
        <v>81</v>
      </c>
      <c r="O86" s="3">
        <f t="shared" ref="O86:O91" si="175">I86/305</f>
        <v>211.12118032786884</v>
      </c>
      <c r="Q86">
        <f>K86/2000</f>
        <v>473.23430000000019</v>
      </c>
    </row>
    <row r="87" spans="1:18 16379:16379" x14ac:dyDescent="0.3">
      <c r="A87" s="33"/>
      <c r="B87" s="5" t="s">
        <v>14</v>
      </c>
      <c r="C87" s="6">
        <v>14000</v>
      </c>
      <c r="D87" s="6">
        <v>7000</v>
      </c>
      <c r="E87" s="6">
        <v>6000</v>
      </c>
      <c r="F87" s="6">
        <v>5000</v>
      </c>
      <c r="G87" s="6">
        <v>2500</v>
      </c>
      <c r="H87" s="6">
        <v>70000</v>
      </c>
      <c r="I87" s="6">
        <f>30*305</f>
        <v>9150</v>
      </c>
      <c r="J87" s="6">
        <v>10000</v>
      </c>
      <c r="K87" s="6">
        <v>1300000</v>
      </c>
      <c r="L87" s="6">
        <v>312</v>
      </c>
      <c r="M87" s="6">
        <v>1270</v>
      </c>
      <c r="N87" s="6">
        <v>4</v>
      </c>
      <c r="O87" s="6">
        <f t="shared" si="175"/>
        <v>30</v>
      </c>
    </row>
    <row r="88" spans="1:18 16379:16379" x14ac:dyDescent="0.3">
      <c r="A88" s="33"/>
      <c r="B88" s="5" t="s">
        <v>15</v>
      </c>
      <c r="C88" s="6">
        <f>C86+C87</f>
        <v>32564</v>
      </c>
      <c r="D88" s="6">
        <f t="shared" ref="D88:N88" si="176">D86+D87</f>
        <v>15155</v>
      </c>
      <c r="E88" s="6">
        <f t="shared" si="176"/>
        <v>3333</v>
      </c>
      <c r="F88" s="6">
        <f t="shared" si="176"/>
        <v>1519</v>
      </c>
      <c r="G88" s="6">
        <f t="shared" si="176"/>
        <v>754</v>
      </c>
      <c r="H88" s="6">
        <f t="shared" si="176"/>
        <v>64032</v>
      </c>
      <c r="I88" s="6">
        <f t="shared" si="176"/>
        <v>73541.959999999992</v>
      </c>
      <c r="J88" s="6">
        <f t="shared" si="176"/>
        <v>38353.354999999996</v>
      </c>
      <c r="K88" s="6">
        <f t="shared" si="176"/>
        <v>2246468.6000000006</v>
      </c>
      <c r="L88" s="6">
        <f t="shared" si="176"/>
        <v>646</v>
      </c>
      <c r="M88" s="6">
        <f t="shared" si="176"/>
        <v>2212</v>
      </c>
      <c r="N88" s="6">
        <f t="shared" si="176"/>
        <v>85</v>
      </c>
      <c r="O88" s="6">
        <f t="shared" si="175"/>
        <v>241.12118032786881</v>
      </c>
    </row>
    <row r="89" spans="1:18 16379:16379" x14ac:dyDescent="0.3">
      <c r="A89" s="45"/>
      <c r="B89" s="46" t="s">
        <v>16</v>
      </c>
      <c r="C89" s="47">
        <v>12767</v>
      </c>
      <c r="D89" s="47">
        <v>6393</v>
      </c>
      <c r="E89" s="47">
        <v>5930</v>
      </c>
      <c r="F89" s="47">
        <v>4796</v>
      </c>
      <c r="G89" s="47">
        <v>2398</v>
      </c>
      <c r="H89" s="47">
        <v>69680</v>
      </c>
      <c r="I89" s="47">
        <v>5434</v>
      </c>
      <c r="J89" s="47">
        <v>7423</v>
      </c>
      <c r="K89" s="47">
        <v>1078142</v>
      </c>
      <c r="L89" s="47">
        <v>349</v>
      </c>
      <c r="M89" s="47">
        <v>1144</v>
      </c>
      <c r="N89" s="47">
        <v>22</v>
      </c>
      <c r="O89" s="47">
        <f t="shared" si="175"/>
        <v>17.81639344262295</v>
      </c>
      <c r="P89" s="49"/>
      <c r="Q89" s="48"/>
      <c r="R89" s="54"/>
    </row>
    <row r="90" spans="1:18 16379:16379" x14ac:dyDescent="0.3">
      <c r="A90" s="33"/>
      <c r="B90" s="7" t="s">
        <v>17</v>
      </c>
      <c r="C90" s="8">
        <v>256</v>
      </c>
      <c r="D90" s="8">
        <v>0</v>
      </c>
      <c r="E90" s="8">
        <v>0</v>
      </c>
      <c r="F90" s="8">
        <v>0</v>
      </c>
      <c r="G90" s="8">
        <v>0</v>
      </c>
      <c r="H90" s="8">
        <f>ROUND(H89*0.01,0)</f>
        <v>697</v>
      </c>
      <c r="I90" s="8">
        <f>I89*0.01</f>
        <v>54.34</v>
      </c>
      <c r="J90" s="8">
        <f>J89*0.05</f>
        <v>371.15000000000003</v>
      </c>
      <c r="K90" s="8">
        <f>K89*0.05</f>
        <v>53907.100000000006</v>
      </c>
      <c r="L90" s="8">
        <v>0</v>
      </c>
      <c r="M90" s="8">
        <v>0</v>
      </c>
      <c r="N90" s="8">
        <v>0</v>
      </c>
      <c r="O90" s="8">
        <f t="shared" si="175"/>
        <v>0.17816393442622952</v>
      </c>
      <c r="P90" s="23">
        <v>0.05</v>
      </c>
    </row>
    <row r="91" spans="1:18 16379:16379" x14ac:dyDescent="0.3">
      <c r="A91" s="34"/>
      <c r="B91" s="7" t="s">
        <v>22</v>
      </c>
      <c r="C91" s="8">
        <f>C89+C90</f>
        <v>13023</v>
      </c>
      <c r="D91" s="8">
        <f t="shared" ref="D91:N91" si="177">D89+D90</f>
        <v>6393</v>
      </c>
      <c r="E91" s="8">
        <f t="shared" si="177"/>
        <v>5930</v>
      </c>
      <c r="F91" s="8">
        <f t="shared" si="177"/>
        <v>4796</v>
      </c>
      <c r="G91" s="8">
        <f t="shared" si="177"/>
        <v>2398</v>
      </c>
      <c r="H91" s="8">
        <f t="shared" si="177"/>
        <v>70377</v>
      </c>
      <c r="I91" s="8">
        <f t="shared" si="177"/>
        <v>5488.34</v>
      </c>
      <c r="J91" s="8">
        <f t="shared" si="177"/>
        <v>7794.15</v>
      </c>
      <c r="K91" s="8">
        <f t="shared" si="177"/>
        <v>1132049.1000000001</v>
      </c>
      <c r="L91" s="8">
        <f t="shared" si="177"/>
        <v>349</v>
      </c>
      <c r="M91" s="8">
        <f t="shared" si="177"/>
        <v>1144</v>
      </c>
      <c r="N91" s="8">
        <f t="shared" si="177"/>
        <v>22</v>
      </c>
      <c r="O91" s="8">
        <f t="shared" si="175"/>
        <v>17.99455737704918</v>
      </c>
    </row>
    <row r="92" spans="1:18 16379:16379" x14ac:dyDescent="0.3">
      <c r="A92" s="28" t="s">
        <v>19</v>
      </c>
      <c r="B92" s="28"/>
      <c r="C92" s="29">
        <f>C87*C$1</f>
        <v>2244760</v>
      </c>
      <c r="D92" s="29">
        <f>D87*D$1</f>
        <v>1599570</v>
      </c>
      <c r="E92" s="29">
        <f t="shared" ref="E92:F92" si="178">E87*E$1</f>
        <v>868379.99999999988</v>
      </c>
      <c r="F92" s="29">
        <f t="shared" si="178"/>
        <v>1094250</v>
      </c>
      <c r="G92" s="29">
        <f>G87*G$1</f>
        <v>457425</v>
      </c>
      <c r="H92" s="29">
        <f t="shared" ref="H92:O92" si="179">H87*H$1</f>
        <v>2071300</v>
      </c>
      <c r="I92" s="29">
        <f t="shared" si="179"/>
        <v>951874.5</v>
      </c>
      <c r="J92" s="29">
        <f t="shared" si="179"/>
        <v>525500</v>
      </c>
      <c r="K92" s="29">
        <f t="shared" si="179"/>
        <v>14547000</v>
      </c>
      <c r="L92" s="29">
        <f t="shared" si="179"/>
        <v>2654171.5199999996</v>
      </c>
      <c r="M92" s="29">
        <f t="shared" si="179"/>
        <v>17682489.399999999</v>
      </c>
      <c r="N92" s="29">
        <f t="shared" si="179"/>
        <v>116669.88</v>
      </c>
      <c r="O92" s="29">
        <f t="shared" si="179"/>
        <v>951874.5</v>
      </c>
      <c r="P92" s="29"/>
      <c r="Q92" s="28">
        <f>SUM(C92:N92)</f>
        <v>44813390.300000004</v>
      </c>
      <c r="R92" s="28"/>
    </row>
    <row r="93" spans="1:18 16379:16379" x14ac:dyDescent="0.3">
      <c r="A93" s="30" t="s">
        <v>20</v>
      </c>
      <c r="B93" s="43"/>
      <c r="C93" s="30">
        <f>C91*C$1</f>
        <v>2088107.82</v>
      </c>
      <c r="D93" s="30">
        <f t="shared" ref="D93:F93" si="180">D91*D$1</f>
        <v>1460864.43</v>
      </c>
      <c r="E93" s="30">
        <f t="shared" si="180"/>
        <v>858248.89999999991</v>
      </c>
      <c r="F93" s="30">
        <f t="shared" si="180"/>
        <v>1049604.5999999999</v>
      </c>
      <c r="G93" s="30">
        <f>G91*G$1</f>
        <v>438762.06</v>
      </c>
      <c r="H93" s="30">
        <f t="shared" ref="H93:N93" si="181">H91*H$1</f>
        <v>2082455.43</v>
      </c>
      <c r="I93" s="30">
        <f t="shared" si="181"/>
        <v>570952.01020000002</v>
      </c>
      <c r="J93" s="30">
        <f t="shared" si="181"/>
        <v>409582.58249999996</v>
      </c>
      <c r="K93" s="30">
        <f t="shared" si="181"/>
        <v>12667629.429000001</v>
      </c>
      <c r="L93" s="30">
        <f t="shared" si="181"/>
        <v>2968929.0399999996</v>
      </c>
      <c r="M93" s="30">
        <f t="shared" si="181"/>
        <v>15928163.68</v>
      </c>
      <c r="N93" s="30">
        <f t="shared" si="181"/>
        <v>641684.34000000008</v>
      </c>
      <c r="O93" s="30">
        <f>O91*O$1</f>
        <v>570952.01020000002</v>
      </c>
      <c r="P93" s="30"/>
      <c r="Q93" s="30">
        <f>SUM(C93:N93)</f>
        <v>41164984.321700007</v>
      </c>
      <c r="R93" s="51"/>
    </row>
    <row r="94" spans="1:18 16379:16379" x14ac:dyDescent="0.3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8 16379:16379" x14ac:dyDescent="0.3">
      <c r="A95" s="32" t="s">
        <v>32</v>
      </c>
      <c r="B95" s="4" t="s">
        <v>13</v>
      </c>
      <c r="C95" s="3">
        <v>19542</v>
      </c>
      <c r="D95" s="3">
        <f t="shared" ref="D95:N95" si="182">D88-D91</f>
        <v>8762</v>
      </c>
      <c r="E95" s="3">
        <f t="shared" si="182"/>
        <v>-2597</v>
      </c>
      <c r="F95" s="3">
        <f t="shared" si="182"/>
        <v>-3277</v>
      </c>
      <c r="G95" s="3">
        <f t="shared" si="182"/>
        <v>-1644</v>
      </c>
      <c r="H95" s="3">
        <f t="shared" si="182"/>
        <v>-6345</v>
      </c>
      <c r="I95" s="3">
        <f t="shared" si="182"/>
        <v>68053.62</v>
      </c>
      <c r="J95" s="3">
        <f t="shared" si="182"/>
        <v>30559.204999999994</v>
      </c>
      <c r="K95" s="3">
        <f t="shared" si="182"/>
        <v>1114419.5000000005</v>
      </c>
      <c r="L95" s="3">
        <f>L88-L91</f>
        <v>297</v>
      </c>
      <c r="M95" s="3">
        <f>M88-M91</f>
        <v>1068</v>
      </c>
      <c r="N95" s="3">
        <f t="shared" si="182"/>
        <v>63</v>
      </c>
      <c r="O95" s="3">
        <f t="shared" ref="O95:O100" si="183">I95/305</f>
        <v>223.12662295081967</v>
      </c>
    </row>
    <row r="96" spans="1:18 16379:16379" x14ac:dyDescent="0.3">
      <c r="A96" s="33"/>
      <c r="B96" s="5" t="s">
        <v>14</v>
      </c>
      <c r="C96" s="6">
        <v>14000</v>
      </c>
      <c r="D96" s="6">
        <v>7000</v>
      </c>
      <c r="E96" s="6">
        <v>6000</v>
      </c>
      <c r="F96" s="6">
        <v>6000</v>
      </c>
      <c r="G96" s="6">
        <v>3000</v>
      </c>
      <c r="H96" s="6">
        <v>84000</v>
      </c>
      <c r="I96" s="6">
        <v>9150</v>
      </c>
      <c r="J96" s="6">
        <v>10000</v>
      </c>
      <c r="K96" s="6">
        <v>1200000</v>
      </c>
      <c r="L96" s="6">
        <v>400</v>
      </c>
      <c r="M96" s="6">
        <v>980</v>
      </c>
      <c r="N96" s="6">
        <v>0</v>
      </c>
      <c r="O96" s="6">
        <f t="shared" si="183"/>
        <v>30</v>
      </c>
    </row>
    <row r="97" spans="1:18" x14ac:dyDescent="0.3">
      <c r="A97" s="33"/>
      <c r="B97" s="5" t="s">
        <v>15</v>
      </c>
      <c r="C97" s="6">
        <f>C95+C96</f>
        <v>33542</v>
      </c>
      <c r="D97" s="6">
        <f t="shared" ref="D97:N97" si="184">D95+D96</f>
        <v>15762</v>
      </c>
      <c r="E97" s="6">
        <f t="shared" si="184"/>
        <v>3403</v>
      </c>
      <c r="F97" s="6">
        <f t="shared" si="184"/>
        <v>2723</v>
      </c>
      <c r="G97" s="6">
        <f t="shared" si="184"/>
        <v>1356</v>
      </c>
      <c r="H97" s="6">
        <f t="shared" si="184"/>
        <v>77655</v>
      </c>
      <c r="I97" s="6">
        <f t="shared" si="184"/>
        <v>77203.62</v>
      </c>
      <c r="J97" s="6">
        <f t="shared" si="184"/>
        <v>40559.204999999994</v>
      </c>
      <c r="K97" s="6">
        <f t="shared" si="184"/>
        <v>2314419.5000000005</v>
      </c>
      <c r="L97" s="6">
        <f t="shared" si="184"/>
        <v>697</v>
      </c>
      <c r="M97" s="6">
        <f t="shared" si="184"/>
        <v>2048</v>
      </c>
      <c r="N97" s="6">
        <f t="shared" si="184"/>
        <v>63</v>
      </c>
      <c r="O97" s="6">
        <f t="shared" si="183"/>
        <v>253.12662295081967</v>
      </c>
    </row>
    <row r="98" spans="1:18" x14ac:dyDescent="0.3">
      <c r="A98" s="45"/>
      <c r="B98" s="46" t="s">
        <v>16</v>
      </c>
      <c r="C98" s="47">
        <v>14329</v>
      </c>
      <c r="D98" s="47">
        <v>7147</v>
      </c>
      <c r="E98" s="47">
        <v>6587</v>
      </c>
      <c r="F98" s="47">
        <v>5822</v>
      </c>
      <c r="G98" s="47">
        <v>2911</v>
      </c>
      <c r="H98" s="47">
        <v>75804</v>
      </c>
      <c r="I98" s="47">
        <v>6125</v>
      </c>
      <c r="J98" s="47">
        <v>8112</v>
      </c>
      <c r="K98" s="47">
        <v>1184522</v>
      </c>
      <c r="L98" s="47">
        <v>460</v>
      </c>
      <c r="M98" s="47">
        <v>1311</v>
      </c>
      <c r="N98" s="47">
        <v>31</v>
      </c>
      <c r="O98" s="47">
        <f t="shared" si="183"/>
        <v>20.081967213114755</v>
      </c>
      <c r="P98" s="49"/>
      <c r="Q98" s="48"/>
      <c r="R98" s="54"/>
    </row>
    <row r="99" spans="1:18" x14ac:dyDescent="0.3">
      <c r="A99" s="33"/>
      <c r="B99" s="7" t="s">
        <v>17</v>
      </c>
      <c r="C99" s="8">
        <f>ROUND((C98*0.02),0)</f>
        <v>287</v>
      </c>
      <c r="D99" s="8">
        <v>0</v>
      </c>
      <c r="E99" s="8">
        <v>0</v>
      </c>
      <c r="F99" s="8">
        <v>0</v>
      </c>
      <c r="G99" s="8">
        <v>0</v>
      </c>
      <c r="H99" s="8">
        <f>ROUND(H98*0.01,0)</f>
        <v>758</v>
      </c>
      <c r="I99" s="8">
        <f>I98*0.01</f>
        <v>61.25</v>
      </c>
      <c r="J99" s="8">
        <f>J98*0.05</f>
        <v>405.6</v>
      </c>
      <c r="K99" s="8">
        <f>K98*0.05</f>
        <v>59226.100000000006</v>
      </c>
      <c r="L99" s="8">
        <v>0</v>
      </c>
      <c r="M99" s="8">
        <v>0</v>
      </c>
      <c r="N99" s="8">
        <v>0</v>
      </c>
      <c r="O99" s="8">
        <f t="shared" si="183"/>
        <v>0.20081967213114754</v>
      </c>
      <c r="P99" s="23">
        <v>0.05</v>
      </c>
    </row>
    <row r="100" spans="1:18" x14ac:dyDescent="0.3">
      <c r="A100" s="34"/>
      <c r="B100" s="7" t="s">
        <v>22</v>
      </c>
      <c r="C100" s="8">
        <f>C98+C99</f>
        <v>14616</v>
      </c>
      <c r="D100" s="8">
        <f t="shared" ref="D100:N100" si="185">D98+D99</f>
        <v>7147</v>
      </c>
      <c r="E100" s="8">
        <f t="shared" si="185"/>
        <v>6587</v>
      </c>
      <c r="F100" s="8">
        <f t="shared" si="185"/>
        <v>5822</v>
      </c>
      <c r="G100" s="8">
        <f t="shared" si="185"/>
        <v>2911</v>
      </c>
      <c r="H100" s="8">
        <f t="shared" si="185"/>
        <v>76562</v>
      </c>
      <c r="I100" s="8">
        <f t="shared" si="185"/>
        <v>6186.25</v>
      </c>
      <c r="J100" s="8">
        <f t="shared" si="185"/>
        <v>8517.6</v>
      </c>
      <c r="K100" s="8">
        <f t="shared" si="185"/>
        <v>1243748.1000000001</v>
      </c>
      <c r="L100" s="8">
        <f t="shared" si="185"/>
        <v>460</v>
      </c>
      <c r="M100" s="8">
        <f t="shared" si="185"/>
        <v>1311</v>
      </c>
      <c r="N100" s="8">
        <f t="shared" si="185"/>
        <v>31</v>
      </c>
      <c r="O100" s="8">
        <f t="shared" si="183"/>
        <v>20.282786885245901</v>
      </c>
    </row>
    <row r="101" spans="1:18" x14ac:dyDescent="0.3">
      <c r="A101" s="28" t="s">
        <v>19</v>
      </c>
      <c r="B101" s="28"/>
      <c r="C101" s="29">
        <f>C96*C$1</f>
        <v>2244760</v>
      </c>
      <c r="D101" s="29">
        <f>D96*D$1</f>
        <v>1599570</v>
      </c>
      <c r="E101" s="29">
        <f t="shared" ref="E101:F101" si="186">E96*E$1</f>
        <v>868379.99999999988</v>
      </c>
      <c r="F101" s="29">
        <f t="shared" si="186"/>
        <v>1313100</v>
      </c>
      <c r="G101" s="29">
        <f>G96*G$1</f>
        <v>548910</v>
      </c>
      <c r="H101" s="29">
        <f t="shared" ref="H101:O101" si="187">H96*H$1</f>
        <v>2485560</v>
      </c>
      <c r="I101" s="29">
        <f t="shared" si="187"/>
        <v>951874.5</v>
      </c>
      <c r="J101" s="29">
        <f t="shared" si="187"/>
        <v>525500</v>
      </c>
      <c r="K101" s="29">
        <f t="shared" si="187"/>
        <v>13428000</v>
      </c>
      <c r="L101" s="29">
        <f t="shared" si="187"/>
        <v>3402783.9999999995</v>
      </c>
      <c r="M101" s="29">
        <f t="shared" si="187"/>
        <v>13644755.6</v>
      </c>
      <c r="N101" s="29">
        <f t="shared" si="187"/>
        <v>0</v>
      </c>
      <c r="O101" s="29">
        <f t="shared" si="187"/>
        <v>951874.5</v>
      </c>
      <c r="P101" s="29"/>
      <c r="Q101" s="28">
        <f>SUM(C101:N101)</f>
        <v>41013194.100000001</v>
      </c>
      <c r="R101" s="28"/>
    </row>
    <row r="102" spans="1:18" x14ac:dyDescent="0.3">
      <c r="A102" s="30" t="s">
        <v>20</v>
      </c>
      <c r="B102" s="43"/>
      <c r="C102" s="30">
        <f>C100*C$1</f>
        <v>2343529.44</v>
      </c>
      <c r="D102" s="30">
        <f t="shared" ref="D102:F102" si="188">D100*D$1</f>
        <v>1633160.97</v>
      </c>
      <c r="E102" s="30">
        <f t="shared" si="188"/>
        <v>953336.50999999989</v>
      </c>
      <c r="F102" s="30">
        <f t="shared" si="188"/>
        <v>1274144.7</v>
      </c>
      <c r="G102" s="30">
        <f>G100*G$1</f>
        <v>532625.67000000004</v>
      </c>
      <c r="H102" s="30">
        <f t="shared" ref="H102:N102" si="189">H100*H$1</f>
        <v>2265469.58</v>
      </c>
      <c r="I102" s="30">
        <f t="shared" si="189"/>
        <v>643555.58750000002</v>
      </c>
      <c r="J102" s="30">
        <f t="shared" si="189"/>
        <v>447599.88</v>
      </c>
      <c r="K102" s="30">
        <f t="shared" si="189"/>
        <v>13917541.239</v>
      </c>
      <c r="L102" s="30">
        <f t="shared" si="189"/>
        <v>3913201.5999999996</v>
      </c>
      <c r="M102" s="30">
        <f t="shared" si="189"/>
        <v>18253341.419999998</v>
      </c>
      <c r="N102" s="30">
        <f t="shared" si="189"/>
        <v>904191.57000000007</v>
      </c>
      <c r="O102" s="30">
        <f>O100*O$1</f>
        <v>643555.58750000002</v>
      </c>
      <c r="P102" s="30"/>
      <c r="Q102" s="30">
        <f>SUM(C102:N102)</f>
        <v>47081698.166499995</v>
      </c>
      <c r="R102" s="51"/>
    </row>
    <row r="103" spans="1:18" x14ac:dyDescent="0.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18" x14ac:dyDescent="0.3">
      <c r="A104" s="32" t="s">
        <v>33</v>
      </c>
      <c r="B104" s="4" t="s">
        <v>13</v>
      </c>
      <c r="C104" s="3">
        <f>C97-C100</f>
        <v>18926</v>
      </c>
      <c r="D104" s="3">
        <f>D97-D100</f>
        <v>8615</v>
      </c>
      <c r="E104" s="3">
        <f t="shared" ref="E104:N104" si="190">E97-E100</f>
        <v>-3184</v>
      </c>
      <c r="F104" s="3">
        <f t="shared" si="190"/>
        <v>-3099</v>
      </c>
      <c r="G104" s="3">
        <f t="shared" si="190"/>
        <v>-1555</v>
      </c>
      <c r="H104" s="3">
        <f t="shared" si="190"/>
        <v>1093</v>
      </c>
      <c r="I104" s="3">
        <f t="shared" si="190"/>
        <v>71017.37</v>
      </c>
      <c r="J104" s="3">
        <f t="shared" si="190"/>
        <v>32041.604999999996</v>
      </c>
      <c r="K104" s="3">
        <f t="shared" si="190"/>
        <v>1070671.4000000004</v>
      </c>
      <c r="L104" s="3">
        <f t="shared" si="190"/>
        <v>237</v>
      </c>
      <c r="M104" s="3">
        <f t="shared" si="190"/>
        <v>737</v>
      </c>
      <c r="N104" s="3">
        <f t="shared" si="190"/>
        <v>32</v>
      </c>
      <c r="O104" s="3">
        <f t="shared" ref="O104:O109" si="191">I104/305</f>
        <v>232.84383606557375</v>
      </c>
    </row>
    <row r="105" spans="1:18" x14ac:dyDescent="0.3">
      <c r="A105" s="33"/>
      <c r="B105" s="5" t="s">
        <v>14</v>
      </c>
      <c r="C105" s="6">
        <v>20000</v>
      </c>
      <c r="D105" s="6">
        <v>10000</v>
      </c>
      <c r="E105" s="6">
        <v>9000</v>
      </c>
      <c r="F105" s="6">
        <v>10000</v>
      </c>
      <c r="G105" s="6">
        <v>5000</v>
      </c>
      <c r="H105" s="6">
        <v>100000</v>
      </c>
      <c r="I105" s="6">
        <v>15250</v>
      </c>
      <c r="J105" s="6">
        <v>15000</v>
      </c>
      <c r="K105" s="6">
        <v>1600000</v>
      </c>
      <c r="L105" s="6">
        <v>440</v>
      </c>
      <c r="M105" s="6">
        <v>1200</v>
      </c>
      <c r="N105" s="6">
        <v>35</v>
      </c>
      <c r="O105" s="6">
        <f t="shared" si="191"/>
        <v>50</v>
      </c>
    </row>
    <row r="106" spans="1:18" x14ac:dyDescent="0.3">
      <c r="A106" s="33"/>
      <c r="B106" s="5" t="s">
        <v>15</v>
      </c>
      <c r="C106" s="6">
        <f>C104+C105</f>
        <v>38926</v>
      </c>
      <c r="D106" s="6">
        <f t="shared" ref="D106:N106" si="192">D104+D105</f>
        <v>18615</v>
      </c>
      <c r="E106" s="6">
        <f t="shared" si="192"/>
        <v>5816</v>
      </c>
      <c r="F106" s="6">
        <f t="shared" si="192"/>
        <v>6901</v>
      </c>
      <c r="G106" s="6">
        <f t="shared" si="192"/>
        <v>3445</v>
      </c>
      <c r="H106" s="6">
        <f t="shared" si="192"/>
        <v>101093</v>
      </c>
      <c r="I106" s="6">
        <f t="shared" si="192"/>
        <v>86267.37</v>
      </c>
      <c r="J106" s="6">
        <f t="shared" si="192"/>
        <v>47041.604999999996</v>
      </c>
      <c r="K106" s="6">
        <f t="shared" si="192"/>
        <v>2670671.4000000004</v>
      </c>
      <c r="L106" s="6">
        <f t="shared" si="192"/>
        <v>677</v>
      </c>
      <c r="M106" s="6">
        <f t="shared" si="192"/>
        <v>1937</v>
      </c>
      <c r="N106" s="6">
        <f t="shared" si="192"/>
        <v>67</v>
      </c>
      <c r="O106" s="6">
        <f t="shared" si="191"/>
        <v>282.84383606557378</v>
      </c>
    </row>
    <row r="107" spans="1:18" x14ac:dyDescent="0.3">
      <c r="A107" s="45"/>
      <c r="B107" s="46" t="s">
        <v>16</v>
      </c>
      <c r="C107" s="47">
        <v>16261</v>
      </c>
      <c r="D107" s="47">
        <v>8113</v>
      </c>
      <c r="E107" s="47">
        <v>7422</v>
      </c>
      <c r="F107" s="47">
        <v>6555</v>
      </c>
      <c r="G107" s="47">
        <v>3277.5</v>
      </c>
      <c r="H107" s="47">
        <v>86347</v>
      </c>
      <c r="I107" s="47">
        <v>6731</v>
      </c>
      <c r="J107" s="47">
        <v>9036</v>
      </c>
      <c r="K107" s="47">
        <v>1355974</v>
      </c>
      <c r="L107" s="47">
        <v>495</v>
      </c>
      <c r="M107" s="47">
        <v>1469</v>
      </c>
      <c r="N107" s="47">
        <v>35</v>
      </c>
      <c r="O107" s="47">
        <f t="shared" si="191"/>
        <v>22.068852459016394</v>
      </c>
      <c r="P107" s="49"/>
      <c r="Q107" s="48"/>
      <c r="R107" s="54"/>
    </row>
    <row r="108" spans="1:18" x14ac:dyDescent="0.3">
      <c r="A108" s="33"/>
      <c r="B108" s="7" t="s">
        <v>17</v>
      </c>
      <c r="C108" s="8">
        <f>ROUND((C107*0.02),0)</f>
        <v>325</v>
      </c>
      <c r="D108" s="8">
        <v>0</v>
      </c>
      <c r="E108" s="8">
        <v>0</v>
      </c>
      <c r="F108" s="8">
        <v>0</v>
      </c>
      <c r="G108" s="8">
        <v>0</v>
      </c>
      <c r="H108" s="8">
        <f>ROUND(H107*0.01,0)</f>
        <v>863</v>
      </c>
      <c r="I108" s="8">
        <f>I107*0.01</f>
        <v>67.31</v>
      </c>
      <c r="J108" s="8">
        <f>J107*0.05</f>
        <v>451.8</v>
      </c>
      <c r="K108" s="8">
        <f>K107*0.05</f>
        <v>67798.7</v>
      </c>
      <c r="L108" s="8">
        <v>0</v>
      </c>
      <c r="M108" s="8">
        <v>0</v>
      </c>
      <c r="N108" s="8">
        <v>0</v>
      </c>
      <c r="O108" s="8">
        <f t="shared" si="191"/>
        <v>0.22068852459016394</v>
      </c>
      <c r="P108" s="23">
        <v>0.05</v>
      </c>
    </row>
    <row r="109" spans="1:18" x14ac:dyDescent="0.3">
      <c r="A109" s="34"/>
      <c r="B109" s="7" t="s">
        <v>22</v>
      </c>
      <c r="C109" s="8">
        <f>C107+C108</f>
        <v>16586</v>
      </c>
      <c r="D109" s="8">
        <f t="shared" ref="D109:N109" si="193">D107+D108</f>
        <v>8113</v>
      </c>
      <c r="E109" s="8">
        <f t="shared" si="193"/>
        <v>7422</v>
      </c>
      <c r="F109" s="8">
        <f t="shared" si="193"/>
        <v>6555</v>
      </c>
      <c r="G109" s="8">
        <f t="shared" si="193"/>
        <v>3277.5</v>
      </c>
      <c r="H109" s="8">
        <f t="shared" si="193"/>
        <v>87210</v>
      </c>
      <c r="I109" s="8">
        <f t="shared" si="193"/>
        <v>6798.31</v>
      </c>
      <c r="J109" s="8">
        <f t="shared" si="193"/>
        <v>9487.7999999999993</v>
      </c>
      <c r="K109" s="8">
        <f t="shared" si="193"/>
        <v>1423772.7</v>
      </c>
      <c r="L109" s="8">
        <f t="shared" si="193"/>
        <v>495</v>
      </c>
      <c r="M109" s="8">
        <f t="shared" si="193"/>
        <v>1469</v>
      </c>
      <c r="N109" s="8">
        <f t="shared" si="193"/>
        <v>35</v>
      </c>
      <c r="O109" s="8">
        <f t="shared" si="191"/>
        <v>22.28954098360656</v>
      </c>
    </row>
    <row r="110" spans="1:18" x14ac:dyDescent="0.3">
      <c r="A110" s="28" t="s">
        <v>19</v>
      </c>
      <c r="B110" s="28"/>
      <c r="C110" s="29">
        <f>C105*C$1</f>
        <v>3206800</v>
      </c>
      <c r="D110" s="29">
        <f>D105*D$1</f>
        <v>2285100</v>
      </c>
      <c r="E110" s="29">
        <f t="shared" ref="E110:F110" si="194">E105*E$1</f>
        <v>1302570</v>
      </c>
      <c r="F110" s="29">
        <f t="shared" si="194"/>
        <v>2188500</v>
      </c>
      <c r="G110" s="29">
        <f>G105*G$1</f>
        <v>914850</v>
      </c>
      <c r="H110" s="29">
        <f t="shared" ref="H110:O110" si="195">H105*H$1</f>
        <v>2959000</v>
      </c>
      <c r="I110" s="29">
        <f t="shared" si="195"/>
        <v>1586457.5</v>
      </c>
      <c r="J110" s="29">
        <f t="shared" si="195"/>
        <v>788250</v>
      </c>
      <c r="K110" s="29">
        <f t="shared" si="195"/>
        <v>17904000</v>
      </c>
      <c r="L110" s="29">
        <f t="shared" si="195"/>
        <v>3743062.3999999994</v>
      </c>
      <c r="M110" s="29">
        <f t="shared" si="195"/>
        <v>16707864</v>
      </c>
      <c r="N110" s="29">
        <f t="shared" si="195"/>
        <v>1020861.4500000001</v>
      </c>
      <c r="O110" s="29">
        <f t="shared" si="195"/>
        <v>1586457.5</v>
      </c>
      <c r="P110" s="29"/>
      <c r="Q110" s="28">
        <f>SUM(C110:N110)</f>
        <v>54607315.350000001</v>
      </c>
      <c r="R110" s="28"/>
    </row>
    <row r="111" spans="1:18" x14ac:dyDescent="0.3">
      <c r="A111" s="30" t="s">
        <v>20</v>
      </c>
      <c r="B111" s="43"/>
      <c r="C111" s="30">
        <f>C109*C$1</f>
        <v>2659399.2400000002</v>
      </c>
      <c r="D111" s="30">
        <f t="shared" ref="D111:F111" si="196">D109*D$1</f>
        <v>1853901.63</v>
      </c>
      <c r="E111" s="30">
        <f t="shared" si="196"/>
        <v>1074186.0599999998</v>
      </c>
      <c r="F111" s="30">
        <f t="shared" si="196"/>
        <v>1434561.75</v>
      </c>
      <c r="G111" s="30">
        <f>G109*G$1</f>
        <v>599684.17500000005</v>
      </c>
      <c r="H111" s="30">
        <f t="shared" ref="H111:N111" si="197">H109*H$1</f>
        <v>2580543.9</v>
      </c>
      <c r="I111" s="30">
        <f t="shared" si="197"/>
        <v>707228.18930000009</v>
      </c>
      <c r="J111" s="30">
        <f t="shared" si="197"/>
        <v>498583.88999999996</v>
      </c>
      <c r="K111" s="30">
        <f t="shared" si="197"/>
        <v>15932016.512999998</v>
      </c>
      <c r="L111" s="30">
        <f t="shared" si="197"/>
        <v>4210945.1999999993</v>
      </c>
      <c r="M111" s="30">
        <f t="shared" si="197"/>
        <v>20453210.18</v>
      </c>
      <c r="N111" s="30">
        <f t="shared" si="197"/>
        <v>1020861.4500000001</v>
      </c>
      <c r="O111" s="30">
        <f>O109*O$1</f>
        <v>707228.18930000009</v>
      </c>
      <c r="P111" s="30"/>
      <c r="Q111" s="30">
        <f>SUM(C111:N111)</f>
        <v>53025122.177300006</v>
      </c>
      <c r="R111" s="51"/>
    </row>
    <row r="112" spans="1:18" x14ac:dyDescent="0.3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8 16379:16379" x14ac:dyDescent="0.3">
      <c r="A113" s="32" t="s">
        <v>34</v>
      </c>
      <c r="B113" s="4" t="s">
        <v>13</v>
      </c>
      <c r="C113" s="3">
        <f>C106-C109</f>
        <v>22340</v>
      </c>
      <c r="D113" s="3">
        <f>D106-D109</f>
        <v>10502</v>
      </c>
      <c r="E113" s="3">
        <f t="shared" ref="E113:N113" si="198">E106-E109</f>
        <v>-1606</v>
      </c>
      <c r="F113" s="3">
        <f t="shared" si="198"/>
        <v>346</v>
      </c>
      <c r="G113" s="3">
        <f t="shared" si="198"/>
        <v>167.5</v>
      </c>
      <c r="H113" s="3">
        <f t="shared" si="198"/>
        <v>13883</v>
      </c>
      <c r="I113" s="3">
        <f>I106-I109</f>
        <v>79469.06</v>
      </c>
      <c r="J113" s="3">
        <f t="shared" si="198"/>
        <v>37553.804999999993</v>
      </c>
      <c r="K113" s="3">
        <f t="shared" si="198"/>
        <v>1246898.7000000004</v>
      </c>
      <c r="L113" s="3">
        <f t="shared" si="198"/>
        <v>182</v>
      </c>
      <c r="M113" s="3">
        <f t="shared" si="198"/>
        <v>468</v>
      </c>
      <c r="N113" s="3">
        <f t="shared" si="198"/>
        <v>32</v>
      </c>
      <c r="O113" s="3">
        <f t="shared" ref="O113:O118" si="199">I113/305</f>
        <v>260.55429508196721</v>
      </c>
    </row>
    <row r="114" spans="1:18 16379:16379" x14ac:dyDescent="0.3">
      <c r="A114" s="33"/>
      <c r="B114" s="5" t="s">
        <v>14</v>
      </c>
      <c r="C114" s="6">
        <v>14000</v>
      </c>
      <c r="D114" s="6">
        <v>6000</v>
      </c>
      <c r="E114" s="6">
        <v>6000</v>
      </c>
      <c r="F114" s="6">
        <v>8000</v>
      </c>
      <c r="G114" s="6">
        <v>4000</v>
      </c>
      <c r="H114" s="6">
        <v>74000</v>
      </c>
      <c r="I114" s="6">
        <v>0</v>
      </c>
      <c r="J114" s="6">
        <v>10000</v>
      </c>
      <c r="K114" s="6">
        <v>1300000</v>
      </c>
      <c r="L114" s="6">
        <v>420</v>
      </c>
      <c r="M114" s="6">
        <v>1340</v>
      </c>
      <c r="N114" s="6">
        <v>20</v>
      </c>
      <c r="O114" s="6">
        <f t="shared" si="199"/>
        <v>0</v>
      </c>
    </row>
    <row r="115" spans="1:18 16379:16379" x14ac:dyDescent="0.3">
      <c r="A115" s="33"/>
      <c r="B115" s="5" t="s">
        <v>15</v>
      </c>
      <c r="C115" s="6">
        <f>C113+C114</f>
        <v>36340</v>
      </c>
      <c r="D115" s="6">
        <f t="shared" ref="D115:N115" si="200">D113+D114</f>
        <v>16502</v>
      </c>
      <c r="E115" s="6">
        <f t="shared" si="200"/>
        <v>4394</v>
      </c>
      <c r="F115" s="6">
        <f t="shared" si="200"/>
        <v>8346</v>
      </c>
      <c r="G115" s="6">
        <f t="shared" si="200"/>
        <v>4167.5</v>
      </c>
      <c r="H115" s="6">
        <f t="shared" si="200"/>
        <v>87883</v>
      </c>
      <c r="I115" s="6">
        <f t="shared" si="200"/>
        <v>79469.06</v>
      </c>
      <c r="J115" s="6">
        <f t="shared" si="200"/>
        <v>47553.804999999993</v>
      </c>
      <c r="K115" s="6">
        <f t="shared" si="200"/>
        <v>2546898.7000000002</v>
      </c>
      <c r="L115" s="6">
        <f t="shared" si="200"/>
        <v>602</v>
      </c>
      <c r="M115" s="6">
        <f t="shared" si="200"/>
        <v>1808</v>
      </c>
      <c r="N115" s="6">
        <f t="shared" si="200"/>
        <v>52</v>
      </c>
      <c r="O115" s="6">
        <f t="shared" si="199"/>
        <v>260.55429508196721</v>
      </c>
    </row>
    <row r="116" spans="1:18 16379:16379" x14ac:dyDescent="0.3">
      <c r="A116" s="45"/>
      <c r="B116" s="46" t="s">
        <v>16</v>
      </c>
      <c r="C116" s="47">
        <v>16808</v>
      </c>
      <c r="D116" s="47">
        <v>8381</v>
      </c>
      <c r="E116" s="47">
        <v>7666</v>
      </c>
      <c r="F116" s="47">
        <v>6407</v>
      </c>
      <c r="G116" s="47">
        <v>3203</v>
      </c>
      <c r="H116" s="47">
        <v>88453</v>
      </c>
      <c r="I116" s="47">
        <v>6647</v>
      </c>
      <c r="J116" s="47">
        <v>11031</v>
      </c>
      <c r="K116" s="47">
        <v>1381662</v>
      </c>
      <c r="L116" s="47">
        <v>467</v>
      </c>
      <c r="M116" s="47">
        <v>1436</v>
      </c>
      <c r="N116" s="47">
        <v>41</v>
      </c>
      <c r="O116" s="47">
        <f t="shared" si="199"/>
        <v>21.79344262295082</v>
      </c>
      <c r="P116" s="49"/>
      <c r="Q116" s="48"/>
      <c r="R116" s="54"/>
    </row>
    <row r="117" spans="1:18 16379:16379" x14ac:dyDescent="0.3">
      <c r="A117" s="33"/>
      <c r="B117" s="7" t="s">
        <v>17</v>
      </c>
      <c r="C117" s="8">
        <f>ROUND((C116*0.02),0)</f>
        <v>336</v>
      </c>
      <c r="D117" s="8">
        <v>0</v>
      </c>
      <c r="E117" s="8">
        <v>0</v>
      </c>
      <c r="F117" s="8">
        <v>0</v>
      </c>
      <c r="G117" s="8">
        <v>0</v>
      </c>
      <c r="H117" s="8">
        <f>ROUND(H116*0.01,0)</f>
        <v>885</v>
      </c>
      <c r="I117" s="8">
        <f>I116*0.01</f>
        <v>66.47</v>
      </c>
      <c r="J117" s="8">
        <f>J116*0.05</f>
        <v>551.55000000000007</v>
      </c>
      <c r="K117" s="8">
        <f>K116*0.05</f>
        <v>69083.100000000006</v>
      </c>
      <c r="L117" s="8">
        <v>0</v>
      </c>
      <c r="M117" s="8">
        <v>0</v>
      </c>
      <c r="N117" s="8">
        <v>0</v>
      </c>
      <c r="O117" s="8">
        <f t="shared" si="199"/>
        <v>0.2179344262295082</v>
      </c>
      <c r="P117" s="23">
        <v>0.05</v>
      </c>
    </row>
    <row r="118" spans="1:18 16379:16379" x14ac:dyDescent="0.3">
      <c r="A118" s="34"/>
      <c r="B118" s="7" t="s">
        <v>22</v>
      </c>
      <c r="C118" s="8">
        <f>C116+C117</f>
        <v>17144</v>
      </c>
      <c r="D118" s="8">
        <f t="shared" ref="D118:N118" si="201">D116+D117</f>
        <v>8381</v>
      </c>
      <c r="E118" s="8">
        <f t="shared" si="201"/>
        <v>7666</v>
      </c>
      <c r="F118" s="8">
        <f t="shared" si="201"/>
        <v>6407</v>
      </c>
      <c r="G118" s="8">
        <f t="shared" si="201"/>
        <v>3203</v>
      </c>
      <c r="H118" s="8">
        <f t="shared" si="201"/>
        <v>89338</v>
      </c>
      <c r="I118" s="8">
        <f t="shared" si="201"/>
        <v>6713.47</v>
      </c>
      <c r="J118" s="8">
        <f t="shared" si="201"/>
        <v>11582.55</v>
      </c>
      <c r="K118" s="8">
        <f t="shared" si="201"/>
        <v>1450745.1</v>
      </c>
      <c r="L118" s="8">
        <f t="shared" si="201"/>
        <v>467</v>
      </c>
      <c r="M118" s="8">
        <f t="shared" si="201"/>
        <v>1436</v>
      </c>
      <c r="N118" s="8">
        <f t="shared" si="201"/>
        <v>41</v>
      </c>
      <c r="O118" s="8">
        <f t="shared" si="199"/>
        <v>22.011377049180329</v>
      </c>
    </row>
    <row r="119" spans="1:18 16379:16379" x14ac:dyDescent="0.3">
      <c r="A119" s="28" t="s">
        <v>19</v>
      </c>
      <c r="B119" s="28"/>
      <c r="C119" s="29">
        <f>C114*C$1</f>
        <v>2244760</v>
      </c>
      <c r="D119" s="29">
        <f>D114*D$1</f>
        <v>1371060</v>
      </c>
      <c r="E119" s="29">
        <f t="shared" ref="E119:F119" si="202">E114*E$1</f>
        <v>868379.99999999988</v>
      </c>
      <c r="F119" s="29">
        <f t="shared" si="202"/>
        <v>1750800</v>
      </c>
      <c r="G119" s="29">
        <f>G114*G$1</f>
        <v>731880</v>
      </c>
      <c r="H119" s="29">
        <f t="shared" ref="H119:O119" si="203">H114*H$1</f>
        <v>2189660</v>
      </c>
      <c r="I119" s="29">
        <f t="shared" si="203"/>
        <v>0</v>
      </c>
      <c r="J119" s="29">
        <f t="shared" si="203"/>
        <v>525500</v>
      </c>
      <c r="K119" s="29">
        <f t="shared" si="203"/>
        <v>14547000</v>
      </c>
      <c r="L119" s="29">
        <f t="shared" si="203"/>
        <v>3572923.1999999997</v>
      </c>
      <c r="M119" s="29">
        <f t="shared" si="203"/>
        <v>18657114.800000001</v>
      </c>
      <c r="N119" s="29">
        <f t="shared" si="203"/>
        <v>583349.4</v>
      </c>
      <c r="O119" s="29">
        <f t="shared" si="203"/>
        <v>0</v>
      </c>
      <c r="P119" s="29"/>
      <c r="Q119" s="28">
        <f>SUM(C119:N119)</f>
        <v>47042427.399999999</v>
      </c>
      <c r="R119" s="28"/>
    </row>
    <row r="120" spans="1:18 16379:16379" x14ac:dyDescent="0.3">
      <c r="A120" s="30" t="s">
        <v>20</v>
      </c>
      <c r="B120" s="43"/>
      <c r="C120" s="30">
        <f>C118*C$1</f>
        <v>2748868.96</v>
      </c>
      <c r="D120" s="30">
        <f t="shared" ref="D120:F120" si="204">D118*D$1</f>
        <v>1915142.3099999998</v>
      </c>
      <c r="E120" s="30">
        <f t="shared" si="204"/>
        <v>1109500.18</v>
      </c>
      <c r="F120" s="30">
        <f t="shared" si="204"/>
        <v>1402171.95</v>
      </c>
      <c r="G120" s="30">
        <f>G118*G$1</f>
        <v>586052.91</v>
      </c>
      <c r="H120" s="30">
        <f t="shared" ref="H120:N120" si="205">H118*H$1</f>
        <v>2643511.42</v>
      </c>
      <c r="I120" s="30">
        <f t="shared" si="205"/>
        <v>698402.28410000005</v>
      </c>
      <c r="J120" s="30">
        <f t="shared" si="205"/>
        <v>608663.00249999994</v>
      </c>
      <c r="K120" s="30">
        <f t="shared" si="205"/>
        <v>16233837.669</v>
      </c>
      <c r="L120" s="30">
        <f t="shared" si="205"/>
        <v>3972750.3199999994</v>
      </c>
      <c r="M120" s="30">
        <f t="shared" si="205"/>
        <v>19993743.919999998</v>
      </c>
      <c r="N120" s="30">
        <f t="shared" si="205"/>
        <v>1195866.27</v>
      </c>
      <c r="O120" s="30">
        <f>O118*O$1</f>
        <v>698402.28410000005</v>
      </c>
      <c r="P120" s="30"/>
      <c r="Q120" s="30">
        <f>SUM(C120:N120)</f>
        <v>53108511.195599996</v>
      </c>
      <c r="R120" s="51"/>
    </row>
    <row r="121" spans="1:18 16379:16379" s="50" customFormat="1" x14ac:dyDescent="0.3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/>
      <c r="XEY121"/>
    </row>
    <row r="122" spans="1:18 16379:16379" s="50" customFormat="1" x14ac:dyDescent="0.3">
      <c r="A122" s="32" t="s">
        <v>21</v>
      </c>
      <c r="B122" s="4" t="s">
        <v>13</v>
      </c>
      <c r="C122" s="3">
        <f>C115-C118</f>
        <v>19196</v>
      </c>
      <c r="D122" s="3">
        <f>D115-D118</f>
        <v>8121</v>
      </c>
      <c r="E122" s="3">
        <f t="shared" ref="E122:H122" si="206">E115-E118</f>
        <v>-3272</v>
      </c>
      <c r="F122" s="3">
        <f t="shared" si="206"/>
        <v>1939</v>
      </c>
      <c r="G122" s="3">
        <f t="shared" si="206"/>
        <v>964.5</v>
      </c>
      <c r="H122" s="3">
        <f t="shared" si="206"/>
        <v>-1455</v>
      </c>
      <c r="I122" s="3">
        <f>I115-I118</f>
        <v>72755.59</v>
      </c>
      <c r="J122" s="3">
        <f t="shared" ref="J122:N122" si="207">J115-J118</f>
        <v>35971.25499999999</v>
      </c>
      <c r="K122" s="3">
        <f t="shared" si="207"/>
        <v>1096153.6000000001</v>
      </c>
      <c r="L122" s="3">
        <f t="shared" si="207"/>
        <v>135</v>
      </c>
      <c r="M122" s="3">
        <f t="shared" si="207"/>
        <v>372</v>
      </c>
      <c r="N122" s="3">
        <f t="shared" si="207"/>
        <v>11</v>
      </c>
      <c r="O122" s="3">
        <f t="shared" ref="O122:O127" si="208">I122/305</f>
        <v>238.54291803278687</v>
      </c>
      <c r="P122"/>
      <c r="Q122">
        <f>K122/2000</f>
        <v>548.07680000000005</v>
      </c>
      <c r="R122"/>
      <c r="XEY122"/>
    </row>
    <row r="123" spans="1:18 16379:16379" s="50" customFormat="1" x14ac:dyDescent="0.3">
      <c r="A123" s="33"/>
      <c r="B123" s="5" t="s">
        <v>14</v>
      </c>
      <c r="C123" s="6">
        <v>20000</v>
      </c>
      <c r="D123" s="6">
        <v>8000</v>
      </c>
      <c r="E123" s="6">
        <v>7000</v>
      </c>
      <c r="F123" s="6">
        <v>8000</v>
      </c>
      <c r="G123" s="6">
        <v>4000</v>
      </c>
      <c r="H123" s="6">
        <v>80000</v>
      </c>
      <c r="I123" s="6">
        <v>0</v>
      </c>
      <c r="J123" s="6">
        <v>10000</v>
      </c>
      <c r="K123" s="6">
        <v>1300000</v>
      </c>
      <c r="L123" s="6">
        <v>460</v>
      </c>
      <c r="M123" s="6">
        <v>1475</v>
      </c>
      <c r="N123" s="6">
        <v>20</v>
      </c>
      <c r="O123" s="6">
        <f t="shared" si="208"/>
        <v>0</v>
      </c>
      <c r="P123"/>
      <c r="Q123"/>
      <c r="R123"/>
      <c r="XEY123"/>
    </row>
    <row r="124" spans="1:18 16379:16379" s="50" customFormat="1" x14ac:dyDescent="0.3">
      <c r="A124" s="33"/>
      <c r="B124" s="5" t="s">
        <v>15</v>
      </c>
      <c r="C124" s="6">
        <f>C122+C123</f>
        <v>39196</v>
      </c>
      <c r="D124" s="6">
        <f t="shared" ref="D124:N124" si="209">D122+D123</f>
        <v>16121</v>
      </c>
      <c r="E124" s="6">
        <f t="shared" si="209"/>
        <v>3728</v>
      </c>
      <c r="F124" s="6">
        <f t="shared" si="209"/>
        <v>9939</v>
      </c>
      <c r="G124" s="6">
        <f t="shared" si="209"/>
        <v>4964.5</v>
      </c>
      <c r="H124" s="6">
        <f t="shared" si="209"/>
        <v>78545</v>
      </c>
      <c r="I124" s="6">
        <f t="shared" si="209"/>
        <v>72755.59</v>
      </c>
      <c r="J124" s="6">
        <f t="shared" si="209"/>
        <v>45971.25499999999</v>
      </c>
      <c r="K124" s="6">
        <f t="shared" si="209"/>
        <v>2396153.6</v>
      </c>
      <c r="L124" s="6">
        <f t="shared" si="209"/>
        <v>595</v>
      </c>
      <c r="M124" s="6">
        <f t="shared" si="209"/>
        <v>1847</v>
      </c>
      <c r="N124" s="6">
        <f t="shared" si="209"/>
        <v>31</v>
      </c>
      <c r="O124" s="6">
        <f t="shared" si="208"/>
        <v>238.54291803278687</v>
      </c>
      <c r="P124"/>
      <c r="Q124"/>
      <c r="R124"/>
      <c r="XEY124"/>
    </row>
    <row r="125" spans="1:18 16379:16379" s="50" customFormat="1" x14ac:dyDescent="0.3">
      <c r="A125" s="45"/>
      <c r="B125" s="46" t="s">
        <v>16</v>
      </c>
      <c r="C125" s="47">
        <v>16465</v>
      </c>
      <c r="D125" s="47">
        <v>8227</v>
      </c>
      <c r="E125" s="47">
        <v>7542</v>
      </c>
      <c r="F125" s="47">
        <v>6359</v>
      </c>
      <c r="G125" s="47">
        <v>3771</v>
      </c>
      <c r="H125" s="47">
        <v>86949</v>
      </c>
      <c r="I125" s="47">
        <v>6813</v>
      </c>
      <c r="J125" s="47">
        <v>10531</v>
      </c>
      <c r="K125" s="47">
        <v>1355486</v>
      </c>
      <c r="L125" s="47">
        <v>485</v>
      </c>
      <c r="M125" s="47">
        <v>1438</v>
      </c>
      <c r="N125" s="47">
        <v>32</v>
      </c>
      <c r="O125" s="47">
        <f t="shared" si="208"/>
        <v>22.337704918032788</v>
      </c>
      <c r="P125" s="49"/>
      <c r="Q125" s="48"/>
      <c r="R125" s="54"/>
      <c r="XEY125"/>
    </row>
    <row r="126" spans="1:18 16379:16379" s="50" customFormat="1" x14ac:dyDescent="0.3">
      <c r="A126" s="33"/>
      <c r="B126" s="7" t="s">
        <v>17</v>
      </c>
      <c r="C126" s="8">
        <f>ROUND((C125*0.02),0)</f>
        <v>329</v>
      </c>
      <c r="D126" s="8">
        <v>0</v>
      </c>
      <c r="E126" s="8">
        <v>0</v>
      </c>
      <c r="F126" s="8">
        <v>0</v>
      </c>
      <c r="G126" s="8">
        <v>0</v>
      </c>
      <c r="H126" s="8">
        <f>ROUND(H125*0.01,0)</f>
        <v>869</v>
      </c>
      <c r="I126" s="8">
        <f>I125*0.01</f>
        <v>68.13</v>
      </c>
      <c r="J126" s="8">
        <f>J125*0.05</f>
        <v>526.55000000000007</v>
      </c>
      <c r="K126" s="8">
        <f>K125*0.05</f>
        <v>67774.3</v>
      </c>
      <c r="L126" s="8">
        <v>0</v>
      </c>
      <c r="M126" s="8">
        <v>0</v>
      </c>
      <c r="N126" s="8">
        <v>0</v>
      </c>
      <c r="O126" s="8">
        <f t="shared" si="208"/>
        <v>0.22337704918032786</v>
      </c>
      <c r="P126" s="23">
        <v>0.05</v>
      </c>
      <c r="Q126"/>
      <c r="R126"/>
      <c r="XEY126"/>
    </row>
    <row r="127" spans="1:18 16379:16379" s="50" customFormat="1" x14ac:dyDescent="0.3">
      <c r="A127" s="34"/>
      <c r="B127" s="7" t="s">
        <v>22</v>
      </c>
      <c r="C127" s="8">
        <f>C125+C126</f>
        <v>16794</v>
      </c>
      <c r="D127" s="8">
        <f t="shared" ref="D127:N127" si="210">D125+D126</f>
        <v>8227</v>
      </c>
      <c r="E127" s="8">
        <f t="shared" si="210"/>
        <v>7542</v>
      </c>
      <c r="F127" s="8">
        <f t="shared" si="210"/>
        <v>6359</v>
      </c>
      <c r="G127" s="8">
        <f t="shared" si="210"/>
        <v>3771</v>
      </c>
      <c r="H127" s="8">
        <f t="shared" si="210"/>
        <v>87818</v>
      </c>
      <c r="I127" s="8">
        <f t="shared" si="210"/>
        <v>6881.13</v>
      </c>
      <c r="J127" s="8">
        <f t="shared" si="210"/>
        <v>11057.55</v>
      </c>
      <c r="K127" s="8">
        <f t="shared" si="210"/>
        <v>1423260.3</v>
      </c>
      <c r="L127" s="8">
        <f t="shared" si="210"/>
        <v>485</v>
      </c>
      <c r="M127" s="8">
        <f t="shared" si="210"/>
        <v>1438</v>
      </c>
      <c r="N127" s="8">
        <f t="shared" si="210"/>
        <v>32</v>
      </c>
      <c r="O127" s="8">
        <f t="shared" si="208"/>
        <v>22.561081967213116</v>
      </c>
      <c r="P127"/>
      <c r="Q127"/>
      <c r="R127"/>
      <c r="XEY127"/>
    </row>
    <row r="128" spans="1:18 16379:16379" s="50" customFormat="1" x14ac:dyDescent="0.3">
      <c r="A128" s="28" t="s">
        <v>19</v>
      </c>
      <c r="B128" s="28"/>
      <c r="C128" s="29">
        <f>C123*C$1</f>
        <v>3206800</v>
      </c>
      <c r="D128" s="29">
        <f>D123*D$1</f>
        <v>1828080</v>
      </c>
      <c r="E128" s="29">
        <f t="shared" ref="E128:F128" si="211">E123*E$1</f>
        <v>1013109.9999999999</v>
      </c>
      <c r="F128" s="29">
        <f t="shared" si="211"/>
        <v>1750800</v>
      </c>
      <c r="G128" s="29">
        <f>G123*G$1</f>
        <v>731880</v>
      </c>
      <c r="H128" s="29">
        <f t="shared" ref="H128:O128" si="212">H123*H$1</f>
        <v>2367200</v>
      </c>
      <c r="I128" s="29">
        <f t="shared" si="212"/>
        <v>0</v>
      </c>
      <c r="J128" s="29">
        <f t="shared" si="212"/>
        <v>525500</v>
      </c>
      <c r="K128" s="29">
        <f t="shared" si="212"/>
        <v>14547000</v>
      </c>
      <c r="L128" s="29">
        <f t="shared" si="212"/>
        <v>3913201.5999999996</v>
      </c>
      <c r="M128" s="29">
        <f t="shared" si="212"/>
        <v>20536749.5</v>
      </c>
      <c r="N128" s="29">
        <f t="shared" si="212"/>
        <v>583349.4</v>
      </c>
      <c r="O128" s="29">
        <f t="shared" si="212"/>
        <v>0</v>
      </c>
      <c r="P128" s="29"/>
      <c r="Q128" s="28">
        <f>SUM(C128:N128)</f>
        <v>51003670.5</v>
      </c>
      <c r="R128" s="28"/>
      <c r="XEY128"/>
    </row>
    <row r="129" spans="1:18 16379:16379" x14ac:dyDescent="0.3">
      <c r="A129" s="30" t="s">
        <v>20</v>
      </c>
      <c r="B129" s="43"/>
      <c r="C129" s="30">
        <f>C127*C$1</f>
        <v>2692749.96</v>
      </c>
      <c r="D129" s="30">
        <f t="shared" ref="D129:F129" si="213">D127*D$1</f>
        <v>1879951.77</v>
      </c>
      <c r="E129" s="30">
        <f t="shared" si="213"/>
        <v>1091553.6599999999</v>
      </c>
      <c r="F129" s="30">
        <f t="shared" si="213"/>
        <v>1391667.15</v>
      </c>
      <c r="G129" s="30">
        <f>G127*G$1</f>
        <v>689979.87</v>
      </c>
      <c r="H129" s="30">
        <f t="shared" ref="H129:N129" si="214">H127*H$1</f>
        <v>2598534.62</v>
      </c>
      <c r="I129" s="30">
        <f t="shared" si="214"/>
        <v>715843.95389999996</v>
      </c>
      <c r="J129" s="30">
        <f t="shared" si="214"/>
        <v>581074.25249999994</v>
      </c>
      <c r="K129" s="30">
        <f t="shared" si="214"/>
        <v>15926282.756999999</v>
      </c>
      <c r="L129" s="30">
        <f t="shared" si="214"/>
        <v>4125875.5999999996</v>
      </c>
      <c r="M129" s="30">
        <f t="shared" si="214"/>
        <v>20021590.359999999</v>
      </c>
      <c r="N129" s="30">
        <f t="shared" si="214"/>
        <v>933359.04</v>
      </c>
      <c r="O129" s="30">
        <f>O127*O$1</f>
        <v>715843.95390000008</v>
      </c>
      <c r="P129" s="30"/>
      <c r="Q129" s="30">
        <f>SUM(C129:N129)</f>
        <v>52648462.9934</v>
      </c>
      <c r="R129" s="51"/>
    </row>
    <row r="130" spans="1:18 16379:16379" s="50" customFormat="1" x14ac:dyDescent="0.3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/>
      <c r="XEY130"/>
    </row>
    <row r="131" spans="1:18 16379:16379" s="50" customFormat="1" x14ac:dyDescent="0.3">
      <c r="A131" s="32" t="s">
        <v>23</v>
      </c>
      <c r="B131" s="4" t="s">
        <v>13</v>
      </c>
      <c r="C131" s="3">
        <f>C124-C127</f>
        <v>22402</v>
      </c>
      <c r="D131" s="3">
        <f>D124-D127</f>
        <v>7894</v>
      </c>
      <c r="E131" s="3">
        <f t="shared" ref="E131:G131" si="215">E124-E127</f>
        <v>-3814</v>
      </c>
      <c r="F131" s="3">
        <f t="shared" si="215"/>
        <v>3580</v>
      </c>
      <c r="G131" s="3">
        <f t="shared" si="215"/>
        <v>1193.5</v>
      </c>
      <c r="H131" s="3">
        <f>H124-H127</f>
        <v>-9273</v>
      </c>
      <c r="I131" s="3">
        <f>I124-I127</f>
        <v>65874.459999999992</v>
      </c>
      <c r="J131" s="3">
        <f t="shared" ref="J131:N131" si="216">J124-J127</f>
        <v>34913.704999999987</v>
      </c>
      <c r="K131" s="3">
        <f t="shared" si="216"/>
        <v>972893.3</v>
      </c>
      <c r="L131" s="3">
        <f t="shared" si="216"/>
        <v>110</v>
      </c>
      <c r="M131" s="3">
        <f t="shared" si="216"/>
        <v>409</v>
      </c>
      <c r="N131" s="3">
        <f t="shared" si="216"/>
        <v>-1</v>
      </c>
      <c r="O131" s="3">
        <f t="shared" ref="O131:O136" si="217">I131/305</f>
        <v>215.98183606557373</v>
      </c>
      <c r="P131"/>
      <c r="Q131">
        <f>K131/2000</f>
        <v>486.44665000000003</v>
      </c>
      <c r="R131"/>
      <c r="XEY131"/>
    </row>
    <row r="132" spans="1:18 16379:16379" s="50" customFormat="1" x14ac:dyDescent="0.3">
      <c r="A132" s="33"/>
      <c r="B132" s="5" t="s">
        <v>14</v>
      </c>
      <c r="C132" s="6">
        <v>17000</v>
      </c>
      <c r="D132" s="6">
        <v>7000</v>
      </c>
      <c r="E132" s="65">
        <v>7500</v>
      </c>
      <c r="F132" s="6">
        <v>6000</v>
      </c>
      <c r="G132" s="6">
        <v>3000</v>
      </c>
      <c r="H132" s="6">
        <v>90000</v>
      </c>
      <c r="I132" s="6">
        <v>0</v>
      </c>
      <c r="J132" s="6">
        <v>10000</v>
      </c>
      <c r="K132" s="6">
        <v>1400000</v>
      </c>
      <c r="L132" s="6">
        <v>440</v>
      </c>
      <c r="M132" s="6">
        <v>1335</v>
      </c>
      <c r="N132" s="6">
        <v>24</v>
      </c>
      <c r="O132" s="6">
        <f t="shared" si="217"/>
        <v>0</v>
      </c>
      <c r="P132"/>
      <c r="Q132"/>
      <c r="R132"/>
      <c r="XEY132"/>
    </row>
    <row r="133" spans="1:18 16379:16379" s="50" customFormat="1" x14ac:dyDescent="0.3">
      <c r="A133" s="33"/>
      <c r="B133" s="5" t="s">
        <v>15</v>
      </c>
      <c r="C133" s="6">
        <f>C131+C132</f>
        <v>39402</v>
      </c>
      <c r="D133" s="6">
        <f t="shared" ref="D133:N133" si="218">D131+D132</f>
        <v>14894</v>
      </c>
      <c r="E133" s="6">
        <f t="shared" si="218"/>
        <v>3686</v>
      </c>
      <c r="F133" s="6">
        <f t="shared" si="218"/>
        <v>9580</v>
      </c>
      <c r="G133" s="6">
        <f t="shared" si="218"/>
        <v>4193.5</v>
      </c>
      <c r="H133" s="6">
        <f t="shared" si="218"/>
        <v>80727</v>
      </c>
      <c r="I133" s="6">
        <f t="shared" si="218"/>
        <v>65874.459999999992</v>
      </c>
      <c r="J133" s="6">
        <f t="shared" si="218"/>
        <v>44913.704999999987</v>
      </c>
      <c r="K133" s="6">
        <f t="shared" si="218"/>
        <v>2372893.2999999998</v>
      </c>
      <c r="L133" s="6">
        <f t="shared" si="218"/>
        <v>550</v>
      </c>
      <c r="M133" s="6">
        <f t="shared" si="218"/>
        <v>1744</v>
      </c>
      <c r="N133" s="6">
        <f t="shared" si="218"/>
        <v>23</v>
      </c>
      <c r="O133" s="6">
        <f t="shared" si="217"/>
        <v>215.98183606557373</v>
      </c>
      <c r="P133"/>
      <c r="Q133"/>
      <c r="R133"/>
      <c r="XEY133"/>
    </row>
    <row r="134" spans="1:18 16379:16379" s="50" customFormat="1" x14ac:dyDescent="0.3">
      <c r="A134" s="45"/>
      <c r="B134" s="46" t="s">
        <v>16</v>
      </c>
      <c r="C134" s="47">
        <v>15795</v>
      </c>
      <c r="D134" s="47">
        <v>7877</v>
      </c>
      <c r="E134" s="47">
        <v>7208</v>
      </c>
      <c r="F134" s="47">
        <v>6042</v>
      </c>
      <c r="G134" s="47">
        <v>3021</v>
      </c>
      <c r="H134" s="47">
        <v>83399</v>
      </c>
      <c r="I134" s="47">
        <v>5572</v>
      </c>
      <c r="J134" s="47">
        <v>9446</v>
      </c>
      <c r="K134" s="47">
        <v>1303806</v>
      </c>
      <c r="L134" s="47">
        <v>439</v>
      </c>
      <c r="M134" s="47">
        <v>1272</v>
      </c>
      <c r="N134" s="47">
        <v>22</v>
      </c>
      <c r="O134" s="47">
        <f t="shared" si="217"/>
        <v>18.268852459016394</v>
      </c>
      <c r="P134" s="49"/>
      <c r="Q134" s="48"/>
      <c r="R134" s="54"/>
      <c r="XEY134"/>
    </row>
    <row r="135" spans="1:18 16379:16379" s="50" customFormat="1" x14ac:dyDescent="0.3">
      <c r="A135" s="33"/>
      <c r="B135" s="7" t="s">
        <v>17</v>
      </c>
      <c r="C135" s="8">
        <f>ROUND((C134*0.02),0)</f>
        <v>316</v>
      </c>
      <c r="D135" s="8">
        <v>0</v>
      </c>
      <c r="E135" s="8">
        <v>0</v>
      </c>
      <c r="F135" s="8">
        <v>0</v>
      </c>
      <c r="G135" s="8">
        <v>0</v>
      </c>
      <c r="H135" s="8">
        <f>ROUND(H134*0.01,0)</f>
        <v>834</v>
      </c>
      <c r="I135" s="8">
        <f>I134*0.01</f>
        <v>55.72</v>
      </c>
      <c r="J135" s="8">
        <f>J134*0.05</f>
        <v>472.3</v>
      </c>
      <c r="K135" s="8">
        <f>K134*0.05</f>
        <v>65190.3</v>
      </c>
      <c r="L135" s="8">
        <v>0</v>
      </c>
      <c r="M135" s="8">
        <v>0</v>
      </c>
      <c r="N135" s="8">
        <v>0</v>
      </c>
      <c r="O135" s="8">
        <f t="shared" si="217"/>
        <v>0.18268852459016394</v>
      </c>
      <c r="P135" s="23">
        <v>0.05</v>
      </c>
      <c r="Q135"/>
      <c r="R135"/>
      <c r="XEY135"/>
    </row>
    <row r="136" spans="1:18 16379:16379" s="50" customFormat="1" x14ac:dyDescent="0.3">
      <c r="A136" s="34"/>
      <c r="B136" s="7" t="s">
        <v>22</v>
      </c>
      <c r="C136" s="8">
        <f>C134+C135</f>
        <v>16111</v>
      </c>
      <c r="D136" s="8">
        <f t="shared" ref="D136:N136" si="219">D134+D135</f>
        <v>7877</v>
      </c>
      <c r="E136" s="8">
        <f t="shared" si="219"/>
        <v>7208</v>
      </c>
      <c r="F136" s="8">
        <f t="shared" si="219"/>
        <v>6042</v>
      </c>
      <c r="G136" s="8">
        <f t="shared" si="219"/>
        <v>3021</v>
      </c>
      <c r="H136" s="8">
        <f t="shared" si="219"/>
        <v>84233</v>
      </c>
      <c r="I136" s="8">
        <f t="shared" si="219"/>
        <v>5627.72</v>
      </c>
      <c r="J136" s="8">
        <f t="shared" si="219"/>
        <v>9918.2999999999993</v>
      </c>
      <c r="K136" s="8">
        <f t="shared" si="219"/>
        <v>1368996.3</v>
      </c>
      <c r="L136" s="8">
        <f t="shared" si="219"/>
        <v>439</v>
      </c>
      <c r="M136" s="8">
        <f t="shared" si="219"/>
        <v>1272</v>
      </c>
      <c r="N136" s="8">
        <f t="shared" si="219"/>
        <v>22</v>
      </c>
      <c r="O136" s="8">
        <f t="shared" si="217"/>
        <v>18.451540983606559</v>
      </c>
      <c r="P136"/>
      <c r="Q136"/>
      <c r="R136"/>
      <c r="XEY136"/>
    </row>
    <row r="137" spans="1:18 16379:16379" s="50" customFormat="1" x14ac:dyDescent="0.3">
      <c r="A137" s="28" t="s">
        <v>19</v>
      </c>
      <c r="B137" s="28"/>
      <c r="C137" s="29">
        <f>C132*C$1</f>
        <v>2725780</v>
      </c>
      <c r="D137" s="29">
        <f>D132*D$1</f>
        <v>1599570</v>
      </c>
      <c r="E137" s="29">
        <f t="shared" ref="E137:F137" si="220">E132*E$1</f>
        <v>1085475</v>
      </c>
      <c r="F137" s="29">
        <f t="shared" si="220"/>
        <v>1313100</v>
      </c>
      <c r="G137" s="29">
        <f>G132*G$1</f>
        <v>548910</v>
      </c>
      <c r="H137" s="29">
        <f t="shared" ref="H137:O137" si="221">H132*H$1</f>
        <v>2663100</v>
      </c>
      <c r="I137" s="29">
        <f t="shared" si="221"/>
        <v>0</v>
      </c>
      <c r="J137" s="29">
        <f t="shared" si="221"/>
        <v>525500</v>
      </c>
      <c r="K137" s="29">
        <f t="shared" si="221"/>
        <v>15666000</v>
      </c>
      <c r="L137" s="29">
        <f t="shared" si="221"/>
        <v>3743062.3999999994</v>
      </c>
      <c r="M137" s="29">
        <f t="shared" si="221"/>
        <v>18587498.699999999</v>
      </c>
      <c r="N137" s="29">
        <f t="shared" si="221"/>
        <v>700019.28</v>
      </c>
      <c r="O137" s="29">
        <f t="shared" si="221"/>
        <v>0</v>
      </c>
      <c r="P137" s="29"/>
      <c r="Q137" s="28">
        <f>SUM(C137:N137)</f>
        <v>49158015.379999995</v>
      </c>
      <c r="R137" s="28"/>
      <c r="XEY137"/>
    </row>
    <row r="138" spans="1:18 16379:16379" x14ac:dyDescent="0.3">
      <c r="A138" s="30" t="s">
        <v>20</v>
      </c>
      <c r="B138" s="43"/>
      <c r="C138" s="30">
        <f>C136*C$1</f>
        <v>2583237.7400000002</v>
      </c>
      <c r="D138" s="30">
        <f t="shared" ref="D138:F138" si="222">D136*D$1</f>
        <v>1799973.27</v>
      </c>
      <c r="E138" s="30">
        <f t="shared" si="222"/>
        <v>1043213.84</v>
      </c>
      <c r="F138" s="30">
        <f t="shared" si="222"/>
        <v>1322291.7</v>
      </c>
      <c r="G138" s="30">
        <f>G136*G$1</f>
        <v>552752.37</v>
      </c>
      <c r="H138" s="30">
        <f t="shared" ref="H138:N138" si="223">H136*H$1</f>
        <v>2492454.4700000002</v>
      </c>
      <c r="I138" s="30">
        <f t="shared" si="223"/>
        <v>585451.71160000004</v>
      </c>
      <c r="J138" s="30">
        <f t="shared" si="223"/>
        <v>521206.66499999992</v>
      </c>
      <c r="K138" s="30">
        <f t="shared" si="223"/>
        <v>15319068.596999999</v>
      </c>
      <c r="L138" s="30">
        <f t="shared" si="223"/>
        <v>3734555.4399999995</v>
      </c>
      <c r="M138" s="30">
        <f t="shared" si="223"/>
        <v>17710335.84</v>
      </c>
      <c r="N138" s="30">
        <f t="shared" si="223"/>
        <v>641684.34000000008</v>
      </c>
      <c r="O138" s="30">
        <f>O136*O$1</f>
        <v>585451.71160000004</v>
      </c>
      <c r="P138" s="30"/>
      <c r="Q138" s="30">
        <f>SUM(C138:N138)</f>
        <v>48306225.983600006</v>
      </c>
      <c r="R138" s="51"/>
    </row>
    <row r="139" spans="1:18 16379:16379" s="50" customFormat="1" x14ac:dyDescent="0.3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/>
      <c r="XEY139"/>
    </row>
    <row r="140" spans="1:18 16379:16379" s="67" customFormat="1" x14ac:dyDescent="0.3">
      <c r="A140" s="32" t="s">
        <v>24</v>
      </c>
      <c r="B140" s="4" t="s">
        <v>13</v>
      </c>
      <c r="C140" s="3">
        <f>C133-C136</f>
        <v>23291</v>
      </c>
      <c r="D140" s="3">
        <f>D133-D136</f>
        <v>7017</v>
      </c>
      <c r="E140" s="3">
        <f t="shared" ref="E140:H140" si="224">E133-E136</f>
        <v>-3522</v>
      </c>
      <c r="F140" s="3">
        <f t="shared" si="224"/>
        <v>3538</v>
      </c>
      <c r="G140" s="3">
        <f t="shared" si="224"/>
        <v>1172.5</v>
      </c>
      <c r="H140" s="3">
        <f t="shared" si="224"/>
        <v>-3506</v>
      </c>
      <c r="I140" s="3">
        <f>I133-I136</f>
        <v>60246.739999999991</v>
      </c>
      <c r="J140" s="3">
        <f t="shared" ref="J140:N140" si="225">J133-J136</f>
        <v>34995.404999999984</v>
      </c>
      <c r="K140" s="3">
        <f t="shared" si="225"/>
        <v>1003896.9999999998</v>
      </c>
      <c r="L140" s="3">
        <f t="shared" si="225"/>
        <v>111</v>
      </c>
      <c r="M140" s="3">
        <f t="shared" si="225"/>
        <v>472</v>
      </c>
      <c r="N140" s="3">
        <f t="shared" si="225"/>
        <v>1</v>
      </c>
      <c r="O140" s="3">
        <f t="shared" ref="O140:O145" si="226">I140/305</f>
        <v>197.53029508196718</v>
      </c>
      <c r="P140"/>
      <c r="Q140">
        <f>K140/2000</f>
        <v>501.94849999999991</v>
      </c>
      <c r="R140" s="66"/>
    </row>
    <row r="141" spans="1:18 16379:16379" s="67" customFormat="1" x14ac:dyDescent="0.3">
      <c r="A141" s="33"/>
      <c r="B141" s="5" t="s">
        <v>14</v>
      </c>
      <c r="C141" s="6">
        <v>18000</v>
      </c>
      <c r="D141" s="6">
        <v>7500</v>
      </c>
      <c r="E141" s="65">
        <v>9000</v>
      </c>
      <c r="F141" s="6">
        <v>7000</v>
      </c>
      <c r="G141" s="6">
        <v>3500</v>
      </c>
      <c r="H141" s="6">
        <v>90000</v>
      </c>
      <c r="I141" s="6">
        <v>0</v>
      </c>
      <c r="J141" s="6">
        <v>10000</v>
      </c>
      <c r="K141" s="6">
        <v>1400000</v>
      </c>
      <c r="L141" s="6">
        <v>420</v>
      </c>
      <c r="M141" s="6">
        <v>1120</v>
      </c>
      <c r="N141" s="6">
        <v>49</v>
      </c>
      <c r="O141" s="6">
        <f t="shared" si="226"/>
        <v>0</v>
      </c>
      <c r="P141"/>
      <c r="Q141"/>
      <c r="R141" s="66"/>
    </row>
    <row r="142" spans="1:18 16379:16379" s="67" customFormat="1" x14ac:dyDescent="0.3">
      <c r="A142" s="33"/>
      <c r="B142" s="5" t="s">
        <v>15</v>
      </c>
      <c r="C142" s="6">
        <f>C140+C141</f>
        <v>41291</v>
      </c>
      <c r="D142" s="6">
        <f t="shared" ref="D142:N142" si="227">D140+D141</f>
        <v>14517</v>
      </c>
      <c r="E142" s="6">
        <f t="shared" si="227"/>
        <v>5478</v>
      </c>
      <c r="F142" s="6">
        <f t="shared" si="227"/>
        <v>10538</v>
      </c>
      <c r="G142" s="6">
        <f t="shared" si="227"/>
        <v>4672.5</v>
      </c>
      <c r="H142" s="6">
        <f t="shared" si="227"/>
        <v>86494</v>
      </c>
      <c r="I142" s="6">
        <f t="shared" si="227"/>
        <v>60246.739999999991</v>
      </c>
      <c r="J142" s="6">
        <f t="shared" si="227"/>
        <v>44995.404999999984</v>
      </c>
      <c r="K142" s="6">
        <f t="shared" si="227"/>
        <v>2403897</v>
      </c>
      <c r="L142" s="6">
        <f t="shared" si="227"/>
        <v>531</v>
      </c>
      <c r="M142" s="6">
        <f t="shared" si="227"/>
        <v>1592</v>
      </c>
      <c r="N142" s="6">
        <f t="shared" si="227"/>
        <v>50</v>
      </c>
      <c r="O142" s="6">
        <f t="shared" si="226"/>
        <v>197.53029508196718</v>
      </c>
      <c r="P142"/>
      <c r="Q142"/>
      <c r="R142" s="66"/>
    </row>
    <row r="143" spans="1:18 16379:16379" s="67" customFormat="1" x14ac:dyDescent="0.3">
      <c r="A143" s="45"/>
      <c r="B143" s="46" t="s">
        <v>16</v>
      </c>
      <c r="C143" s="47">
        <v>17320</v>
      </c>
      <c r="D143" s="47">
        <v>8638</v>
      </c>
      <c r="E143" s="47">
        <v>7840</v>
      </c>
      <c r="F143" s="47">
        <v>6387</v>
      </c>
      <c r="G143" s="47">
        <v>3194</v>
      </c>
      <c r="H143" s="47">
        <v>91781</v>
      </c>
      <c r="I143" s="47">
        <v>6842</v>
      </c>
      <c r="J143" s="47">
        <v>9307</v>
      </c>
      <c r="K143" s="47">
        <v>1456363</v>
      </c>
      <c r="L143" s="47">
        <v>420</v>
      </c>
      <c r="M143" s="47">
        <v>1484</v>
      </c>
      <c r="N143" s="47">
        <v>25</v>
      </c>
      <c r="O143" s="47">
        <f t="shared" si="226"/>
        <v>22.432786885245903</v>
      </c>
      <c r="P143" s="49"/>
      <c r="Q143" s="48"/>
      <c r="R143" s="66"/>
    </row>
    <row r="144" spans="1:18 16379:16379" s="67" customFormat="1" x14ac:dyDescent="0.3">
      <c r="A144" s="33"/>
      <c r="B144" s="7" t="s">
        <v>17</v>
      </c>
      <c r="C144" s="8">
        <f>ROUND((C143*0.02),0)</f>
        <v>346</v>
      </c>
      <c r="D144" s="8">
        <v>0</v>
      </c>
      <c r="E144" s="8">
        <v>0</v>
      </c>
      <c r="F144" s="8">
        <v>0</v>
      </c>
      <c r="G144" s="8">
        <v>0</v>
      </c>
      <c r="H144" s="8">
        <f>ROUND(H143*0.01,0)</f>
        <v>918</v>
      </c>
      <c r="I144" s="8">
        <f>I143*0.01</f>
        <v>68.42</v>
      </c>
      <c r="J144" s="8">
        <f>J143*0.05</f>
        <v>465.35</v>
      </c>
      <c r="K144" s="8">
        <f>K143*0.05</f>
        <v>72818.150000000009</v>
      </c>
      <c r="L144" s="8">
        <v>0</v>
      </c>
      <c r="M144" s="8">
        <v>0</v>
      </c>
      <c r="N144" s="8">
        <v>0</v>
      </c>
      <c r="O144" s="8">
        <f t="shared" si="226"/>
        <v>0.22432786885245903</v>
      </c>
      <c r="P144" s="23">
        <v>0.05</v>
      </c>
      <c r="Q144"/>
      <c r="R144" s="66"/>
    </row>
    <row r="145" spans="1:18 16379:16379" s="67" customFormat="1" x14ac:dyDescent="0.3">
      <c r="A145" s="34"/>
      <c r="B145" s="7" t="s">
        <v>22</v>
      </c>
      <c r="C145" s="8">
        <f>C143+C144</f>
        <v>17666</v>
      </c>
      <c r="D145" s="8">
        <f t="shared" ref="D145:N145" si="228">D143+D144</f>
        <v>8638</v>
      </c>
      <c r="E145" s="8">
        <f t="shared" si="228"/>
        <v>7840</v>
      </c>
      <c r="F145" s="8">
        <f t="shared" si="228"/>
        <v>6387</v>
      </c>
      <c r="G145" s="8">
        <f t="shared" si="228"/>
        <v>3194</v>
      </c>
      <c r="H145" s="8">
        <f t="shared" si="228"/>
        <v>92699</v>
      </c>
      <c r="I145" s="8">
        <f t="shared" si="228"/>
        <v>6910.42</v>
      </c>
      <c r="J145" s="8">
        <f t="shared" si="228"/>
        <v>9772.35</v>
      </c>
      <c r="K145" s="8">
        <f t="shared" si="228"/>
        <v>1529181.15</v>
      </c>
      <c r="L145" s="8">
        <f t="shared" si="228"/>
        <v>420</v>
      </c>
      <c r="M145" s="8">
        <f t="shared" si="228"/>
        <v>1484</v>
      </c>
      <c r="N145" s="8">
        <f t="shared" si="228"/>
        <v>25</v>
      </c>
      <c r="O145" s="8">
        <f t="shared" si="226"/>
        <v>22.657114754098362</v>
      </c>
      <c r="P145"/>
      <c r="Q145"/>
      <c r="R145" s="66"/>
    </row>
    <row r="146" spans="1:18 16379:16379" s="67" customFormat="1" x14ac:dyDescent="0.3">
      <c r="A146" s="28" t="s">
        <v>19</v>
      </c>
      <c r="B146" s="28"/>
      <c r="C146" s="29">
        <f>C141*C$1</f>
        <v>2886120</v>
      </c>
      <c r="D146" s="29">
        <f>D141*D$1</f>
        <v>1713825</v>
      </c>
      <c r="E146" s="29">
        <f t="shared" ref="E146:F146" si="229">E141*E$1</f>
        <v>1302570</v>
      </c>
      <c r="F146" s="29">
        <f t="shared" si="229"/>
        <v>1531950</v>
      </c>
      <c r="G146" s="29">
        <f>G141*G$1</f>
        <v>640395</v>
      </c>
      <c r="H146" s="29">
        <f t="shared" ref="H146:O146" si="230">H141*H$1</f>
        <v>2663100</v>
      </c>
      <c r="I146" s="29">
        <f t="shared" si="230"/>
        <v>0</v>
      </c>
      <c r="J146" s="29">
        <f t="shared" si="230"/>
        <v>525500</v>
      </c>
      <c r="K146" s="29">
        <f t="shared" si="230"/>
        <v>15666000</v>
      </c>
      <c r="L146" s="29">
        <f t="shared" si="230"/>
        <v>3572923.1999999997</v>
      </c>
      <c r="M146" s="29">
        <f t="shared" si="230"/>
        <v>15594006.399999999</v>
      </c>
      <c r="N146" s="29">
        <f t="shared" si="230"/>
        <v>1429206.03</v>
      </c>
      <c r="O146" s="29">
        <f t="shared" si="230"/>
        <v>0</v>
      </c>
      <c r="P146" s="29"/>
      <c r="Q146" s="28">
        <f>SUM(C146:N146)</f>
        <v>47525595.629999995</v>
      </c>
      <c r="R146" s="66"/>
    </row>
    <row r="147" spans="1:18 16379:16379" s="67" customFormat="1" x14ac:dyDescent="0.3">
      <c r="A147" s="30" t="s">
        <v>20</v>
      </c>
      <c r="B147" s="43"/>
      <c r="C147" s="30">
        <f>C145*C$1</f>
        <v>2832566.44</v>
      </c>
      <c r="D147" s="30">
        <f t="shared" ref="D147:F147" si="231">D145*D$1</f>
        <v>1973869.38</v>
      </c>
      <c r="E147" s="30">
        <f t="shared" si="231"/>
        <v>1134683.2</v>
      </c>
      <c r="F147" s="30">
        <f t="shared" si="231"/>
        <v>1397794.95</v>
      </c>
      <c r="G147" s="30">
        <f>G145*G$1</f>
        <v>584406.18000000005</v>
      </c>
      <c r="H147" s="30">
        <f t="shared" ref="H147:N147" si="232">H145*H$1</f>
        <v>2742963.41</v>
      </c>
      <c r="I147" s="30">
        <f t="shared" si="232"/>
        <v>718890.9926</v>
      </c>
      <c r="J147" s="30">
        <f t="shared" si="232"/>
        <v>513536.99249999999</v>
      </c>
      <c r="K147" s="30">
        <f t="shared" si="232"/>
        <v>17111537.068499997</v>
      </c>
      <c r="L147" s="30">
        <f t="shared" si="232"/>
        <v>3572923.1999999997</v>
      </c>
      <c r="M147" s="30">
        <f t="shared" si="232"/>
        <v>20662058.48</v>
      </c>
      <c r="N147" s="30">
        <f t="shared" si="232"/>
        <v>729186.75</v>
      </c>
      <c r="O147" s="30">
        <f>O145*O$1</f>
        <v>718890.99260000011</v>
      </c>
      <c r="P147" s="30"/>
      <c r="Q147" s="30">
        <f>SUM(C147:N147)</f>
        <v>53974417.043599993</v>
      </c>
      <c r="R147" s="66"/>
    </row>
    <row r="148" spans="1:18 16379:16379" s="50" customFormat="1" x14ac:dyDescent="0.3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/>
      <c r="XEY148"/>
    </row>
    <row r="149" spans="1:18 16379:16379" s="67" customFormat="1" x14ac:dyDescent="0.3">
      <c r="A149" s="32" t="s">
        <v>25</v>
      </c>
      <c r="B149" s="4" t="s">
        <v>13</v>
      </c>
      <c r="C149" s="3">
        <f>C142-C145</f>
        <v>23625</v>
      </c>
      <c r="D149" s="3">
        <f>D142-D145</f>
        <v>5879</v>
      </c>
      <c r="E149" s="3">
        <f t="shared" ref="E149:H149" si="233">E142-E145</f>
        <v>-2362</v>
      </c>
      <c r="F149" s="3">
        <f t="shared" si="233"/>
        <v>4151</v>
      </c>
      <c r="G149" s="3">
        <f t="shared" si="233"/>
        <v>1478.5</v>
      </c>
      <c r="H149" s="3">
        <f t="shared" si="233"/>
        <v>-6205</v>
      </c>
      <c r="I149" s="3">
        <f>I142-I145</f>
        <v>53336.319999999992</v>
      </c>
      <c r="J149" s="3">
        <f t="shared" ref="J149:N149" si="234">J142-J145</f>
        <v>35223.054999999986</v>
      </c>
      <c r="K149" s="3">
        <f t="shared" si="234"/>
        <v>874715.85000000009</v>
      </c>
      <c r="L149" s="3">
        <f t="shared" si="234"/>
        <v>111</v>
      </c>
      <c r="M149" s="3">
        <f t="shared" si="234"/>
        <v>108</v>
      </c>
      <c r="N149" s="3">
        <f t="shared" si="234"/>
        <v>25</v>
      </c>
      <c r="O149" s="3">
        <f t="shared" ref="O149:O154" si="235">I149/305</f>
        <v>174.87318032786882</v>
      </c>
      <c r="P149"/>
      <c r="Q149">
        <f>K149/2000</f>
        <v>437.35792500000002</v>
      </c>
      <c r="R149" s="66"/>
    </row>
    <row r="150" spans="1:18 16379:16379" s="67" customFormat="1" x14ac:dyDescent="0.3">
      <c r="A150" s="33"/>
      <c r="B150" s="5" t="s">
        <v>14</v>
      </c>
      <c r="C150" s="6">
        <v>20000</v>
      </c>
      <c r="D150" s="6">
        <v>8000</v>
      </c>
      <c r="E150" s="65">
        <v>9000</v>
      </c>
      <c r="F150" s="6">
        <v>7000</v>
      </c>
      <c r="G150" s="6">
        <v>3500</v>
      </c>
      <c r="H150" s="6">
        <v>80000</v>
      </c>
      <c r="I150" s="6">
        <v>0</v>
      </c>
      <c r="J150" s="6">
        <v>0</v>
      </c>
      <c r="K150" s="6">
        <v>1600000</v>
      </c>
      <c r="L150" s="6">
        <v>446</v>
      </c>
      <c r="M150" s="6">
        <v>1224</v>
      </c>
      <c r="N150" s="6">
        <v>50</v>
      </c>
      <c r="O150" s="6">
        <f t="shared" si="235"/>
        <v>0</v>
      </c>
      <c r="P150"/>
      <c r="Q150"/>
      <c r="R150" s="66"/>
    </row>
    <row r="151" spans="1:18 16379:16379" s="67" customFormat="1" x14ac:dyDescent="0.3">
      <c r="A151" s="33"/>
      <c r="B151" s="5" t="s">
        <v>15</v>
      </c>
      <c r="C151" s="6">
        <f>C149+C150</f>
        <v>43625</v>
      </c>
      <c r="D151" s="6">
        <f t="shared" ref="D151:N151" si="236">D149+D150</f>
        <v>13879</v>
      </c>
      <c r="E151" s="6">
        <f t="shared" si="236"/>
        <v>6638</v>
      </c>
      <c r="F151" s="6">
        <f t="shared" si="236"/>
        <v>11151</v>
      </c>
      <c r="G151" s="6">
        <f t="shared" si="236"/>
        <v>4978.5</v>
      </c>
      <c r="H151" s="6">
        <f t="shared" si="236"/>
        <v>73795</v>
      </c>
      <c r="I151" s="6">
        <f t="shared" si="236"/>
        <v>53336.319999999992</v>
      </c>
      <c r="J151" s="6">
        <f t="shared" si="236"/>
        <v>35223.054999999986</v>
      </c>
      <c r="K151" s="6">
        <f t="shared" si="236"/>
        <v>2474715.85</v>
      </c>
      <c r="L151" s="6">
        <f t="shared" si="236"/>
        <v>557</v>
      </c>
      <c r="M151" s="6">
        <f t="shared" si="236"/>
        <v>1332</v>
      </c>
      <c r="N151" s="6">
        <f t="shared" si="236"/>
        <v>75</v>
      </c>
      <c r="O151" s="6">
        <f t="shared" si="235"/>
        <v>174.87318032786882</v>
      </c>
      <c r="P151"/>
      <c r="Q151"/>
      <c r="R151" s="66"/>
    </row>
    <row r="152" spans="1:18 16379:16379" s="67" customFormat="1" x14ac:dyDescent="0.3">
      <c r="A152" s="45"/>
      <c r="B152" s="46" t="s">
        <v>16</v>
      </c>
      <c r="C152" s="47">
        <v>15978</v>
      </c>
      <c r="D152" s="47">
        <v>7957</v>
      </c>
      <c r="E152" s="47">
        <v>7284</v>
      </c>
      <c r="F152" s="47">
        <v>5822</v>
      </c>
      <c r="G152" s="47">
        <v>2911</v>
      </c>
      <c r="H152" s="47">
        <v>82964</v>
      </c>
      <c r="I152" s="47">
        <v>5843</v>
      </c>
      <c r="J152" s="47">
        <v>8391</v>
      </c>
      <c r="K152" s="47">
        <v>1300064</v>
      </c>
      <c r="L152" s="47">
        <v>395</v>
      </c>
      <c r="M152" s="47">
        <v>1281</v>
      </c>
      <c r="N152" s="47">
        <v>30</v>
      </c>
      <c r="O152" s="47">
        <f t="shared" si="235"/>
        <v>19.157377049180329</v>
      </c>
      <c r="P152" s="49"/>
      <c r="Q152" s="48"/>
      <c r="R152" s="66"/>
    </row>
    <row r="153" spans="1:18 16379:16379" s="67" customFormat="1" x14ac:dyDescent="0.3">
      <c r="A153" s="33"/>
      <c r="B153" s="7" t="s">
        <v>17</v>
      </c>
      <c r="C153" s="8">
        <f>ROUND((C152*0.02),0)</f>
        <v>320</v>
      </c>
      <c r="D153" s="8">
        <v>0</v>
      </c>
      <c r="E153" s="8">
        <v>0</v>
      </c>
      <c r="F153" s="8">
        <v>0</v>
      </c>
      <c r="G153" s="8">
        <v>0</v>
      </c>
      <c r="H153" s="8">
        <f>ROUND(H152*0.01,0)</f>
        <v>830</v>
      </c>
      <c r="I153" s="8">
        <f>I152*0.01</f>
        <v>58.43</v>
      </c>
      <c r="J153" s="8">
        <f>J152*0.05</f>
        <v>419.55</v>
      </c>
      <c r="K153" s="8">
        <f>K152*0.05</f>
        <v>65003.200000000004</v>
      </c>
      <c r="L153" s="8">
        <v>0</v>
      </c>
      <c r="M153" s="8">
        <v>0</v>
      </c>
      <c r="N153" s="8">
        <v>0</v>
      </c>
      <c r="O153" s="8">
        <f t="shared" si="235"/>
        <v>0.19157377049180327</v>
      </c>
      <c r="P153" s="23">
        <v>0.05</v>
      </c>
      <c r="Q153"/>
      <c r="R153" s="66"/>
    </row>
    <row r="154" spans="1:18 16379:16379" s="67" customFormat="1" x14ac:dyDescent="0.3">
      <c r="A154" s="34"/>
      <c r="B154" s="7" t="s">
        <v>22</v>
      </c>
      <c r="C154" s="8">
        <f>C152+C153</f>
        <v>16298</v>
      </c>
      <c r="D154" s="8">
        <f t="shared" ref="D154:N154" si="237">D152+D153</f>
        <v>7957</v>
      </c>
      <c r="E154" s="8">
        <f t="shared" si="237"/>
        <v>7284</v>
      </c>
      <c r="F154" s="8">
        <f t="shared" si="237"/>
        <v>5822</v>
      </c>
      <c r="G154" s="8">
        <f t="shared" si="237"/>
        <v>2911</v>
      </c>
      <c r="H154" s="8">
        <f t="shared" si="237"/>
        <v>83794</v>
      </c>
      <c r="I154" s="8">
        <f t="shared" si="237"/>
        <v>5901.43</v>
      </c>
      <c r="J154" s="8">
        <f t="shared" si="237"/>
        <v>8810.5499999999993</v>
      </c>
      <c r="K154" s="8">
        <f t="shared" si="237"/>
        <v>1365067.2</v>
      </c>
      <c r="L154" s="8">
        <f t="shared" si="237"/>
        <v>395</v>
      </c>
      <c r="M154" s="8">
        <f t="shared" si="237"/>
        <v>1281</v>
      </c>
      <c r="N154" s="8">
        <f t="shared" si="237"/>
        <v>30</v>
      </c>
      <c r="O154" s="8">
        <f t="shared" si="235"/>
        <v>19.348950819672133</v>
      </c>
      <c r="P154"/>
      <c r="Q154"/>
      <c r="R154" s="66"/>
    </row>
    <row r="155" spans="1:18 16379:16379" s="67" customFormat="1" x14ac:dyDescent="0.3">
      <c r="A155" s="28" t="s">
        <v>19</v>
      </c>
      <c r="B155" s="28"/>
      <c r="C155" s="29">
        <f>C150*C$1</f>
        <v>3206800</v>
      </c>
      <c r="D155" s="29">
        <f>D150*D$1</f>
        <v>1828080</v>
      </c>
      <c r="E155" s="29">
        <f t="shared" ref="E155:F155" si="238">E150*E$1</f>
        <v>1302570</v>
      </c>
      <c r="F155" s="29">
        <f t="shared" si="238"/>
        <v>1531950</v>
      </c>
      <c r="G155" s="29">
        <f>G150*G$1</f>
        <v>640395</v>
      </c>
      <c r="H155" s="29">
        <f t="shared" ref="H155:O155" si="239">H150*H$1</f>
        <v>2367200</v>
      </c>
      <c r="I155" s="29">
        <f t="shared" si="239"/>
        <v>0</v>
      </c>
      <c r="J155" s="29">
        <f t="shared" si="239"/>
        <v>0</v>
      </c>
      <c r="K155" s="29">
        <f t="shared" si="239"/>
        <v>17904000</v>
      </c>
      <c r="L155" s="29">
        <f t="shared" si="239"/>
        <v>3794104.1599999997</v>
      </c>
      <c r="M155" s="29">
        <f t="shared" si="239"/>
        <v>17042021.279999997</v>
      </c>
      <c r="N155" s="29">
        <f t="shared" si="239"/>
        <v>1458373.5</v>
      </c>
      <c r="O155" s="29">
        <f t="shared" si="239"/>
        <v>0</v>
      </c>
      <c r="P155" s="29"/>
      <c r="Q155" s="28">
        <f>SUM(C155:N155)</f>
        <v>51075493.939999998</v>
      </c>
      <c r="R155" s="66"/>
    </row>
    <row r="156" spans="1:18 16379:16379" s="67" customFormat="1" x14ac:dyDescent="0.3">
      <c r="A156" s="30" t="s">
        <v>20</v>
      </c>
      <c r="B156" s="43"/>
      <c r="C156" s="30">
        <f>C154*C$1</f>
        <v>2613221.3199999998</v>
      </c>
      <c r="D156" s="30">
        <f t="shared" ref="D156:F156" si="240">D154*D$1</f>
        <v>1818254.0699999998</v>
      </c>
      <c r="E156" s="30">
        <f t="shared" si="240"/>
        <v>1054213.3199999998</v>
      </c>
      <c r="F156" s="30">
        <f t="shared" si="240"/>
        <v>1274144.7</v>
      </c>
      <c r="G156" s="30">
        <f>G154*G$1</f>
        <v>532625.67000000004</v>
      </c>
      <c r="H156" s="30">
        <f t="shared" ref="H156:N156" si="241">H154*H$1</f>
        <v>2479464.46</v>
      </c>
      <c r="I156" s="30">
        <f t="shared" si="241"/>
        <v>613925.76290000009</v>
      </c>
      <c r="J156" s="30">
        <f t="shared" si="241"/>
        <v>462994.40249999991</v>
      </c>
      <c r="K156" s="30">
        <f t="shared" si="241"/>
        <v>15275101.967999998</v>
      </c>
      <c r="L156" s="30">
        <f t="shared" si="241"/>
        <v>3360249.1999999997</v>
      </c>
      <c r="M156" s="30">
        <f t="shared" si="241"/>
        <v>17835644.82</v>
      </c>
      <c r="N156" s="30">
        <f t="shared" si="241"/>
        <v>875024.10000000009</v>
      </c>
      <c r="O156" s="30">
        <f>O154*O$1</f>
        <v>613925.76290000009</v>
      </c>
      <c r="P156" s="30"/>
      <c r="Q156" s="30">
        <f>SUM(C156:N156)</f>
        <v>48194863.793399997</v>
      </c>
      <c r="R156" s="66"/>
    </row>
    <row r="157" spans="1:18 16379:16379" s="50" customFormat="1" x14ac:dyDescent="0.3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/>
      <c r="XEY157"/>
    </row>
    <row r="158" spans="1:18 16379:16379" s="67" customFormat="1" x14ac:dyDescent="0.3">
      <c r="A158" s="32" t="s">
        <v>26</v>
      </c>
      <c r="B158" s="4" t="s">
        <v>13</v>
      </c>
      <c r="C158" s="3">
        <f>C151-C154</f>
        <v>27327</v>
      </c>
      <c r="D158" s="3">
        <f>D151-D154</f>
        <v>5922</v>
      </c>
      <c r="E158" s="3">
        <f t="shared" ref="E158:H158" si="242">E151-E154</f>
        <v>-646</v>
      </c>
      <c r="F158" s="3">
        <f t="shared" si="242"/>
        <v>5329</v>
      </c>
      <c r="G158" s="3">
        <f>G151-G154</f>
        <v>2067.5</v>
      </c>
      <c r="H158" s="3">
        <f t="shared" si="242"/>
        <v>-9999</v>
      </c>
      <c r="I158" s="3">
        <f>I151-I154</f>
        <v>47434.889999999992</v>
      </c>
      <c r="J158" s="3">
        <f t="shared" ref="J158:N158" si="243">J151-J154</f>
        <v>26412.504999999986</v>
      </c>
      <c r="K158" s="3">
        <f t="shared" si="243"/>
        <v>1109648.6500000001</v>
      </c>
      <c r="L158" s="3">
        <f>L151-L154</f>
        <v>162</v>
      </c>
      <c r="M158" s="3">
        <f t="shared" si="243"/>
        <v>51</v>
      </c>
      <c r="N158" s="3">
        <f t="shared" si="243"/>
        <v>45</v>
      </c>
      <c r="O158" s="3">
        <f t="shared" ref="O158:O163" si="244">I158/305</f>
        <v>155.5242295081967</v>
      </c>
      <c r="P158"/>
      <c r="Q158">
        <f>K158/2000</f>
        <v>554.82432500000004</v>
      </c>
      <c r="R158" s="66"/>
    </row>
    <row r="159" spans="1:18 16379:16379" s="67" customFormat="1" x14ac:dyDescent="0.3">
      <c r="A159" s="33"/>
      <c r="B159" s="5" t="s">
        <v>14</v>
      </c>
      <c r="C159" s="6">
        <v>20000</v>
      </c>
      <c r="D159" s="6">
        <v>8500</v>
      </c>
      <c r="E159" s="65">
        <v>9000</v>
      </c>
      <c r="F159" s="6">
        <v>7000</v>
      </c>
      <c r="G159" s="6">
        <v>3500</v>
      </c>
      <c r="H159" s="6">
        <v>100000</v>
      </c>
      <c r="I159" s="6">
        <v>0</v>
      </c>
      <c r="J159" s="6">
        <v>0</v>
      </c>
      <c r="K159" s="6">
        <v>1600000</v>
      </c>
      <c r="L159" s="6">
        <v>592</v>
      </c>
      <c r="M159" s="6">
        <v>1734</v>
      </c>
      <c r="N159" s="6">
        <v>74</v>
      </c>
      <c r="O159" s="6"/>
      <c r="P159"/>
      <c r="Q159"/>
      <c r="R159" s="66"/>
    </row>
    <row r="160" spans="1:18 16379:16379" s="67" customFormat="1" x14ac:dyDescent="0.3">
      <c r="A160" s="33"/>
      <c r="B160" s="5" t="s">
        <v>15</v>
      </c>
      <c r="C160" s="6">
        <f>C158+C159</f>
        <v>47327</v>
      </c>
      <c r="D160" s="6">
        <f t="shared" ref="D160:N160" si="245">D158+D159</f>
        <v>14422</v>
      </c>
      <c r="E160" s="6">
        <f t="shared" si="245"/>
        <v>8354</v>
      </c>
      <c r="F160" s="6">
        <f t="shared" si="245"/>
        <v>12329</v>
      </c>
      <c r="G160" s="6">
        <f t="shared" si="245"/>
        <v>5567.5</v>
      </c>
      <c r="H160" s="6">
        <f t="shared" si="245"/>
        <v>90001</v>
      </c>
      <c r="I160" s="6">
        <f t="shared" si="245"/>
        <v>47434.889999999992</v>
      </c>
      <c r="J160" s="6">
        <f t="shared" si="245"/>
        <v>26412.504999999986</v>
      </c>
      <c r="K160" s="6">
        <f t="shared" si="245"/>
        <v>2709648.6500000004</v>
      </c>
      <c r="L160" s="6">
        <f t="shared" si="245"/>
        <v>754</v>
      </c>
      <c r="M160" s="6">
        <f t="shared" si="245"/>
        <v>1785</v>
      </c>
      <c r="N160" s="6">
        <f t="shared" si="245"/>
        <v>119</v>
      </c>
      <c r="O160" s="6">
        <f t="shared" si="244"/>
        <v>155.5242295081967</v>
      </c>
      <c r="P160"/>
      <c r="Q160"/>
      <c r="R160" s="66"/>
    </row>
    <row r="161" spans="1:18 16379:16379" s="67" customFormat="1" x14ac:dyDescent="0.3">
      <c r="A161" s="45"/>
      <c r="B161" s="46" t="s">
        <v>16</v>
      </c>
      <c r="C161" s="47">
        <v>15945</v>
      </c>
      <c r="D161" s="47">
        <v>7952</v>
      </c>
      <c r="E161" s="47">
        <v>7377</v>
      </c>
      <c r="F161" s="47">
        <v>4740</v>
      </c>
      <c r="G161" s="47">
        <v>2370</v>
      </c>
      <c r="H161" s="47">
        <v>80490</v>
      </c>
      <c r="I161" s="47">
        <v>5587</v>
      </c>
      <c r="J161" s="47">
        <v>7390.5</v>
      </c>
      <c r="K161" s="47">
        <v>1266104</v>
      </c>
      <c r="L161" s="47">
        <v>375</v>
      </c>
      <c r="M161" s="47">
        <v>970</v>
      </c>
      <c r="N161" s="47">
        <v>19</v>
      </c>
      <c r="O161" s="47">
        <f t="shared" si="244"/>
        <v>18.318032786885247</v>
      </c>
      <c r="P161" s="49"/>
      <c r="Q161" s="48"/>
      <c r="R161" s="66"/>
    </row>
    <row r="162" spans="1:18 16379:16379" s="67" customFormat="1" x14ac:dyDescent="0.3">
      <c r="A162" s="33"/>
      <c r="B162" s="7" t="s">
        <v>17</v>
      </c>
      <c r="C162" s="8">
        <f>ROUND((C161*0.02),0)</f>
        <v>319</v>
      </c>
      <c r="D162" s="8">
        <v>0</v>
      </c>
      <c r="E162" s="8">
        <v>0</v>
      </c>
      <c r="F162" s="8">
        <v>0</v>
      </c>
      <c r="G162" s="8">
        <v>0</v>
      </c>
      <c r="H162" s="13">
        <f>H161*0.02</f>
        <v>1609.8</v>
      </c>
      <c r="I162" s="8">
        <f>I161*0.01</f>
        <v>55.870000000000005</v>
      </c>
      <c r="J162" s="13">
        <f>J161*0.01</f>
        <v>73.905000000000001</v>
      </c>
      <c r="K162" s="8">
        <f>K161*0.05</f>
        <v>63305.200000000004</v>
      </c>
      <c r="L162" s="8">
        <v>0</v>
      </c>
      <c r="M162" s="8">
        <v>0</v>
      </c>
      <c r="N162" s="8">
        <v>0</v>
      </c>
      <c r="O162" s="8">
        <f t="shared" si="244"/>
        <v>0.18318032786885247</v>
      </c>
      <c r="P162" s="23">
        <v>0.05</v>
      </c>
      <c r="Q162"/>
      <c r="R162" s="66"/>
    </row>
    <row r="163" spans="1:18 16379:16379" s="67" customFormat="1" x14ac:dyDescent="0.3">
      <c r="A163" s="34"/>
      <c r="B163" s="7" t="s">
        <v>22</v>
      </c>
      <c r="C163" s="8">
        <f>C161+C162</f>
        <v>16264</v>
      </c>
      <c r="D163" s="8">
        <f t="shared" ref="D163:N163" si="246">D161+D162</f>
        <v>7952</v>
      </c>
      <c r="E163" s="8">
        <f t="shared" si="246"/>
        <v>7377</v>
      </c>
      <c r="F163" s="8">
        <f t="shared" si="246"/>
        <v>4740</v>
      </c>
      <c r="G163" s="8">
        <f t="shared" si="246"/>
        <v>2370</v>
      </c>
      <c r="H163" s="8">
        <f t="shared" si="246"/>
        <v>82099.8</v>
      </c>
      <c r="I163" s="8">
        <f t="shared" si="246"/>
        <v>5642.87</v>
      </c>
      <c r="J163" s="8">
        <f t="shared" si="246"/>
        <v>7464.4049999999997</v>
      </c>
      <c r="K163" s="8">
        <f t="shared" si="246"/>
        <v>1329409.2</v>
      </c>
      <c r="L163" s="8">
        <f>L161+L162</f>
        <v>375</v>
      </c>
      <c r="M163" s="8">
        <f t="shared" si="246"/>
        <v>970</v>
      </c>
      <c r="N163" s="8">
        <f t="shared" si="246"/>
        <v>19</v>
      </c>
      <c r="O163" s="8">
        <f t="shared" si="244"/>
        <v>18.501213114754098</v>
      </c>
      <c r="P163"/>
      <c r="Q163"/>
      <c r="R163" s="66"/>
    </row>
    <row r="164" spans="1:18 16379:16379" s="67" customFormat="1" x14ac:dyDescent="0.3">
      <c r="A164" s="28" t="s">
        <v>19</v>
      </c>
      <c r="B164" s="28"/>
      <c r="C164" s="29">
        <f>C159*C$1</f>
        <v>3206800</v>
      </c>
      <c r="D164" s="29">
        <f>D159*D$1</f>
        <v>1942335</v>
      </c>
      <c r="E164" s="29">
        <f t="shared" ref="E164:F164" si="247">E159*E$1</f>
        <v>1302570</v>
      </c>
      <c r="F164" s="29">
        <f t="shared" si="247"/>
        <v>1531950</v>
      </c>
      <c r="G164" s="29">
        <f>G159*G$1</f>
        <v>640395</v>
      </c>
      <c r="H164" s="29">
        <f t="shared" ref="H164:O164" si="248">H159*H$1</f>
        <v>2959000</v>
      </c>
      <c r="I164" s="29">
        <f t="shared" si="248"/>
        <v>0</v>
      </c>
      <c r="J164" s="29">
        <f t="shared" si="248"/>
        <v>0</v>
      </c>
      <c r="K164" s="29">
        <f t="shared" si="248"/>
        <v>17904000</v>
      </c>
      <c r="L164" s="29">
        <f t="shared" si="248"/>
        <v>5036120.3199999994</v>
      </c>
      <c r="M164" s="29">
        <f t="shared" si="248"/>
        <v>24142863.48</v>
      </c>
      <c r="N164" s="29">
        <f t="shared" si="248"/>
        <v>2158392.7800000003</v>
      </c>
      <c r="O164" s="29">
        <f t="shared" si="248"/>
        <v>0</v>
      </c>
      <c r="P164" s="29"/>
      <c r="Q164" s="28">
        <f>SUM(C164:N164)</f>
        <v>60824426.579999998</v>
      </c>
      <c r="R164" s="66"/>
    </row>
    <row r="165" spans="1:18 16379:16379" s="67" customFormat="1" x14ac:dyDescent="0.3">
      <c r="A165" s="30" t="s">
        <v>20</v>
      </c>
      <c r="B165" s="43"/>
      <c r="C165" s="30">
        <f>C163*C$1</f>
        <v>2607769.7600000002</v>
      </c>
      <c r="D165" s="30">
        <f t="shared" ref="D165:F165" si="249">D163*D$1</f>
        <v>1817111.52</v>
      </c>
      <c r="E165" s="30">
        <f t="shared" si="249"/>
        <v>1067673.21</v>
      </c>
      <c r="F165" s="30">
        <f t="shared" si="249"/>
        <v>1037349</v>
      </c>
      <c r="G165" s="30">
        <f>G163*G$1</f>
        <v>433638.9</v>
      </c>
      <c r="H165" s="30">
        <f t="shared" ref="H165:N165" si="250">H163*H$1</f>
        <v>2429333.0819999999</v>
      </c>
      <c r="I165" s="30">
        <f t="shared" si="250"/>
        <v>587027.76610000001</v>
      </c>
      <c r="J165" s="30">
        <f t="shared" si="250"/>
        <v>392254.48274999997</v>
      </c>
      <c r="K165" s="30">
        <f t="shared" si="250"/>
        <v>14876088.947999999</v>
      </c>
      <c r="L165" s="30">
        <f t="shared" si="250"/>
        <v>3190109.9999999995</v>
      </c>
      <c r="M165" s="30">
        <f t="shared" si="250"/>
        <v>13505523.399999999</v>
      </c>
      <c r="N165" s="30">
        <f t="shared" si="250"/>
        <v>554181.93000000005</v>
      </c>
      <c r="O165" s="30">
        <f>O163*O$1</f>
        <v>587027.76610000001</v>
      </c>
      <c r="P165" s="30"/>
      <c r="Q165" s="30">
        <f>SUM(C165:N165)</f>
        <v>42498061.998849995</v>
      </c>
      <c r="R165" s="66"/>
    </row>
    <row r="166" spans="1:18 16379:16379" s="53" customFormat="1" ht="33.6" x14ac:dyDescent="0.65">
      <c r="A166" s="44">
        <v>2026</v>
      </c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XEY166"/>
    </row>
    <row r="167" spans="1:18 16379:16379" s="67" customFormat="1" x14ac:dyDescent="0.3">
      <c r="A167" s="32" t="s">
        <v>27</v>
      </c>
      <c r="B167" s="4" t="s">
        <v>13</v>
      </c>
      <c r="C167" s="3">
        <f>C160-C163</f>
        <v>31063</v>
      </c>
      <c r="D167" s="3">
        <f>D160-D163</f>
        <v>6470</v>
      </c>
      <c r="E167" s="3">
        <f t="shared" ref="E167:F167" si="251">E160-E163</f>
        <v>977</v>
      </c>
      <c r="F167" s="3">
        <f t="shared" si="251"/>
        <v>7589</v>
      </c>
      <c r="G167" s="3">
        <f>G160-G163</f>
        <v>3197.5</v>
      </c>
      <c r="H167" s="3">
        <f t="shared" ref="H167" si="252">H160-H163</f>
        <v>7901.1999999999971</v>
      </c>
      <c r="I167" s="3">
        <f>I160-I163</f>
        <v>41792.01999999999</v>
      </c>
      <c r="J167" s="3">
        <f t="shared" ref="J167:K167" si="253">J160-J163</f>
        <v>18948.099999999988</v>
      </c>
      <c r="K167" s="3">
        <f t="shared" si="253"/>
        <v>1380239.4500000004</v>
      </c>
      <c r="L167" s="3">
        <f>L160-L163</f>
        <v>379</v>
      </c>
      <c r="M167" s="3">
        <f t="shared" ref="M167:N167" si="254">M160-M163</f>
        <v>815</v>
      </c>
      <c r="N167" s="3">
        <f t="shared" si="254"/>
        <v>100</v>
      </c>
      <c r="O167" s="3">
        <f t="shared" ref="O167" si="255">I167/305</f>
        <v>137.02301639344259</v>
      </c>
      <c r="P167"/>
      <c r="Q167">
        <f>K167/2000</f>
        <v>690.11972500000024</v>
      </c>
      <c r="R167" s="66"/>
    </row>
    <row r="168" spans="1:18 16379:16379" s="67" customFormat="1" x14ac:dyDescent="0.3">
      <c r="A168" s="33"/>
      <c r="B168" s="5" t="s">
        <v>14</v>
      </c>
      <c r="C168" s="6">
        <v>20000</v>
      </c>
      <c r="D168" s="6">
        <v>8500</v>
      </c>
      <c r="E168" s="65">
        <v>9000</v>
      </c>
      <c r="F168" s="6">
        <v>7000</v>
      </c>
      <c r="G168" s="6">
        <v>3500</v>
      </c>
      <c r="H168" s="6">
        <v>100000</v>
      </c>
      <c r="I168" s="6">
        <v>15250</v>
      </c>
      <c r="J168" s="6">
        <v>0</v>
      </c>
      <c r="K168" s="6">
        <v>1600000</v>
      </c>
      <c r="L168" s="6">
        <v>256</v>
      </c>
      <c r="M168" s="6">
        <v>950</v>
      </c>
      <c r="N168" s="6">
        <v>30</v>
      </c>
      <c r="O168" s="6"/>
      <c r="P168"/>
      <c r="Q168"/>
      <c r="R168" s="66"/>
    </row>
    <row r="169" spans="1:18 16379:16379" s="67" customFormat="1" x14ac:dyDescent="0.3">
      <c r="A169" s="33"/>
      <c r="B169" s="5" t="s">
        <v>15</v>
      </c>
      <c r="C169" s="6">
        <f>C167+C168</f>
        <v>51063</v>
      </c>
      <c r="D169" s="6">
        <f t="shared" ref="D169:N169" si="256">D167+D168</f>
        <v>14970</v>
      </c>
      <c r="E169" s="6">
        <f t="shared" si="256"/>
        <v>9977</v>
      </c>
      <c r="F169" s="6">
        <f t="shared" si="256"/>
        <v>14589</v>
      </c>
      <c r="G169" s="6">
        <f t="shared" si="256"/>
        <v>6697.5</v>
      </c>
      <c r="H169" s="6">
        <f t="shared" si="256"/>
        <v>107901.2</v>
      </c>
      <c r="I169" s="6">
        <f t="shared" si="256"/>
        <v>57042.01999999999</v>
      </c>
      <c r="J169" s="6">
        <f t="shared" si="256"/>
        <v>18948.099999999988</v>
      </c>
      <c r="K169" s="6">
        <f t="shared" si="256"/>
        <v>2980239.45</v>
      </c>
      <c r="L169" s="6">
        <f t="shared" si="256"/>
        <v>635</v>
      </c>
      <c r="M169" s="6">
        <f t="shared" si="256"/>
        <v>1765</v>
      </c>
      <c r="N169" s="6">
        <f t="shared" si="256"/>
        <v>130</v>
      </c>
      <c r="O169" s="6">
        <f t="shared" ref="O169:O172" si="257">I169/305</f>
        <v>187.02301639344259</v>
      </c>
      <c r="P169"/>
      <c r="Q169"/>
      <c r="R169" s="66"/>
    </row>
    <row r="170" spans="1:18 16379:16379" s="67" customFormat="1" x14ac:dyDescent="0.3">
      <c r="A170" s="45"/>
      <c r="B170" s="46" t="s">
        <v>16</v>
      </c>
      <c r="C170" s="47">
        <v>19517</v>
      </c>
      <c r="D170" s="47">
        <v>9751</v>
      </c>
      <c r="E170" s="47">
        <v>8953</v>
      </c>
      <c r="F170" s="47">
        <v>6662</v>
      </c>
      <c r="G170" s="47">
        <v>3331</v>
      </c>
      <c r="H170" s="47">
        <v>97057</v>
      </c>
      <c r="I170" s="47">
        <v>8711</v>
      </c>
      <c r="J170" s="47">
        <v>9383.5</v>
      </c>
      <c r="K170" s="47">
        <v>1535077</v>
      </c>
      <c r="L170" s="47">
        <v>578</v>
      </c>
      <c r="M170" s="47">
        <v>1492</v>
      </c>
      <c r="N170" s="47">
        <v>46</v>
      </c>
      <c r="O170" s="47">
        <f t="shared" si="257"/>
        <v>28.560655737704916</v>
      </c>
      <c r="P170" s="49"/>
      <c r="Q170" s="48"/>
      <c r="R170" s="66"/>
    </row>
    <row r="171" spans="1:18 16379:16379" s="67" customFormat="1" x14ac:dyDescent="0.3">
      <c r="A171" s="33"/>
      <c r="B171" s="7" t="s">
        <v>17</v>
      </c>
      <c r="C171" s="8">
        <f>ROUND((C170*0.02),0)</f>
        <v>390</v>
      </c>
      <c r="D171" s="8">
        <v>0</v>
      </c>
      <c r="E171" s="8">
        <v>0</v>
      </c>
      <c r="F171" s="8">
        <v>0</v>
      </c>
      <c r="G171" s="8">
        <v>0</v>
      </c>
      <c r="H171" s="75">
        <f>H170*0.02</f>
        <v>1941.14</v>
      </c>
      <c r="I171" s="8">
        <f>I170*0.01</f>
        <v>87.11</v>
      </c>
      <c r="J171" s="75">
        <f>J170*0.01</f>
        <v>93.835000000000008</v>
      </c>
      <c r="K171" s="8">
        <f>K170*0.05</f>
        <v>76753.850000000006</v>
      </c>
      <c r="L171" s="8">
        <v>0</v>
      </c>
      <c r="M171" s="8">
        <v>0</v>
      </c>
      <c r="N171" s="8">
        <v>0</v>
      </c>
      <c r="O171" s="8">
        <f t="shared" si="257"/>
        <v>0.28560655737704915</v>
      </c>
      <c r="P171" s="23">
        <v>0.05</v>
      </c>
      <c r="Q171"/>
      <c r="R171" s="66"/>
    </row>
    <row r="172" spans="1:18 16379:16379" s="67" customFormat="1" x14ac:dyDescent="0.3">
      <c r="A172" s="34"/>
      <c r="B172" s="7" t="s">
        <v>22</v>
      </c>
      <c r="C172" s="8">
        <f>C170+C171</f>
        <v>19907</v>
      </c>
      <c r="D172" s="8">
        <f t="shared" ref="D172:K172" si="258">D170+D171</f>
        <v>9751</v>
      </c>
      <c r="E172" s="8">
        <f t="shared" si="258"/>
        <v>8953</v>
      </c>
      <c r="F172" s="8">
        <f t="shared" si="258"/>
        <v>6662</v>
      </c>
      <c r="G172" s="8">
        <f t="shared" si="258"/>
        <v>3331</v>
      </c>
      <c r="H172" s="8">
        <f t="shared" si="258"/>
        <v>98998.14</v>
      </c>
      <c r="I172" s="8">
        <f t="shared" si="258"/>
        <v>8798.11</v>
      </c>
      <c r="J172" s="8">
        <f t="shared" si="258"/>
        <v>9477.3349999999991</v>
      </c>
      <c r="K172" s="8">
        <f t="shared" si="258"/>
        <v>1611830.85</v>
      </c>
      <c r="L172" s="8">
        <f>L170+L171</f>
        <v>578</v>
      </c>
      <c r="M172" s="8">
        <f t="shared" ref="M172:N172" si="259">M170+M171</f>
        <v>1492</v>
      </c>
      <c r="N172" s="8">
        <f t="shared" si="259"/>
        <v>46</v>
      </c>
      <c r="O172" s="8">
        <f t="shared" si="257"/>
        <v>28.846262295081971</v>
      </c>
      <c r="P172"/>
      <c r="Q172"/>
      <c r="R172" s="66"/>
    </row>
    <row r="173" spans="1:18 16379:16379" s="74" customFormat="1" x14ac:dyDescent="0.3">
      <c r="A173" s="28" t="s">
        <v>19</v>
      </c>
      <c r="B173" s="28"/>
      <c r="C173" s="29">
        <f>C168*C$1</f>
        <v>3206800</v>
      </c>
      <c r="D173" s="29">
        <f>D168*D$1</f>
        <v>1942335</v>
      </c>
      <c r="E173" s="29">
        <f t="shared" ref="E173:F173" si="260">E168*E$1</f>
        <v>1302570</v>
      </c>
      <c r="F173" s="29">
        <f t="shared" si="260"/>
        <v>1531950</v>
      </c>
      <c r="G173" s="29">
        <f>G168*G$1</f>
        <v>640395</v>
      </c>
      <c r="H173" s="29">
        <f t="shared" ref="H173:O173" si="261">H168*H$1</f>
        <v>2959000</v>
      </c>
      <c r="I173" s="29">
        <f t="shared" si="261"/>
        <v>1586457.5</v>
      </c>
      <c r="J173" s="29">
        <f t="shared" si="261"/>
        <v>0</v>
      </c>
      <c r="K173" s="29">
        <f t="shared" si="261"/>
        <v>17904000</v>
      </c>
      <c r="L173" s="29">
        <f t="shared" si="261"/>
        <v>2177781.7599999998</v>
      </c>
      <c r="M173" s="29">
        <f t="shared" si="261"/>
        <v>13227059</v>
      </c>
      <c r="N173" s="29">
        <f t="shared" si="261"/>
        <v>875024.10000000009</v>
      </c>
      <c r="O173" s="29">
        <f t="shared" si="261"/>
        <v>0</v>
      </c>
      <c r="P173" s="29"/>
      <c r="Q173" s="28">
        <f>SUM(C173:N173)</f>
        <v>47353372.359999999</v>
      </c>
      <c r="R173" s="73"/>
    </row>
    <row r="174" spans="1:18 16379:16379" s="74" customFormat="1" x14ac:dyDescent="0.3">
      <c r="A174" s="30" t="s">
        <v>20</v>
      </c>
      <c r="B174" s="43"/>
      <c r="C174" s="30">
        <f>C172*C$1</f>
        <v>3191888.38</v>
      </c>
      <c r="D174" s="30">
        <f t="shared" ref="D174:F174" si="262">D172*D$1</f>
        <v>2228201.0099999998</v>
      </c>
      <c r="E174" s="30">
        <f t="shared" si="262"/>
        <v>1295767.69</v>
      </c>
      <c r="F174" s="30">
        <f t="shared" si="262"/>
        <v>1457978.7</v>
      </c>
      <c r="G174" s="30">
        <f>G172*G$1</f>
        <v>609473.06999999995</v>
      </c>
      <c r="H174" s="30">
        <f t="shared" ref="H174:N174" si="263">H172*H$1</f>
        <v>2929354.9625999997</v>
      </c>
      <c r="I174" s="30">
        <f t="shared" si="263"/>
        <v>915267.3833000001</v>
      </c>
      <c r="J174" s="30">
        <f t="shared" si="263"/>
        <v>498033.95424999995</v>
      </c>
      <c r="K174" s="30">
        <f t="shared" si="263"/>
        <v>18036387.2115</v>
      </c>
      <c r="L174" s="30">
        <f t="shared" si="263"/>
        <v>4917022.88</v>
      </c>
      <c r="M174" s="30">
        <f t="shared" si="263"/>
        <v>20773444.239999998</v>
      </c>
      <c r="N174" s="30">
        <f t="shared" si="263"/>
        <v>1341703.6200000001</v>
      </c>
      <c r="O174" s="30">
        <f>O172*O$1</f>
        <v>915267.3833000001</v>
      </c>
      <c r="P174" s="30"/>
      <c r="Q174" s="30">
        <f>SUM(C174:N174)</f>
        <v>58194523.101649992</v>
      </c>
      <c r="R174" s="73"/>
    </row>
    <row r="175" spans="1:18 16379:16379" s="74" customFormat="1" x14ac:dyDescent="0.3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73"/>
    </row>
    <row r="176" spans="1:18 16379:16379" s="74" customFormat="1" x14ac:dyDescent="0.3">
      <c r="A176" s="32" t="s">
        <v>44</v>
      </c>
      <c r="B176" s="4" t="s">
        <v>13</v>
      </c>
      <c r="C176" s="3">
        <f>C169-C172</f>
        <v>31156</v>
      </c>
      <c r="D176" s="3">
        <f t="shared" ref="D176:O176" si="264">D169-D172</f>
        <v>5219</v>
      </c>
      <c r="E176" s="3">
        <f t="shared" si="264"/>
        <v>1024</v>
      </c>
      <c r="F176" s="3">
        <f>F169-F172</f>
        <v>7927</v>
      </c>
      <c r="G176" s="3">
        <f t="shared" si="264"/>
        <v>3366.5</v>
      </c>
      <c r="H176" s="3">
        <f t="shared" si="264"/>
        <v>8903.0599999999977</v>
      </c>
      <c r="I176" s="3">
        <f t="shared" si="264"/>
        <v>48243.909999999989</v>
      </c>
      <c r="J176" s="3">
        <f t="shared" si="264"/>
        <v>9470.7649999999885</v>
      </c>
      <c r="K176" s="3">
        <f t="shared" si="264"/>
        <v>1368408.6</v>
      </c>
      <c r="L176" s="3">
        <f t="shared" si="264"/>
        <v>57</v>
      </c>
      <c r="M176" s="3">
        <f t="shared" si="264"/>
        <v>273</v>
      </c>
      <c r="N176" s="3">
        <f t="shared" si="264"/>
        <v>84</v>
      </c>
      <c r="O176" s="3">
        <f t="shared" si="264"/>
        <v>158.17675409836062</v>
      </c>
      <c r="P176"/>
      <c r="Q176">
        <f>K176/2000</f>
        <v>684.2043000000001</v>
      </c>
      <c r="R176" s="73"/>
    </row>
    <row r="177" spans="1:18" s="74" customFormat="1" x14ac:dyDescent="0.3">
      <c r="A177" s="33"/>
      <c r="B177" s="5" t="s">
        <v>14</v>
      </c>
      <c r="C177" s="6"/>
      <c r="D177" s="6"/>
      <c r="E177" s="6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/>
      <c r="Q177"/>
      <c r="R177" s="73"/>
    </row>
    <row r="178" spans="1:18" s="74" customFormat="1" x14ac:dyDescent="0.3">
      <c r="A178" s="33"/>
      <c r="B178" s="5" t="s">
        <v>15</v>
      </c>
      <c r="C178" s="6">
        <f>C176+C177</f>
        <v>31156</v>
      </c>
      <c r="D178" s="6">
        <f t="shared" ref="D178:N178" si="265">D176+D177</f>
        <v>5219</v>
      </c>
      <c r="E178" s="6">
        <f t="shared" si="265"/>
        <v>1024</v>
      </c>
      <c r="F178" s="6">
        <f t="shared" si="265"/>
        <v>7927</v>
      </c>
      <c r="G178" s="6">
        <f t="shared" si="265"/>
        <v>3366.5</v>
      </c>
      <c r="H178" s="6">
        <f t="shared" si="265"/>
        <v>8903.0599999999977</v>
      </c>
      <c r="I178" s="6">
        <f t="shared" si="265"/>
        <v>48243.909999999989</v>
      </c>
      <c r="J178" s="6">
        <f t="shared" si="265"/>
        <v>9470.7649999999885</v>
      </c>
      <c r="K178" s="6">
        <f t="shared" si="265"/>
        <v>1368408.6</v>
      </c>
      <c r="L178" s="6">
        <f t="shared" si="265"/>
        <v>57</v>
      </c>
      <c r="M178" s="6">
        <f t="shared" si="265"/>
        <v>273</v>
      </c>
      <c r="N178" s="6">
        <f t="shared" si="265"/>
        <v>84</v>
      </c>
      <c r="O178" s="6">
        <f t="shared" ref="O178:O181" si="266">I178/305</f>
        <v>158.17675409836062</v>
      </c>
      <c r="P178"/>
      <c r="Q178"/>
      <c r="R178" s="73"/>
    </row>
    <row r="179" spans="1:18" s="74" customFormat="1" x14ac:dyDescent="0.3">
      <c r="A179" s="45"/>
      <c r="B179" s="46" t="s">
        <v>16</v>
      </c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9"/>
      <c r="Q179" s="48"/>
      <c r="R179" s="73"/>
    </row>
    <row r="180" spans="1:18" s="74" customFormat="1" x14ac:dyDescent="0.3">
      <c r="A180" s="33"/>
      <c r="B180" s="7" t="s">
        <v>17</v>
      </c>
      <c r="C180" s="8">
        <f>ROUND((C179*0.02),0)</f>
        <v>0</v>
      </c>
      <c r="D180" s="8">
        <v>0</v>
      </c>
      <c r="E180" s="8">
        <v>0</v>
      </c>
      <c r="F180" s="8">
        <v>0</v>
      </c>
      <c r="G180" s="8">
        <v>0</v>
      </c>
      <c r="H180" s="13">
        <f>H179*0.02</f>
        <v>0</v>
      </c>
      <c r="I180" s="8">
        <f>I179*0.01</f>
        <v>0</v>
      </c>
      <c r="J180" s="13">
        <f>J179*0.01</f>
        <v>0</v>
      </c>
      <c r="K180" s="8">
        <f>K179*0.05</f>
        <v>0</v>
      </c>
      <c r="L180" s="8">
        <v>0</v>
      </c>
      <c r="M180" s="8">
        <v>0</v>
      </c>
      <c r="N180" s="8">
        <v>0</v>
      </c>
      <c r="O180" s="8">
        <f t="shared" si="266"/>
        <v>0</v>
      </c>
      <c r="P180" s="23">
        <v>0.05</v>
      </c>
      <c r="Q180"/>
      <c r="R180" s="73"/>
    </row>
    <row r="181" spans="1:18" s="74" customFormat="1" x14ac:dyDescent="0.3">
      <c r="A181" s="34"/>
      <c r="B181" s="7" t="s">
        <v>22</v>
      </c>
      <c r="C181" s="8">
        <f>C179+C180</f>
        <v>0</v>
      </c>
      <c r="D181" s="8">
        <f t="shared" ref="D181:K181" si="267">D179+D180</f>
        <v>0</v>
      </c>
      <c r="E181" s="8">
        <f t="shared" si="267"/>
        <v>0</v>
      </c>
      <c r="F181" s="8">
        <f t="shared" si="267"/>
        <v>0</v>
      </c>
      <c r="G181" s="8">
        <f t="shared" si="267"/>
        <v>0</v>
      </c>
      <c r="H181" s="8">
        <f t="shared" si="267"/>
        <v>0</v>
      </c>
      <c r="I181" s="8">
        <f t="shared" si="267"/>
        <v>0</v>
      </c>
      <c r="J181" s="8">
        <f t="shared" si="267"/>
        <v>0</v>
      </c>
      <c r="K181" s="8">
        <f t="shared" si="267"/>
        <v>0</v>
      </c>
      <c r="L181" s="8">
        <f>L179+L180</f>
        <v>0</v>
      </c>
      <c r="M181" s="8">
        <f t="shared" ref="M181:N181" si="268">M179+M180</f>
        <v>0</v>
      </c>
      <c r="N181" s="8">
        <f t="shared" si="268"/>
        <v>0</v>
      </c>
      <c r="O181" s="8">
        <f t="shared" si="266"/>
        <v>0</v>
      </c>
      <c r="P181"/>
      <c r="Q181"/>
      <c r="R181" s="73"/>
    </row>
    <row r="182" spans="1:18" s="74" customFormat="1" x14ac:dyDescent="0.3">
      <c r="A182" s="28" t="s">
        <v>19</v>
      </c>
      <c r="B182" s="28"/>
      <c r="C182" s="29">
        <f>C177*C$1</f>
        <v>0</v>
      </c>
      <c r="D182" s="29">
        <f>D177*D$1</f>
        <v>0</v>
      </c>
      <c r="E182" s="29">
        <f t="shared" ref="E182:F182" si="269">E177*E$1</f>
        <v>0</v>
      </c>
      <c r="F182" s="29">
        <f t="shared" si="269"/>
        <v>0</v>
      </c>
      <c r="G182" s="29">
        <f>G177*G$1</f>
        <v>0</v>
      </c>
      <c r="H182" s="29">
        <f t="shared" ref="H182:O182" si="270">H177*H$1</f>
        <v>0</v>
      </c>
      <c r="I182" s="29">
        <f t="shared" si="270"/>
        <v>0</v>
      </c>
      <c r="J182" s="29">
        <f t="shared" si="270"/>
        <v>0</v>
      </c>
      <c r="K182" s="29">
        <f t="shared" si="270"/>
        <v>0</v>
      </c>
      <c r="L182" s="29">
        <f t="shared" si="270"/>
        <v>0</v>
      </c>
      <c r="M182" s="29">
        <f t="shared" si="270"/>
        <v>0</v>
      </c>
      <c r="N182" s="29">
        <f t="shared" si="270"/>
        <v>0</v>
      </c>
      <c r="O182" s="29">
        <f t="shared" si="270"/>
        <v>0</v>
      </c>
      <c r="P182" s="29"/>
      <c r="Q182" s="28">
        <f>SUM(C182:N182)</f>
        <v>0</v>
      </c>
      <c r="R182" s="73"/>
    </row>
    <row r="183" spans="1:18" s="74" customFormat="1" x14ac:dyDescent="0.3">
      <c r="A183" s="30" t="s">
        <v>20</v>
      </c>
      <c r="B183" s="43"/>
      <c r="C183" s="30">
        <f>C181*C$1</f>
        <v>0</v>
      </c>
      <c r="D183" s="30">
        <f t="shared" ref="D183:F183" si="271">D181*D$1</f>
        <v>0</v>
      </c>
      <c r="E183" s="30">
        <f t="shared" si="271"/>
        <v>0</v>
      </c>
      <c r="F183" s="30">
        <f t="shared" si="271"/>
        <v>0</v>
      </c>
      <c r="G183" s="30">
        <f>G181*G$1</f>
        <v>0</v>
      </c>
      <c r="H183" s="30">
        <f t="shared" ref="H183:N183" si="272">H181*H$1</f>
        <v>0</v>
      </c>
      <c r="I183" s="30">
        <f t="shared" si="272"/>
        <v>0</v>
      </c>
      <c r="J183" s="30">
        <f t="shared" si="272"/>
        <v>0</v>
      </c>
      <c r="K183" s="30">
        <f t="shared" si="272"/>
        <v>0</v>
      </c>
      <c r="L183" s="30">
        <f t="shared" si="272"/>
        <v>0</v>
      </c>
      <c r="M183" s="30">
        <f t="shared" si="272"/>
        <v>0</v>
      </c>
      <c r="N183" s="30">
        <f t="shared" si="272"/>
        <v>0</v>
      </c>
      <c r="O183" s="30">
        <f>O181*O$1</f>
        <v>0</v>
      </c>
      <c r="P183" s="30"/>
      <c r="Q183" s="30">
        <f>SUM(C183:N183)</f>
        <v>0</v>
      </c>
      <c r="R183" s="73"/>
    </row>
    <row r="184" spans="1:18" s="74" customFormat="1" x14ac:dyDescent="0.3">
      <c r="A184" s="51"/>
      <c r="B184" s="28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73"/>
    </row>
    <row r="185" spans="1:18" s="74" customFormat="1" x14ac:dyDescent="0.3">
      <c r="A185" s="51"/>
      <c r="B185" s="28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73"/>
    </row>
    <row r="186" spans="1:18" s="74" customFormat="1" x14ac:dyDescent="0.3">
      <c r="A186" s="51"/>
      <c r="B186" s="28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73"/>
    </row>
    <row r="187" spans="1:18" s="74" customFormat="1" x14ac:dyDescent="0.3">
      <c r="A187" s="51"/>
      <c r="B187" s="28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73"/>
    </row>
    <row r="188" spans="1:18" s="74" customFormat="1" x14ac:dyDescent="0.3">
      <c r="A188" s="51"/>
      <c r="B188" s="28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73"/>
    </row>
    <row r="189" spans="1:18" s="74" customFormat="1" x14ac:dyDescent="0.3">
      <c r="A189" s="51"/>
      <c r="B189" s="28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73"/>
    </row>
    <row r="190" spans="1:18" s="74" customFormat="1" x14ac:dyDescent="0.3">
      <c r="A190" s="51"/>
      <c r="B190" s="28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73"/>
    </row>
    <row r="191" spans="1:18" s="74" customFormat="1" x14ac:dyDescent="0.3">
      <c r="A191" s="51"/>
      <c r="B191" s="28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73"/>
    </row>
    <row r="192" spans="1:18" s="74" customFormat="1" x14ac:dyDescent="0.3">
      <c r="A192" s="51"/>
      <c r="B192" s="28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73"/>
    </row>
    <row r="193" spans="1:18 16379:16379" s="74" customFormat="1" x14ac:dyDescent="0.3">
      <c r="A193" s="51"/>
      <c r="B193" s="28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73"/>
    </row>
    <row r="194" spans="1:18 16379:16379" s="74" customFormat="1" x14ac:dyDescent="0.3">
      <c r="A194" s="51"/>
      <c r="B194" s="28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73"/>
    </row>
    <row r="195" spans="1:18 16379:16379" s="74" customFormat="1" x14ac:dyDescent="0.3">
      <c r="A195" s="51"/>
      <c r="B195" s="28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73"/>
    </row>
    <row r="196" spans="1:18 16379:16379" s="74" customFormat="1" x14ac:dyDescent="0.3">
      <c r="A196" s="51"/>
      <c r="B196" s="28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73"/>
    </row>
    <row r="197" spans="1:18 16379:16379" s="50" customFormat="1" ht="27.6" x14ac:dyDescent="0.3">
      <c r="A197" s="39"/>
      <c r="B197" s="40"/>
      <c r="C197" s="21" t="s">
        <v>2</v>
      </c>
      <c r="D197" s="21" t="s">
        <v>3</v>
      </c>
      <c r="E197" s="21" t="s">
        <v>4</v>
      </c>
      <c r="F197" s="21" t="s">
        <v>5</v>
      </c>
      <c r="G197" s="21" t="s">
        <v>6</v>
      </c>
      <c r="H197" s="21" t="s">
        <v>7</v>
      </c>
      <c r="I197" s="21" t="s">
        <v>8</v>
      </c>
      <c r="J197" s="21" t="s">
        <v>9</v>
      </c>
      <c r="K197" s="21" t="s">
        <v>10</v>
      </c>
      <c r="L197" s="21">
        <v>5.6</v>
      </c>
      <c r="M197" s="21">
        <v>6.7</v>
      </c>
      <c r="N197" s="21">
        <v>8</v>
      </c>
      <c r="O197" s="21" t="s">
        <v>11</v>
      </c>
      <c r="P197"/>
      <c r="Q197"/>
      <c r="R197"/>
      <c r="XEY197"/>
    </row>
    <row r="198" spans="1:18 16379:16379" s="50" customFormat="1" x14ac:dyDescent="0.3">
      <c r="A198" s="38" t="s">
        <v>35</v>
      </c>
      <c r="B198" s="9" t="s">
        <v>16</v>
      </c>
      <c r="C198" s="13">
        <f t="shared" ref="C198:O198" si="273">C61+C71+C80+C89+C98+C107+C116+C125+C134+C143+C152+C161</f>
        <v>187090</v>
      </c>
      <c r="D198" s="13">
        <f t="shared" si="273"/>
        <v>93332</v>
      </c>
      <c r="E198" s="13">
        <f t="shared" si="273"/>
        <v>85891</v>
      </c>
      <c r="F198" s="13">
        <f>F61+F71+F80+F89+F98+F107+F116+F125+F134+F143+F152+F161</f>
        <v>70962</v>
      </c>
      <c r="G198" s="13">
        <f t="shared" si="273"/>
        <v>36081.5</v>
      </c>
      <c r="H198" s="13">
        <f t="shared" si="273"/>
        <v>989237</v>
      </c>
      <c r="I198" s="13">
        <f t="shared" si="273"/>
        <v>76776</v>
      </c>
      <c r="J198" s="13">
        <f t="shared" si="273"/>
        <v>105746.5</v>
      </c>
      <c r="K198" s="13">
        <f t="shared" si="273"/>
        <v>15353444</v>
      </c>
      <c r="L198" s="13">
        <f t="shared" si="273"/>
        <v>4996</v>
      </c>
      <c r="M198" s="13">
        <f t="shared" si="273"/>
        <v>15601</v>
      </c>
      <c r="N198" s="13">
        <f t="shared" si="273"/>
        <v>327</v>
      </c>
      <c r="O198" s="13">
        <f t="shared" si="273"/>
        <v>251.72459016393441</v>
      </c>
      <c r="P198"/>
      <c r="Q198"/>
      <c r="R198"/>
      <c r="XEY198"/>
    </row>
    <row r="199" spans="1:18 16379:16379" s="50" customFormat="1" x14ac:dyDescent="0.3">
      <c r="A199" s="38"/>
      <c r="B199" s="9" t="s">
        <v>17</v>
      </c>
      <c r="C199" s="13">
        <f>C198*0.02</f>
        <v>3741.8</v>
      </c>
      <c r="D199" s="13">
        <f>D7+D16+D25+D34+D43+D52+D62+D72+D81+D90+D99+D108+D117+D126+D135+D144+D153+D162</f>
        <v>0</v>
      </c>
      <c r="E199" s="13">
        <f>E7+E16+E25+E34+E43+E52+E62+E72+E81+E90+E99+E108+E117+E126+E135+E144+E153+E162</f>
        <v>0</v>
      </c>
      <c r="F199" s="13">
        <f>F7+F16+F25+F34+F43+F52+F62+F72+F81+F90+F99+F108+F117+F126+F135+F144+F153+F162</f>
        <v>0</v>
      </c>
      <c r="G199" s="13">
        <f>G7+G16+G25+G34+G43+G52+G62+G72+G81+G90+G99+G108+G117+G126+G135+G144+G153+G162</f>
        <v>0</v>
      </c>
      <c r="H199" s="13">
        <f>H198*0.01</f>
        <v>9892.3700000000008</v>
      </c>
      <c r="I199" s="13">
        <f>I198*0.01</f>
        <v>767.76</v>
      </c>
      <c r="J199" s="13">
        <f>J198*0.05</f>
        <v>5287.3250000000007</v>
      </c>
      <c r="K199" s="13">
        <f>K198*0.05</f>
        <v>767672.20000000007</v>
      </c>
      <c r="L199" s="13">
        <f>L7+L16+L25+L34+L43+L52+L62+L72+L81+L90+L99+L108+L117+L126+L135+L144+L153+L162</f>
        <v>0</v>
      </c>
      <c r="M199" s="13">
        <f>M7+M16+M25+M34+M43+M52+M62+M72+M81+M90+M99+M108+M117+M126+M135+M144+M153+M162</f>
        <v>0</v>
      </c>
      <c r="N199" s="13">
        <f>N7+N16+N25+N34+N43+N52+N62+N72+N81+N90+N99+N108+N117+N126+N135+N144+N153+N162</f>
        <v>0</v>
      </c>
      <c r="O199" s="13">
        <f>O7+O16+O25+O34+O43+O52+O62+O72+O81+O90+O99+O108+O117+O126+O135+O144+O153+O162</f>
        <v>3.8215245901639348</v>
      </c>
      <c r="P199"/>
      <c r="Q199"/>
      <c r="R199"/>
      <c r="XEY199"/>
    </row>
    <row r="200" spans="1:18 16379:16379" s="50" customFormat="1" x14ac:dyDescent="0.3">
      <c r="A200" s="38"/>
      <c r="B200" s="9" t="s">
        <v>36</v>
      </c>
      <c r="C200" s="10">
        <f>C198+C199</f>
        <v>190831.8</v>
      </c>
      <c r="D200" s="10">
        <f t="shared" ref="D200:O200" si="274">D198+D199</f>
        <v>93332</v>
      </c>
      <c r="E200" s="10">
        <f t="shared" si="274"/>
        <v>85891</v>
      </c>
      <c r="F200" s="10">
        <f t="shared" si="274"/>
        <v>70962</v>
      </c>
      <c r="G200" s="10">
        <f t="shared" si="274"/>
        <v>36081.5</v>
      </c>
      <c r="H200" s="10">
        <f t="shared" si="274"/>
        <v>999129.37</v>
      </c>
      <c r="I200" s="10">
        <f t="shared" si="274"/>
        <v>77543.759999999995</v>
      </c>
      <c r="J200" s="10">
        <f t="shared" si="274"/>
        <v>111033.825</v>
      </c>
      <c r="K200" s="10">
        <f>K198+K199</f>
        <v>16121116.199999999</v>
      </c>
      <c r="L200" s="10">
        <f t="shared" si="274"/>
        <v>4996</v>
      </c>
      <c r="M200" s="10">
        <f t="shared" si="274"/>
        <v>15601</v>
      </c>
      <c r="N200" s="10">
        <f t="shared" si="274"/>
        <v>327</v>
      </c>
      <c r="O200" s="10">
        <f t="shared" si="274"/>
        <v>255.54611475409834</v>
      </c>
      <c r="P200"/>
      <c r="Q200"/>
      <c r="R200"/>
      <c r="XEY200"/>
    </row>
    <row r="201" spans="1:18 16379:16379" s="50" customFormat="1" x14ac:dyDescent="0.3">
      <c r="A201" s="38"/>
      <c r="B201" s="14" t="s">
        <v>37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f t="shared" ref="O201:O206" si="275">I201/305</f>
        <v>0</v>
      </c>
      <c r="P201"/>
      <c r="Q201"/>
      <c r="R201"/>
      <c r="XEY201"/>
    </row>
    <row r="202" spans="1:18 16379:16379" s="50" customFormat="1" x14ac:dyDescent="0.3">
      <c r="A202" s="38"/>
      <c r="B202" s="14" t="s">
        <v>38</v>
      </c>
      <c r="C202" s="15">
        <v>0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f t="shared" si="275"/>
        <v>0</v>
      </c>
      <c r="P202"/>
      <c r="Q202"/>
      <c r="XEY202"/>
    </row>
    <row r="203" spans="1:18 16379:16379" s="50" customFormat="1" x14ac:dyDescent="0.3">
      <c r="A203" s="38"/>
      <c r="B203" s="16" t="s">
        <v>39</v>
      </c>
      <c r="C203" s="17">
        <f>SUM(C200:C202)</f>
        <v>190831.8</v>
      </c>
      <c r="D203" s="17">
        <f>SUM(D200:D202)</f>
        <v>93332</v>
      </c>
      <c r="E203" s="17">
        <f t="shared" ref="E203:N203" si="276">SUM(E200:E202)</f>
        <v>85891</v>
      </c>
      <c r="F203" s="17">
        <f t="shared" si="276"/>
        <v>70962</v>
      </c>
      <c r="G203" s="17">
        <f>SUM(G200:G202)</f>
        <v>36081.5</v>
      </c>
      <c r="H203" s="17">
        <f t="shared" si="276"/>
        <v>999129.37</v>
      </c>
      <c r="I203" s="17">
        <f t="shared" si="276"/>
        <v>77543.759999999995</v>
      </c>
      <c r="J203" s="17">
        <f t="shared" si="276"/>
        <v>111033.825</v>
      </c>
      <c r="K203" s="17">
        <f t="shared" si="276"/>
        <v>16121116.199999999</v>
      </c>
      <c r="L203" s="17">
        <f t="shared" si="276"/>
        <v>4996</v>
      </c>
      <c r="M203" s="17">
        <f t="shared" si="276"/>
        <v>15601</v>
      </c>
      <c r="N203" s="17">
        <f t="shared" si="276"/>
        <v>327</v>
      </c>
      <c r="O203" s="17">
        <f t="shared" si="275"/>
        <v>254.24183606557375</v>
      </c>
      <c r="P203"/>
      <c r="Q203"/>
      <c r="XEY203"/>
    </row>
    <row r="204" spans="1:18 16379:16379" s="50" customFormat="1" x14ac:dyDescent="0.3">
      <c r="A204" s="38"/>
      <c r="B204" s="5" t="s">
        <v>14</v>
      </c>
      <c r="C204" s="18">
        <f t="shared" ref="C204:O204" si="277">C69+C78+C87+C96+C105+C114+C123+C132+C141+C150+C159</f>
        <v>197000</v>
      </c>
      <c r="D204" s="18">
        <f t="shared" si="277"/>
        <v>89000</v>
      </c>
      <c r="E204" s="18">
        <f t="shared" si="277"/>
        <v>86500</v>
      </c>
      <c r="F204" s="18">
        <f t="shared" si="277"/>
        <v>77000</v>
      </c>
      <c r="G204" s="18">
        <f t="shared" si="277"/>
        <v>38500</v>
      </c>
      <c r="H204" s="18">
        <f t="shared" si="277"/>
        <v>932000</v>
      </c>
      <c r="I204" s="18">
        <f t="shared" si="277"/>
        <v>57950</v>
      </c>
      <c r="J204" s="18">
        <f t="shared" si="277"/>
        <v>102000</v>
      </c>
      <c r="K204" s="18">
        <f t="shared" si="277"/>
        <v>15900000</v>
      </c>
      <c r="L204" s="18">
        <f t="shared" si="277"/>
        <v>4706</v>
      </c>
      <c r="M204" s="18">
        <f t="shared" si="277"/>
        <v>14158</v>
      </c>
      <c r="N204" s="18">
        <f t="shared" si="277"/>
        <v>382</v>
      </c>
      <c r="O204" s="18">
        <f t="shared" si="277"/>
        <v>190</v>
      </c>
      <c r="P204"/>
      <c r="Q204"/>
      <c r="XEY204"/>
    </row>
    <row r="205" spans="1:18 16379:16379" s="50" customFormat="1" x14ac:dyDescent="0.3">
      <c r="A205" s="38"/>
      <c r="B205" s="19" t="s">
        <v>40</v>
      </c>
      <c r="C205" s="20">
        <v>10481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379858</v>
      </c>
      <c r="L205" s="20">
        <v>0</v>
      </c>
      <c r="M205" s="20">
        <v>0</v>
      </c>
      <c r="N205" s="20">
        <v>0</v>
      </c>
      <c r="O205" s="20">
        <f t="shared" si="275"/>
        <v>0</v>
      </c>
      <c r="P205"/>
      <c r="Q205"/>
      <c r="XEY205"/>
    </row>
    <row r="206" spans="1:18 16379:16379" s="50" customFormat="1" x14ac:dyDescent="0.3">
      <c r="A206" s="38"/>
      <c r="B206" s="11" t="s">
        <v>41</v>
      </c>
      <c r="C206" s="12">
        <f>(C204-C203)-C205</f>
        <v>-4312.7999999999884</v>
      </c>
      <c r="D206" s="12">
        <f t="shared" ref="D206:N206" si="278">(D204-D203)-D205</f>
        <v>-4332</v>
      </c>
      <c r="E206" s="12">
        <f t="shared" si="278"/>
        <v>609</v>
      </c>
      <c r="F206" s="12">
        <f t="shared" si="278"/>
        <v>6038</v>
      </c>
      <c r="G206" s="12">
        <f t="shared" si="278"/>
        <v>2418.5</v>
      </c>
      <c r="H206" s="12">
        <f t="shared" si="278"/>
        <v>-67129.37</v>
      </c>
      <c r="I206" s="12">
        <f t="shared" si="278"/>
        <v>-19593.759999999995</v>
      </c>
      <c r="J206" s="12">
        <f t="shared" si="278"/>
        <v>-9033.8249999999971</v>
      </c>
      <c r="K206" s="12">
        <f t="shared" si="278"/>
        <v>-600974.19999999925</v>
      </c>
      <c r="L206" s="12">
        <f t="shared" si="278"/>
        <v>-290</v>
      </c>
      <c r="M206" s="12">
        <f t="shared" si="278"/>
        <v>-1443</v>
      </c>
      <c r="N206" s="12">
        <f t="shared" si="278"/>
        <v>55</v>
      </c>
      <c r="O206" s="12">
        <f t="shared" si="275"/>
        <v>-64.24183606557375</v>
      </c>
      <c r="P206"/>
      <c r="Q206"/>
      <c r="XEY206"/>
    </row>
    <row r="207" spans="1:18 16379:16379" s="61" customFormat="1" x14ac:dyDescent="0.3">
      <c r="A207" s="56"/>
      <c r="B207" s="57" t="s">
        <v>42</v>
      </c>
      <c r="C207" s="58">
        <f t="shared" ref="C207:O207" si="279">C200*C1</f>
        <v>30597970.811999999</v>
      </c>
      <c r="D207" s="58">
        <f t="shared" si="279"/>
        <v>21327295.32</v>
      </c>
      <c r="E207" s="58">
        <f t="shared" si="279"/>
        <v>12431004.43</v>
      </c>
      <c r="F207" s="58">
        <f t="shared" si="279"/>
        <v>15530033.699999999</v>
      </c>
      <c r="G207" s="58">
        <f t="shared" si="279"/>
        <v>6601832.0549999997</v>
      </c>
      <c r="H207" s="58">
        <f t="shared" si="279"/>
        <v>29564238.0583</v>
      </c>
      <c r="I207" s="58">
        <f t="shared" si="279"/>
        <v>8066877.3527999995</v>
      </c>
      <c r="J207" s="58">
        <f t="shared" si="279"/>
        <v>5834827.5037499992</v>
      </c>
      <c r="K207" s="58">
        <f t="shared" si="279"/>
        <v>180395290.278</v>
      </c>
      <c r="L207" s="58">
        <f t="shared" si="279"/>
        <v>42500772.159999996</v>
      </c>
      <c r="M207" s="58">
        <f t="shared" si="279"/>
        <v>217216155.22</v>
      </c>
      <c r="N207" s="58">
        <f t="shared" si="279"/>
        <v>9537762.6899999995</v>
      </c>
      <c r="O207" s="58">
        <f t="shared" si="279"/>
        <v>8108261.0069499994</v>
      </c>
      <c r="P207" s="59"/>
      <c r="Q207" s="60">
        <f>SUM(C207:N207)</f>
        <v>579604059.57985008</v>
      </c>
      <c r="XEY207" s="59"/>
    </row>
    <row r="208" spans="1:18 16379:16379" s="61" customFormat="1" x14ac:dyDescent="0.3">
      <c r="A208" s="56"/>
      <c r="B208" s="62" t="s">
        <v>43</v>
      </c>
      <c r="C208" s="63">
        <f t="shared" ref="C208:O208" si="280">C204*C1</f>
        <v>31586980</v>
      </c>
      <c r="D208" s="63">
        <f t="shared" si="280"/>
        <v>20337390</v>
      </c>
      <c r="E208" s="63">
        <f t="shared" si="280"/>
        <v>12519145</v>
      </c>
      <c r="F208" s="63">
        <f t="shared" si="280"/>
        <v>16851450</v>
      </c>
      <c r="G208" s="63">
        <f t="shared" si="280"/>
        <v>7044345</v>
      </c>
      <c r="H208" s="63">
        <f t="shared" si="280"/>
        <v>27577880</v>
      </c>
      <c r="I208" s="63">
        <f t="shared" si="280"/>
        <v>6028538.5</v>
      </c>
      <c r="J208" s="63">
        <f t="shared" si="280"/>
        <v>5360100</v>
      </c>
      <c r="K208" s="63">
        <f t="shared" si="280"/>
        <v>177921000</v>
      </c>
      <c r="L208" s="63">
        <f t="shared" si="280"/>
        <v>40033753.759999998</v>
      </c>
      <c r="M208" s="63">
        <f t="shared" si="280"/>
        <v>197124948.75999999</v>
      </c>
      <c r="N208" s="63">
        <f t="shared" si="280"/>
        <v>11141973.540000001</v>
      </c>
      <c r="O208" s="63">
        <f t="shared" si="280"/>
        <v>6028538.5</v>
      </c>
      <c r="P208" s="59"/>
      <c r="Q208" s="64">
        <f>SUM(C208:N208)</f>
        <v>553527504.55999994</v>
      </c>
      <c r="XEY208" s="59"/>
    </row>
    <row r="209" spans="1:17 16379:16379" s="50" customFormat="1" x14ac:dyDescent="0.3">
      <c r="A209" s="22"/>
      <c r="B209" s="35">
        <v>94023</v>
      </c>
      <c r="C209" s="35">
        <f>C200/$B$209</f>
        <v>2.0296289205832614</v>
      </c>
      <c r="D209" s="35">
        <f>D200/$B$209</f>
        <v>0.99265073439477569</v>
      </c>
      <c r="E209" s="35">
        <f t="shared" ref="E209:O209" si="281">E200/$B$209</f>
        <v>0.91351052402071831</v>
      </c>
      <c r="F209" s="35">
        <f t="shared" si="281"/>
        <v>0.75473022558310199</v>
      </c>
      <c r="G209" s="35">
        <f t="shared" si="281"/>
        <v>0.38375184795209683</v>
      </c>
      <c r="H209" s="35">
        <f t="shared" si="281"/>
        <v>10.626435765716899</v>
      </c>
      <c r="I209" s="35">
        <f t="shared" si="281"/>
        <v>0.82473182093743014</v>
      </c>
      <c r="J209" s="35">
        <f t="shared" si="281"/>
        <v>1.1809219552662646</v>
      </c>
      <c r="K209" s="35">
        <f t="shared" si="281"/>
        <v>171.45928336683576</v>
      </c>
      <c r="L209" s="35">
        <f t="shared" si="281"/>
        <v>5.3135934824457845E-2</v>
      </c>
      <c r="M209" s="35">
        <f t="shared" si="281"/>
        <v>0.16592748582793571</v>
      </c>
      <c r="N209" s="35">
        <f t="shared" si="281"/>
        <v>3.4778724354679173E-3</v>
      </c>
      <c r="O209" s="35">
        <f t="shared" si="281"/>
        <v>2.7179106681779813E-3</v>
      </c>
      <c r="P209"/>
      <c r="Q209"/>
      <c r="XEY209"/>
    </row>
    <row r="210" spans="1:17 16379:16379" s="50" customFormat="1" x14ac:dyDescent="0.3">
      <c r="A210" s="22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/>
      <c r="Q210"/>
      <c r="XEY210"/>
    </row>
    <row r="211" spans="1:17 16379:16379" s="50" customFormat="1" x14ac:dyDescent="0.3">
      <c r="A211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/>
      <c r="Q211"/>
      <c r="XEY211"/>
    </row>
  </sheetData>
  <phoneticPr fontId="10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Prasad Dissanayake</dc:creator>
  <cp:keywords/>
  <dc:description/>
  <cp:lastModifiedBy>Prasad Dissanayake</cp:lastModifiedBy>
  <cp:revision/>
  <dcterms:created xsi:type="dcterms:W3CDTF">2025-01-23T04:01:31Z</dcterms:created>
  <dcterms:modified xsi:type="dcterms:W3CDTF">2026-07-23T08:45:26Z</dcterms:modified>
  <cp:category/>
  <cp:contentStatus/>
</cp:coreProperties>
</file>