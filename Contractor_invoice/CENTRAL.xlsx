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defaultThemeVersion="124226"/>
  <xr:revisionPtr revIDLastSave="0" documentId="13_ncr:1_{838DA2DE-4DB2-4F95-953E-CF93B1D03F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OICE" sheetId="1" r:id="rId1"/>
    <sheet name="FTTH" sheetId="16" r:id="rId2"/>
    <sheet name="PSTN" sheetId="9" r:id="rId3"/>
    <sheet name="PEO" sheetId="10" r:id="rId4"/>
    <sheet name="MATERIAL BALANCE SHEET" sheetId="17" r:id="rId5"/>
    <sheet name="INVOICE USAGE" sheetId="12" state="hidden" r:id="rId6"/>
    <sheet name="Calculus" sheetId="8" state="hidden" r:id="rId7"/>
  </sheets>
  <definedNames>
    <definedName name="_xlnm._FilterDatabase" localSheetId="3" hidden="1">PEO!$A$4:$L$465</definedName>
    <definedName name="_xlnm._FilterDatabase" localSheetId="2" hidden="1">PSTN!$A$4:$Q$601</definedName>
    <definedName name="_xlnm.Print_Area" localSheetId="6">Calculus!$A$1:$E$57</definedName>
    <definedName name="_xlnm.Print_Area" localSheetId="1">FTTH!$A$1:$R$50</definedName>
    <definedName name="_xlnm.Print_Area" localSheetId="0">INVOICE!$B$1:$H$54</definedName>
    <definedName name="_xlnm.Print_Area" localSheetId="5">'INVOICE USAGE'!$A$1:$C$31</definedName>
    <definedName name="_xlnm.Print_Area" localSheetId="3">PEO!$B$1:$L$478</definedName>
    <definedName name="_xlnm.Print_Area" localSheetId="2">PSTN!$B$1:$Q$91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" l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12" i="1"/>
  <c r="H7" i="1"/>
  <c r="H5" i="1" a="1"/>
  <c r="H5" i="1" s="1"/>
  <c r="F32" i="1"/>
  <c r="Q147" i="16"/>
  <c r="P147" i="16"/>
  <c r="O147" i="16"/>
  <c r="N147" i="16"/>
  <c r="M147" i="16"/>
  <c r="L147" i="16"/>
  <c r="K147" i="16"/>
  <c r="J147" i="16"/>
  <c r="I147" i="16"/>
  <c r="H147" i="16"/>
  <c r="G147" i="16"/>
  <c r="F147" i="16"/>
  <c r="Q96" i="16"/>
  <c r="P96" i="16"/>
  <c r="O96" i="16"/>
  <c r="N96" i="16"/>
  <c r="M96" i="16"/>
  <c r="L96" i="16"/>
  <c r="K96" i="16"/>
  <c r="J96" i="16"/>
  <c r="I96" i="16"/>
  <c r="H96" i="16"/>
  <c r="G96" i="16"/>
  <c r="F96" i="16"/>
  <c r="F56" i="10" l="1"/>
  <c r="F467" i="10"/>
  <c r="F604" i="9"/>
  <c r="F596" i="9"/>
  <c r="F566" i="9"/>
  <c r="F536" i="9"/>
  <c r="F506" i="9"/>
  <c r="F476" i="9"/>
  <c r="F446" i="9"/>
  <c r="F416" i="9"/>
  <c r="F386" i="9"/>
  <c r="F356" i="9"/>
  <c r="F296" i="9"/>
  <c r="F236" i="9"/>
  <c r="F25" i="10"/>
  <c r="F116" i="9"/>
  <c r="F55" i="9"/>
  <c r="F25" i="9"/>
  <c r="F45" i="16"/>
  <c r="P1" i="16" l="1"/>
  <c r="P52" i="16" s="1"/>
  <c r="P103" i="16" s="1"/>
  <c r="F12" i="1"/>
  <c r="F13" i="1"/>
  <c r="F27" i="1"/>
  <c r="F28" i="1"/>
  <c r="F29" i="1"/>
  <c r="F30" i="1"/>
  <c r="F22" i="1"/>
  <c r="F23" i="1"/>
  <c r="F24" i="1"/>
  <c r="F25" i="1"/>
  <c r="F26" i="1"/>
  <c r="F20" i="1"/>
  <c r="F21" i="1"/>
  <c r="C1" i="16"/>
  <c r="C52" i="16" s="1"/>
  <c r="C103" i="16" s="1"/>
  <c r="Q45" i="16"/>
  <c r="P45" i="16"/>
  <c r="O45" i="16"/>
  <c r="N45" i="16"/>
  <c r="M45" i="16"/>
  <c r="L45" i="16"/>
  <c r="K45" i="16"/>
  <c r="J45" i="16"/>
  <c r="I45" i="16"/>
  <c r="H45" i="16"/>
  <c r="G45" i="16"/>
  <c r="Q1" i="9" l="1"/>
  <c r="F14" i="1" l="1"/>
  <c r="F15" i="1"/>
  <c r="F16" i="1"/>
  <c r="F17" i="1"/>
  <c r="F18" i="1"/>
  <c r="F19" i="1"/>
  <c r="H30" i="1" l="1"/>
  <c r="L56" i="10" l="1"/>
  <c r="K56" i="10"/>
  <c r="J56" i="10"/>
  <c r="I56" i="10"/>
  <c r="H56" i="10"/>
  <c r="G56" i="10"/>
  <c r="K55" i="9"/>
  <c r="H13" i="1"/>
  <c r="H14" i="1"/>
  <c r="H15" i="1"/>
  <c r="H16" i="1"/>
  <c r="H17" i="1"/>
  <c r="H18" i="1"/>
  <c r="H19" i="1"/>
  <c r="H29" i="1"/>
  <c r="C53" i="1"/>
  <c r="G604" i="9" l="1"/>
  <c r="H604" i="9"/>
  <c r="I604" i="9"/>
  <c r="J604" i="9"/>
  <c r="K604" i="9"/>
  <c r="L604" i="9"/>
  <c r="M604" i="9"/>
  <c r="N604" i="9"/>
  <c r="O604" i="9"/>
  <c r="P604" i="9"/>
  <c r="L459" i="10" l="1"/>
  <c r="K459" i="10"/>
  <c r="J459" i="10"/>
  <c r="I459" i="10"/>
  <c r="H459" i="10"/>
  <c r="G459" i="10"/>
  <c r="F459" i="10"/>
  <c r="L428" i="10"/>
  <c r="K428" i="10"/>
  <c r="J428" i="10"/>
  <c r="I428" i="10"/>
  <c r="H428" i="10"/>
  <c r="G428" i="10"/>
  <c r="F428" i="10"/>
  <c r="L397" i="10"/>
  <c r="K397" i="10"/>
  <c r="J397" i="10"/>
  <c r="I397" i="10"/>
  <c r="H397" i="10"/>
  <c r="G397" i="10"/>
  <c r="F397" i="10"/>
  <c r="L366" i="10"/>
  <c r="K366" i="10"/>
  <c r="J366" i="10"/>
  <c r="I366" i="10"/>
  <c r="H366" i="10"/>
  <c r="G366" i="10"/>
  <c r="F366" i="10"/>
  <c r="L335" i="10"/>
  <c r="K335" i="10"/>
  <c r="J335" i="10"/>
  <c r="I335" i="10"/>
  <c r="H335" i="10"/>
  <c r="G335" i="10"/>
  <c r="F335" i="10"/>
  <c r="P596" i="9"/>
  <c r="O596" i="9"/>
  <c r="N596" i="9"/>
  <c r="M596" i="9"/>
  <c r="L596" i="9"/>
  <c r="K596" i="9"/>
  <c r="J596" i="9"/>
  <c r="I596" i="9"/>
  <c r="H596" i="9"/>
  <c r="G596" i="9"/>
  <c r="P566" i="9"/>
  <c r="O566" i="9"/>
  <c r="N566" i="9"/>
  <c r="M566" i="9"/>
  <c r="L566" i="9"/>
  <c r="K566" i="9"/>
  <c r="J566" i="9"/>
  <c r="I566" i="9"/>
  <c r="H566" i="9"/>
  <c r="G566" i="9"/>
  <c r="P536" i="9"/>
  <c r="O536" i="9"/>
  <c r="N536" i="9"/>
  <c r="M536" i="9"/>
  <c r="L536" i="9"/>
  <c r="K536" i="9"/>
  <c r="J536" i="9"/>
  <c r="I536" i="9"/>
  <c r="H536" i="9"/>
  <c r="G536" i="9"/>
  <c r="P506" i="9"/>
  <c r="O506" i="9"/>
  <c r="N506" i="9"/>
  <c r="M506" i="9"/>
  <c r="L506" i="9"/>
  <c r="K506" i="9"/>
  <c r="J506" i="9"/>
  <c r="I506" i="9"/>
  <c r="H506" i="9"/>
  <c r="G506" i="9"/>
  <c r="P476" i="9"/>
  <c r="O476" i="9"/>
  <c r="N476" i="9"/>
  <c r="M476" i="9"/>
  <c r="L476" i="9"/>
  <c r="K476" i="9"/>
  <c r="J476" i="9"/>
  <c r="I476" i="9"/>
  <c r="H476" i="9"/>
  <c r="G476" i="9"/>
  <c r="P446" i="9"/>
  <c r="O446" i="9"/>
  <c r="N446" i="9"/>
  <c r="M446" i="9"/>
  <c r="L446" i="9"/>
  <c r="K446" i="9"/>
  <c r="J446" i="9"/>
  <c r="I446" i="9"/>
  <c r="H446" i="9"/>
  <c r="G446" i="9"/>
  <c r="P416" i="9"/>
  <c r="O416" i="9"/>
  <c r="N416" i="9"/>
  <c r="M416" i="9"/>
  <c r="L416" i="9"/>
  <c r="K416" i="9"/>
  <c r="J416" i="9"/>
  <c r="I416" i="9"/>
  <c r="H416" i="9"/>
  <c r="G416" i="9"/>
  <c r="P386" i="9"/>
  <c r="O386" i="9"/>
  <c r="N386" i="9"/>
  <c r="M386" i="9"/>
  <c r="L386" i="9"/>
  <c r="K386" i="9"/>
  <c r="J386" i="9"/>
  <c r="I386" i="9"/>
  <c r="H386" i="9"/>
  <c r="G386" i="9"/>
  <c r="P356" i="9"/>
  <c r="O356" i="9"/>
  <c r="N356" i="9"/>
  <c r="M356" i="9"/>
  <c r="L356" i="9"/>
  <c r="K356" i="9"/>
  <c r="J356" i="9"/>
  <c r="I356" i="9"/>
  <c r="H356" i="9"/>
  <c r="G356" i="9"/>
  <c r="P326" i="9"/>
  <c r="O326" i="9"/>
  <c r="N326" i="9"/>
  <c r="M326" i="9"/>
  <c r="L326" i="9"/>
  <c r="K326" i="9"/>
  <c r="J326" i="9"/>
  <c r="I326" i="9"/>
  <c r="H326" i="9"/>
  <c r="G326" i="9"/>
  <c r="F326" i="9"/>
  <c r="K304" i="10" l="1"/>
  <c r="K273" i="10"/>
  <c r="K242" i="10"/>
  <c r="K211" i="10"/>
  <c r="K180" i="10"/>
  <c r="K149" i="10"/>
  <c r="K118" i="10"/>
  <c r="K87" i="10"/>
  <c r="K25" i="10"/>
  <c r="G296" i="9"/>
  <c r="H296" i="9"/>
  <c r="I296" i="9"/>
  <c r="J296" i="9"/>
  <c r="K296" i="9"/>
  <c r="L296" i="9"/>
  <c r="M296" i="9"/>
  <c r="N296" i="9"/>
  <c r="O296" i="9"/>
  <c r="P296" i="9"/>
  <c r="G266" i="9"/>
  <c r="H266" i="9"/>
  <c r="I266" i="9"/>
  <c r="J266" i="9"/>
  <c r="K266" i="9"/>
  <c r="L266" i="9"/>
  <c r="M266" i="9"/>
  <c r="N266" i="9"/>
  <c r="O266" i="9"/>
  <c r="P266" i="9"/>
  <c r="G236" i="9"/>
  <c r="H236" i="9"/>
  <c r="I236" i="9"/>
  <c r="J236" i="9"/>
  <c r="K236" i="9"/>
  <c r="L236" i="9"/>
  <c r="M236" i="9"/>
  <c r="N236" i="9"/>
  <c r="O236" i="9"/>
  <c r="P236" i="9"/>
  <c r="G206" i="9"/>
  <c r="H206" i="9"/>
  <c r="I206" i="9"/>
  <c r="J206" i="9"/>
  <c r="K206" i="9"/>
  <c r="L206" i="9"/>
  <c r="M206" i="9"/>
  <c r="N206" i="9"/>
  <c r="O206" i="9"/>
  <c r="P206" i="9"/>
  <c r="G176" i="9"/>
  <c r="H176" i="9"/>
  <c r="I176" i="9"/>
  <c r="J176" i="9"/>
  <c r="K176" i="9"/>
  <c r="L176" i="9"/>
  <c r="M176" i="9"/>
  <c r="N176" i="9"/>
  <c r="O176" i="9"/>
  <c r="P176" i="9"/>
  <c r="G146" i="9"/>
  <c r="H146" i="9"/>
  <c r="I146" i="9"/>
  <c r="J146" i="9"/>
  <c r="K146" i="9"/>
  <c r="L146" i="9"/>
  <c r="M146" i="9"/>
  <c r="N146" i="9"/>
  <c r="O146" i="9"/>
  <c r="P146" i="9"/>
  <c r="G116" i="9"/>
  <c r="H116" i="9"/>
  <c r="I116" i="9"/>
  <c r="J116" i="9"/>
  <c r="K116" i="9"/>
  <c r="L116" i="9"/>
  <c r="M116" i="9"/>
  <c r="N116" i="9"/>
  <c r="O116" i="9"/>
  <c r="P116" i="9"/>
  <c r="G86" i="9"/>
  <c r="H86" i="9"/>
  <c r="I86" i="9"/>
  <c r="J86" i="9"/>
  <c r="K86" i="9"/>
  <c r="L86" i="9"/>
  <c r="M86" i="9"/>
  <c r="N86" i="9"/>
  <c r="O86" i="9"/>
  <c r="P86" i="9"/>
  <c r="G55" i="9"/>
  <c r="H55" i="9"/>
  <c r="I55" i="9"/>
  <c r="J55" i="9"/>
  <c r="L55" i="9"/>
  <c r="M55" i="9"/>
  <c r="N55" i="9"/>
  <c r="O55" i="9"/>
  <c r="P55" i="9"/>
  <c r="G25" i="9"/>
  <c r="H25" i="9"/>
  <c r="I25" i="9"/>
  <c r="J25" i="9"/>
  <c r="K25" i="9"/>
  <c r="L25" i="9"/>
  <c r="M25" i="9"/>
  <c r="N25" i="9"/>
  <c r="O25" i="9"/>
  <c r="P25" i="9"/>
  <c r="K467" i="10" l="1"/>
  <c r="A3" i="12" l="1"/>
  <c r="A4" i="12" s="1"/>
  <c r="A5" i="12" s="1"/>
  <c r="A6" i="12" s="1"/>
  <c r="A7" i="12" s="1"/>
  <c r="A8" i="12" s="1"/>
  <c r="A9" i="12" s="1"/>
  <c r="A10" i="12" s="1"/>
  <c r="A11" i="12" s="1"/>
  <c r="A12" i="12" s="1"/>
  <c r="A13" i="12" s="1"/>
  <c r="A14" i="12" s="1"/>
  <c r="C7" i="12" l="1"/>
  <c r="C23" i="12"/>
  <c r="C20" i="12"/>
  <c r="C18" i="12"/>
  <c r="C4" i="12" l="1"/>
  <c r="C6" i="12"/>
  <c r="C28" i="12"/>
  <c r="C22" i="12"/>
  <c r="C25" i="12"/>
  <c r="C3" i="12"/>
  <c r="C17" i="12" l="1"/>
  <c r="L304" i="10"/>
  <c r="J304" i="10"/>
  <c r="I304" i="10"/>
  <c r="H304" i="10"/>
  <c r="G304" i="10"/>
  <c r="F304" i="10"/>
  <c r="L273" i="10"/>
  <c r="J273" i="10"/>
  <c r="I273" i="10"/>
  <c r="H273" i="10"/>
  <c r="G273" i="10"/>
  <c r="F273" i="10"/>
  <c r="L242" i="10"/>
  <c r="J242" i="10"/>
  <c r="I242" i="10"/>
  <c r="H242" i="10"/>
  <c r="G242" i="10"/>
  <c r="F242" i="10"/>
  <c r="L211" i="10"/>
  <c r="J211" i="10"/>
  <c r="I211" i="10"/>
  <c r="H211" i="10"/>
  <c r="G211" i="10"/>
  <c r="F211" i="10"/>
  <c r="L180" i="10"/>
  <c r="J180" i="10"/>
  <c r="I180" i="10"/>
  <c r="H180" i="10"/>
  <c r="G180" i="10"/>
  <c r="F180" i="10"/>
  <c r="L149" i="10"/>
  <c r="J149" i="10"/>
  <c r="I149" i="10"/>
  <c r="H149" i="10"/>
  <c r="G149" i="10"/>
  <c r="F149" i="10"/>
  <c r="L118" i="10"/>
  <c r="J118" i="10"/>
  <c r="I118" i="10"/>
  <c r="H118" i="10"/>
  <c r="G118" i="10"/>
  <c r="F118" i="10"/>
  <c r="L87" i="10"/>
  <c r="J87" i="10"/>
  <c r="I87" i="10"/>
  <c r="H87" i="10"/>
  <c r="G87" i="10"/>
  <c r="F87" i="10"/>
  <c r="F266" i="9"/>
  <c r="F206" i="9"/>
  <c r="F176" i="9"/>
  <c r="F146" i="9"/>
  <c r="F86" i="9"/>
  <c r="D1" i="10" l="1"/>
  <c r="D1" i="9"/>
  <c r="J25" i="10"/>
  <c r="J467" i="10" s="1"/>
  <c r="C10" i="12" s="1"/>
  <c r="I25" i="10"/>
  <c r="I467" i="10" s="1"/>
  <c r="C8" i="12" s="1"/>
  <c r="H25" i="10"/>
  <c r="H467" i="10" s="1"/>
  <c r="C2" i="12" s="1"/>
  <c r="G25" i="10"/>
  <c r="G467" i="10" s="1"/>
  <c r="C9" i="12" s="1"/>
  <c r="C16" i="12"/>
  <c r="L1" i="10"/>
  <c r="D182" i="9" l="1"/>
  <c r="D452" i="9" s="1"/>
  <c r="D62" i="9"/>
  <c r="D332" i="9" s="1"/>
  <c r="D272" i="9"/>
  <c r="D542" i="9" s="1"/>
  <c r="D152" i="9"/>
  <c r="D422" i="9" s="1"/>
  <c r="D31" i="9"/>
  <c r="D302" i="9" s="1"/>
  <c r="D572" i="9" s="1"/>
  <c r="D242" i="9"/>
  <c r="D512" i="9" s="1"/>
  <c r="D122" i="9"/>
  <c r="D392" i="9" s="1"/>
  <c r="D212" i="9"/>
  <c r="D482" i="9" s="1"/>
  <c r="D92" i="9"/>
  <c r="D362" i="9" s="1"/>
  <c r="D280" i="10"/>
  <c r="D156" i="10"/>
  <c r="D435" i="10" s="1"/>
  <c r="D32" i="10"/>
  <c r="D311" i="10" s="1"/>
  <c r="D249" i="10"/>
  <c r="D125" i="10"/>
  <c r="D404" i="10" s="1"/>
  <c r="D218" i="10"/>
  <c r="D94" i="10"/>
  <c r="D373" i="10" s="1"/>
  <c r="D187" i="10"/>
  <c r="D63" i="10"/>
  <c r="D342" i="10" s="1"/>
  <c r="L280" i="10"/>
  <c r="L156" i="10"/>
  <c r="L435" i="10" s="1"/>
  <c r="L32" i="10"/>
  <c r="L311" i="10" s="1"/>
  <c r="L249" i="10"/>
  <c r="L125" i="10"/>
  <c r="L404" i="10" s="1"/>
  <c r="L218" i="10"/>
  <c r="L94" i="10"/>
  <c r="L373" i="10" s="1"/>
  <c r="L187" i="10"/>
  <c r="L63" i="10"/>
  <c r="L342" i="10" s="1"/>
  <c r="Q242" i="9"/>
  <c r="Q512" i="9" s="1"/>
  <c r="Q182" i="9"/>
  <c r="Q452" i="9" s="1"/>
  <c r="Q62" i="9"/>
  <c r="Q332" i="9" s="1"/>
  <c r="Q152" i="9"/>
  <c r="Q422" i="9" s="1"/>
  <c r="Q272" i="9"/>
  <c r="Q542" i="9" s="1"/>
  <c r="Q212" i="9"/>
  <c r="Q482" i="9" s="1"/>
  <c r="Q92" i="9"/>
  <c r="Q362" i="9" s="1"/>
  <c r="Q31" i="9"/>
  <c r="Q302" i="9" s="1"/>
  <c r="Q572" i="9" s="1"/>
  <c r="Q122" i="9"/>
  <c r="Q392" i="9" s="1"/>
  <c r="H12" i="1"/>
  <c r="H31" i="1" l="1"/>
  <c r="H32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<sst xmlns="http://schemas.openxmlformats.org/spreadsheetml/2006/main" count="1139" uniqueCount="220">
  <si>
    <t>Description</t>
  </si>
  <si>
    <t>Qty</t>
  </si>
  <si>
    <t>Unit Rate</t>
  </si>
  <si>
    <t>Amount</t>
  </si>
  <si>
    <t>Grand Total (Rs.)</t>
  </si>
  <si>
    <t>Bill To:</t>
  </si>
  <si>
    <t>Sri Lanka Telecom (Services) Limited</t>
  </si>
  <si>
    <t>Invoice Date</t>
  </si>
  <si>
    <t>:</t>
  </si>
  <si>
    <t>Invoice Number</t>
  </si>
  <si>
    <t>Job Related Month</t>
  </si>
  <si>
    <t>I do here by certify that the above details are true and correct.</t>
  </si>
  <si>
    <t>Prepared By:</t>
  </si>
  <si>
    <t>……………………………………</t>
  </si>
  <si>
    <t>Should be Sign by SLTS officer</t>
  </si>
  <si>
    <t>SLTS Use Only:</t>
  </si>
  <si>
    <t>Checked By:</t>
  </si>
  <si>
    <t>No</t>
  </si>
  <si>
    <t>TP Number</t>
  </si>
  <si>
    <t>Complete Date</t>
  </si>
  <si>
    <t>……………………………..</t>
  </si>
  <si>
    <t>………………..…………</t>
  </si>
  <si>
    <t>(With rubber stamp)</t>
  </si>
  <si>
    <t>DW-DW</t>
  </si>
  <si>
    <t>Material Totals</t>
  </si>
  <si>
    <t>CEN</t>
  </si>
  <si>
    <t>Invoice</t>
  </si>
  <si>
    <t>A</t>
  </si>
  <si>
    <t>HK</t>
  </si>
  <si>
    <t>B</t>
  </si>
  <si>
    <t>RTOM</t>
  </si>
  <si>
    <t>F-1</t>
  </si>
  <si>
    <t>G-1</t>
  </si>
  <si>
    <t>DW-RT</t>
  </si>
  <si>
    <t>TOP BOLT</t>
  </si>
  <si>
    <t>CASING</t>
  </si>
  <si>
    <t>CAT 5</t>
  </si>
  <si>
    <t>Remarks</t>
  </si>
  <si>
    <t>IW-N</t>
  </si>
  <si>
    <t>Pole details &amp; Remarks</t>
  </si>
  <si>
    <t>Invoice No :</t>
  </si>
  <si>
    <t>Contractor Name:</t>
  </si>
  <si>
    <t>DW-CH</t>
  </si>
  <si>
    <t>DW-LH</t>
  </si>
  <si>
    <t>DW-DF</t>
  </si>
  <si>
    <t>DW-ER</t>
  </si>
  <si>
    <t>DW-EW</t>
  </si>
  <si>
    <t>PSTN - RM</t>
  </si>
  <si>
    <t>PEO - RM</t>
  </si>
  <si>
    <t>Account No:</t>
  </si>
  <si>
    <t>Bank</t>
  </si>
  <si>
    <t>Branch</t>
  </si>
  <si>
    <t>FAC</t>
  </si>
  <si>
    <t>ROSSETTE</t>
  </si>
  <si>
    <t>F ROSSETTE</t>
  </si>
  <si>
    <t>WORK</t>
  </si>
  <si>
    <t>MATERIAL BALANCE SHEET PEO/NEW CONNECTION</t>
  </si>
  <si>
    <t>CONTRACTOR NAME -</t>
  </si>
  <si>
    <t>INVOICE NUMBER -</t>
  </si>
  <si>
    <t>MONTH -</t>
  </si>
  <si>
    <t>ITEM</t>
  </si>
  <si>
    <t>PROTECTER   (NOS)</t>
  </si>
  <si>
    <t>C-HOOK           (NOS)</t>
  </si>
  <si>
    <t>L-HOOK            (NOS)</t>
  </si>
  <si>
    <t>NUT &amp; BOLT     (NOS)</t>
  </si>
  <si>
    <t>RETAINERS          (NOS)</t>
  </si>
  <si>
    <t>DROP WIRE       ( M)</t>
  </si>
  <si>
    <t>EARTH ROD         (NOS)</t>
  </si>
  <si>
    <t>INTERNAL WIRE  (M)</t>
  </si>
  <si>
    <t>EARTH WIRE    ( M)</t>
  </si>
  <si>
    <t>DROP WIRE CLET  (NOS)</t>
  </si>
  <si>
    <t>DROP WIRE GRIP  (NOS)</t>
  </si>
  <si>
    <t>INTERNAL WIRE CLIP  (PKT)</t>
  </si>
  <si>
    <t>CONCRETE NAIL   (NOS)</t>
  </si>
  <si>
    <t>DROP CONNECTOR    (NOS)</t>
  </si>
  <si>
    <t>CAT 5E CABLE    (M)</t>
  </si>
  <si>
    <t>FIBER DROP WIRE</t>
  </si>
  <si>
    <t>SINGLE ROSSET BOX   (NOS)</t>
  </si>
  <si>
    <t xml:space="preserve">RJ45 CONNECTOR </t>
  </si>
  <si>
    <t>FIBER ROSET BOX</t>
  </si>
  <si>
    <t>FIBER DROP BOX</t>
  </si>
  <si>
    <t>FAC CONNECTOR</t>
  </si>
  <si>
    <t>12.5X20 TRUNKING</t>
  </si>
  <si>
    <t>SPIRAL CASING 1/4</t>
  </si>
  <si>
    <t>PVC CONDUIT  (NOS ) 1/2</t>
  </si>
  <si>
    <t xml:space="preserve">RJ11 CONNECTOR </t>
  </si>
  <si>
    <t>CABLE TIE</t>
  </si>
  <si>
    <t>Checked By,</t>
  </si>
  <si>
    <t>…………………………………………………………………….</t>
  </si>
  <si>
    <t xml:space="preserve">STORES  </t>
  </si>
  <si>
    <t>CONDUITS</t>
  </si>
  <si>
    <t>EARTH ROD</t>
  </si>
  <si>
    <t>EARTH WIRE</t>
  </si>
  <si>
    <t>Invoiced Usage</t>
  </si>
  <si>
    <t>TOP BOLTS</t>
  </si>
  <si>
    <t>In Hand as at</t>
  </si>
  <si>
    <t>Issued</t>
  </si>
  <si>
    <t>Invoiced Wastage</t>
  </si>
  <si>
    <t xml:space="preserve">Balance as at </t>
  </si>
  <si>
    <t>……..……………………………………</t>
  </si>
  <si>
    <t>CONTRACTOR</t>
  </si>
  <si>
    <t>Column2</t>
  </si>
  <si>
    <t>Column3</t>
  </si>
  <si>
    <t>OTHER</t>
  </si>
  <si>
    <t>OTHER2</t>
  </si>
  <si>
    <t>Office Use Only;</t>
  </si>
  <si>
    <t>YES/NO</t>
  </si>
  <si>
    <t>SIGN/DATE</t>
  </si>
  <si>
    <t>Yes</t>
  </si>
  <si>
    <t>…................................................</t>
  </si>
  <si>
    <t>Registered Number</t>
  </si>
  <si>
    <t>Regional Signature</t>
  </si>
  <si>
    <t>Head Office Signature</t>
  </si>
  <si>
    <t>Finanace</t>
  </si>
  <si>
    <t>Recommended By:</t>
  </si>
  <si>
    <t>Approved By:</t>
  </si>
  <si>
    <t>Certified by: By:</t>
  </si>
  <si>
    <t>PEO - WT(with PSTN)</t>
  </si>
  <si>
    <t>Con Address</t>
  </si>
  <si>
    <t xml:space="preserve">Contact Numbers:- </t>
  </si>
  <si>
    <t>6.7m Pole Installations</t>
  </si>
  <si>
    <t>PSTN - (RTOM)</t>
  </si>
  <si>
    <t>NO</t>
  </si>
  <si>
    <t>Configs</t>
  </si>
  <si>
    <t>PEO - (RTOM)</t>
  </si>
  <si>
    <t xml:space="preserve">IPTV- Single Visit </t>
  </si>
  <si>
    <t xml:space="preserve">IPTV- Second visit </t>
  </si>
  <si>
    <t>FTTH Configuration only</t>
  </si>
  <si>
    <t>Contractor's Account Number</t>
  </si>
  <si>
    <t>Name of the Bank</t>
  </si>
  <si>
    <t>Branch and Branch code</t>
  </si>
  <si>
    <t xml:space="preserve"> </t>
  </si>
  <si>
    <t>OSP Division, 148/2/A, New Kandy Road,</t>
  </si>
  <si>
    <t>Bandarawatta,Biyagama.</t>
  </si>
  <si>
    <t>Sub Total</t>
  </si>
  <si>
    <t>Cheque should be drawn in favour of "….................................."</t>
  </si>
  <si>
    <t>PSTN Con (IDP)</t>
  </si>
  <si>
    <t xml:space="preserve">Received By: </t>
  </si>
  <si>
    <t xml:space="preserve">FTTH  - DW length- (0-100) </t>
  </si>
  <si>
    <t xml:space="preserve">RTOM - </t>
  </si>
  <si>
    <t>Team 1 - I-Shamp Mobile Team No -</t>
  </si>
  <si>
    <t>Team 2 - I-Shamp Mobile Team No -</t>
  </si>
  <si>
    <t>Team 3 - I-Shamp Mobile Team No -</t>
  </si>
  <si>
    <t xml:space="preserve">FTTH  - DW length- (101-200) </t>
  </si>
  <si>
    <t xml:space="preserve">FTTH  - DW length- (201-300) </t>
  </si>
  <si>
    <t xml:space="preserve">FTTH  - DW length-  (301-400) </t>
  </si>
  <si>
    <t>FTTH  - DW length- (401-500)</t>
  </si>
  <si>
    <t xml:space="preserve">FTTH  - DW length- (500 ++) </t>
  </si>
  <si>
    <t xml:space="preserve">DATA  - DW length- (0-100) </t>
  </si>
  <si>
    <t xml:space="preserve">DATA  - DW length- (101-200) </t>
  </si>
  <si>
    <t xml:space="preserve">DATA - DW length- (201-300) </t>
  </si>
  <si>
    <t xml:space="preserve">DATA  - DW length-  (301-400) </t>
  </si>
  <si>
    <t>DATA  - DW length- (401-500)</t>
  </si>
  <si>
    <t xml:space="preserve">DATA  - DW length- (500 ++) </t>
  </si>
  <si>
    <t>FTTH -High Rise Building (Configuration only)</t>
  </si>
  <si>
    <t>SLTS/OSP/2025/2026/000</t>
  </si>
  <si>
    <t>5.6m Pole Installation</t>
  </si>
  <si>
    <t>5.6m Pole Installation ( Manual)</t>
  </si>
  <si>
    <t>6.7m Pole Installation ( Manual)</t>
  </si>
  <si>
    <t>8m Pole Installation</t>
  </si>
  <si>
    <t>8m Pole Installation ( Manual)</t>
  </si>
  <si>
    <t>5.6m Poles Installation (External Boom)</t>
  </si>
  <si>
    <t>6.7m Poles Installation (External Boom)</t>
  </si>
  <si>
    <t>8.0m Poles Installation (External Boom)</t>
  </si>
  <si>
    <t>5.6m Pole Installation &amp; Base Concrete</t>
  </si>
  <si>
    <t>6.7m Pole Installation &amp; Base Concrete</t>
  </si>
  <si>
    <t>8m Pole Installation &amp; Base Concrete</t>
  </si>
  <si>
    <t>Region</t>
  </si>
  <si>
    <t>Province</t>
  </si>
  <si>
    <t>REGION 01</t>
  </si>
  <si>
    <t>WPN &amp; NWP</t>
  </si>
  <si>
    <t>CP &amp; NCP</t>
  </si>
  <si>
    <t>REGION 03</t>
  </si>
  <si>
    <t>EP</t>
  </si>
  <si>
    <t>NP</t>
  </si>
  <si>
    <t>"Contractor Name"</t>
  </si>
  <si>
    <t>DB</t>
  </si>
  <si>
    <t>KY</t>
  </si>
  <si>
    <t>MT</t>
  </si>
  <si>
    <t>GP</t>
  </si>
  <si>
    <t>HT</t>
  </si>
  <si>
    <t>NW</t>
  </si>
  <si>
    <t>PR</t>
  </si>
  <si>
    <t>AD</t>
  </si>
  <si>
    <t>KG</t>
  </si>
  <si>
    <t>KLY</t>
  </si>
  <si>
    <t>CW</t>
  </si>
  <si>
    <t>PX</t>
  </si>
  <si>
    <t>AP</t>
  </si>
  <si>
    <t>BC</t>
  </si>
  <si>
    <t>KL</t>
  </si>
  <si>
    <t>TC</t>
  </si>
  <si>
    <t>JA</t>
  </si>
  <si>
    <t>KO</t>
  </si>
  <si>
    <t>MB</t>
  </si>
  <si>
    <t>VA</t>
  </si>
  <si>
    <t>MLT</t>
  </si>
  <si>
    <t>IPTV - 2nd / 3rd Visit (FTTH)</t>
  </si>
  <si>
    <t>PSTN- CP/NWP - 1st Con</t>
  </si>
  <si>
    <t>PSTN- CP/NWP - 2nd Con</t>
  </si>
  <si>
    <t>PSTN- CP/NWP - 3rd Con</t>
  </si>
  <si>
    <t>PSTN- CP/NWP - 4th Con</t>
  </si>
  <si>
    <t>PSTN - NP/EP - 1st Con</t>
  </si>
  <si>
    <t>PSTN - NP/EP - 2nd Con</t>
  </si>
  <si>
    <t>PSTN - NP/EP - 3rd Con</t>
  </si>
  <si>
    <t>PSTN - NP/EP - 4th Con</t>
  </si>
  <si>
    <t>S A M Perera</t>
  </si>
  <si>
    <t>Sn</t>
  </si>
  <si>
    <t>q</t>
  </si>
  <si>
    <t>SAM/CENTRAL/KY/NC/26/DEC/1</t>
  </si>
  <si>
    <t>DW Slabs</t>
  </si>
  <si>
    <t>New rate</t>
  </si>
  <si>
    <t>0-100</t>
  </si>
  <si>
    <t>101-200</t>
  </si>
  <si>
    <t>201-300</t>
  </si>
  <si>
    <t>301-400</t>
  </si>
  <si>
    <t>401-500</t>
  </si>
  <si>
    <t>Above 500</t>
  </si>
  <si>
    <t xml:space="preserve">Highrise Building  </t>
  </si>
  <si>
    <t>HK/MD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</si>
</sst>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[$-409]mmm\-yy;@"/>
    <numFmt numFmtId="165" formatCode="[$-409]d\-mmm\-yy;@"/>
    <numFmt numFmtId="166" formatCode="[$-409]mmmm\-yy;@"/>
    <numFmt numFmtId="167" formatCode="yyyy&quot;-&quot;mm&quot;-&quot;dd"/>
    <numFmt numFmtId="168" formatCode="[$-409]dd\-mmm\-yy;@"/>
    <numFmt numFmtId="169" formatCode="0000000000"/>
    <numFmt numFmtId="170" formatCode="[$-409]d\-mmm\-yyyy;@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Aparajita"/>
      <family val="1"/>
    </font>
    <font>
      <sz val="12"/>
      <color theme="1"/>
      <name val="Aparajita"/>
      <family val="1"/>
    </font>
    <font>
      <sz val="8"/>
      <name val="Calibri"/>
      <family val="2"/>
      <scheme val="minor"/>
    </font>
    <font>
      <sz val="12"/>
      <color rgb="FF7030A0"/>
      <name val="Aparajita"/>
      <family val="1"/>
    </font>
    <font>
      <sz val="12"/>
      <name val="Aparajita"/>
      <family val="1"/>
    </font>
    <font>
      <sz val="12"/>
      <color theme="9" tint="-0.249977111117893"/>
      <name val="Aparajita"/>
      <family val="1"/>
    </font>
    <font>
      <sz val="12"/>
      <color rgb="FF002060"/>
      <name val="Aparajita"/>
      <family val="1"/>
    </font>
    <font>
      <sz val="11"/>
      <color theme="1"/>
      <name val="Kigelia"/>
      <family val="2"/>
    </font>
    <font>
      <sz val="12"/>
      <color rgb="FFFF0000"/>
      <name val="Kigelia"/>
      <family val="2"/>
    </font>
    <font>
      <sz val="11"/>
      <color rgb="FFFF0000"/>
      <name val="Kigelia"/>
      <family val="2"/>
    </font>
    <font>
      <b/>
      <sz val="11"/>
      <color theme="1"/>
      <name val="Kigelia"/>
      <family val="2"/>
    </font>
    <font>
      <b/>
      <sz val="10"/>
      <color theme="1"/>
      <name val="Kigelia"/>
      <family val="2"/>
    </font>
    <font>
      <sz val="10"/>
      <color theme="1"/>
      <name val="Kigelia"/>
      <family val="2"/>
    </font>
    <font>
      <b/>
      <u val="doubleAccounting"/>
      <sz val="11"/>
      <color theme="1"/>
      <name val="Kigelia"/>
      <family val="2"/>
    </font>
    <font>
      <b/>
      <i/>
      <sz val="11"/>
      <color theme="1"/>
      <name val="Kigelia"/>
      <family val="2"/>
    </font>
    <font>
      <b/>
      <i/>
      <sz val="14"/>
      <color theme="1"/>
      <name val="Kigelia"/>
      <family val="2"/>
    </font>
    <font>
      <sz val="14"/>
      <color theme="1"/>
      <name val="Kigelia"/>
      <family val="2"/>
    </font>
    <font>
      <i/>
      <sz val="11"/>
      <color theme="1"/>
      <name val="Kigelia"/>
      <family val="2"/>
    </font>
    <font>
      <sz val="10"/>
      <name val="Kigelia"/>
      <family val="2"/>
    </font>
    <font>
      <b/>
      <sz val="12"/>
      <color theme="1"/>
      <name val="Kigelia"/>
      <family val="2"/>
    </font>
    <font>
      <sz val="10"/>
      <color theme="0"/>
      <name val="Kigelia"/>
      <family val="2"/>
    </font>
    <font>
      <sz val="10"/>
      <color rgb="FFFF0000"/>
      <name val="Kigelia"/>
      <family val="2"/>
    </font>
    <font>
      <sz val="10"/>
      <color rgb="FF000000"/>
      <name val="Kigelia"/>
      <family val="2"/>
    </font>
    <font>
      <b/>
      <sz val="14"/>
      <color theme="1"/>
      <name val="Kigelia"/>
      <family val="2"/>
    </font>
    <font>
      <b/>
      <sz val="10"/>
      <color theme="0"/>
      <name val="Kigelia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b/>
      <sz val="9"/>
      <color theme="1"/>
      <name val="Kigelia"/>
      <family val="2"/>
    </font>
    <font>
      <b/>
      <sz val="20"/>
      <color theme="1"/>
      <name val="Kigelia"/>
      <family val="2"/>
    </font>
    <font>
      <sz val="12"/>
      <color theme="1"/>
      <name val="Kigelia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7CAAC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1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8" fillId="0" borderId="0">
      <alignment vertical="center"/>
    </xf>
    <xf numFmtId="9" fontId="1" fillId="0" borderId="0" applyFont="0" applyFill="0" applyBorder="0" applyAlignment="0" applyProtection="0"/>
  </cellStyleXfs>
  <cellXfs count="26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7" xfId="0" applyBorder="1" applyAlignment="1" applyProtection="1">
      <alignment horizontal="left" vertical="top" wrapText="1"/>
      <protection hidden="1"/>
    </xf>
    <xf numFmtId="0" fontId="0" fillId="0" borderId="18" xfId="0" applyBorder="1" applyAlignment="1" applyProtection="1">
      <alignment horizontal="center" vertical="center" wrapText="1"/>
      <protection hidden="1"/>
    </xf>
    <xf numFmtId="0" fontId="0" fillId="0" borderId="18" xfId="0" applyBorder="1" applyAlignment="1" applyProtection="1">
      <alignment horizontal="center" vertical="top" wrapText="1"/>
      <protection hidden="1"/>
    </xf>
    <xf numFmtId="0" fontId="0" fillId="0" borderId="6" xfId="0" applyBorder="1" applyAlignment="1" applyProtection="1">
      <alignment horizontal="center" vertical="center"/>
      <protection hidden="1"/>
    </xf>
    <xf numFmtId="0" fontId="0" fillId="0" borderId="6" xfId="0" applyBorder="1" applyAlignment="1" applyProtection="1">
      <alignment vertical="center"/>
      <protection hidden="1"/>
    </xf>
    <xf numFmtId="0" fontId="0" fillId="0" borderId="1" xfId="0" applyBorder="1" applyAlignment="1" applyProtection="1">
      <alignment horizontal="center" vertical="center"/>
      <protection hidden="1"/>
    </xf>
    <xf numFmtId="0" fontId="6" fillId="0" borderId="1" xfId="0" applyFont="1" applyBorder="1" applyAlignment="1" applyProtection="1">
      <alignment vertical="center"/>
      <protection hidden="1"/>
    </xf>
    <xf numFmtId="0" fontId="0" fillId="0" borderId="10" xfId="0" applyBorder="1" applyAlignment="1" applyProtection="1">
      <alignment horizontal="center" vertical="center"/>
      <protection hidden="1"/>
    </xf>
    <xf numFmtId="0" fontId="0" fillId="0" borderId="4" xfId="0" applyBorder="1" applyAlignment="1" applyProtection="1">
      <alignment horizontal="center" vertical="center"/>
      <protection hidden="1"/>
    </xf>
    <xf numFmtId="0" fontId="0" fillId="0" borderId="5" xfId="0" applyBorder="1" applyAlignment="1" applyProtection="1">
      <alignment horizontal="center" vertical="center"/>
      <protection hidden="1"/>
    </xf>
    <xf numFmtId="0" fontId="0" fillId="0" borderId="1" xfId="0" applyBorder="1" applyAlignment="1" applyProtection="1">
      <alignment vertical="center"/>
      <protection hidden="1"/>
    </xf>
    <xf numFmtId="0" fontId="0" fillId="0" borderId="1" xfId="0" applyBorder="1" applyProtection="1">
      <protection hidden="1"/>
    </xf>
    <xf numFmtId="0" fontId="7" fillId="0" borderId="1" xfId="0" applyFont="1" applyBorder="1" applyProtection="1">
      <protection hidden="1"/>
    </xf>
    <xf numFmtId="0" fontId="0" fillId="0" borderId="9" xfId="0" applyBorder="1" applyAlignment="1" applyProtection="1">
      <alignment horizontal="center" vertical="center"/>
      <protection hidden="1"/>
    </xf>
    <xf numFmtId="0" fontId="7" fillId="0" borderId="0" xfId="0" applyFont="1" applyProtection="1">
      <protection hidden="1"/>
    </xf>
    <xf numFmtId="0" fontId="0" fillId="0" borderId="0" xfId="0" applyAlignment="1" applyProtection="1">
      <alignment horizontal="center" vertical="center"/>
      <protection hidden="1"/>
    </xf>
    <xf numFmtId="0" fontId="0" fillId="0" borderId="8" xfId="0" applyBorder="1" applyAlignment="1" applyProtection="1">
      <alignment horizontal="center" vertical="center"/>
      <protection hidden="1"/>
    </xf>
    <xf numFmtId="0" fontId="0" fillId="0" borderId="3" xfId="0" applyBorder="1" applyAlignment="1" applyProtection="1">
      <alignment horizontal="center" vertical="center"/>
      <protection hidden="1"/>
    </xf>
    <xf numFmtId="0" fontId="10" fillId="0" borderId="0" xfId="0" applyFont="1"/>
    <xf numFmtId="17" fontId="10" fillId="0" borderId="0" xfId="0" applyNumberFormat="1" applyFont="1"/>
    <xf numFmtId="0" fontId="9" fillId="0" borderId="2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0" xfId="0" applyFont="1"/>
    <xf numFmtId="43" fontId="9" fillId="0" borderId="24" xfId="1" applyFont="1" applyBorder="1" applyAlignment="1">
      <alignment horizontal="center" vertical="center"/>
    </xf>
    <xf numFmtId="43" fontId="12" fillId="0" borderId="0" xfId="1" applyFont="1" applyBorder="1"/>
    <xf numFmtId="43" fontId="13" fillId="0" borderId="0" xfId="1" applyFont="1" applyBorder="1"/>
    <xf numFmtId="43" fontId="14" fillId="0" borderId="0" xfId="1" applyFont="1" applyBorder="1"/>
    <xf numFmtId="43" fontId="10" fillId="0" borderId="0" xfId="1" applyFont="1" applyBorder="1"/>
    <xf numFmtId="43" fontId="10" fillId="0" borderId="0" xfId="1" applyFont="1"/>
    <xf numFmtId="0" fontId="15" fillId="0" borderId="0" xfId="0" applyFont="1"/>
    <xf numFmtId="0" fontId="15" fillId="0" borderId="8" xfId="0" applyFont="1" applyBorder="1" applyAlignment="1">
      <alignment horizontal="center" vertical="center"/>
    </xf>
    <xf numFmtId="0" fontId="16" fillId="0" borderId="0" xfId="0" applyFont="1" applyProtection="1">
      <protection locked="0"/>
    </xf>
    <xf numFmtId="0" fontId="17" fillId="0" borderId="0" xfId="0" applyFont="1" applyProtection="1">
      <protection locked="0"/>
    </xf>
    <xf numFmtId="0" fontId="18" fillId="0" borderId="0" xfId="0" applyFont="1" applyProtection="1">
      <protection locked="0"/>
    </xf>
    <xf numFmtId="0" fontId="16" fillId="0" borderId="0" xfId="0" applyFont="1" applyAlignment="1" applyProtection="1">
      <alignment horizontal="center"/>
      <protection locked="0"/>
    </xf>
    <xf numFmtId="0" fontId="19" fillId="0" borderId="0" xfId="0" applyFont="1" applyAlignment="1" applyProtection="1">
      <alignment horizontal="center"/>
      <protection locked="0"/>
    </xf>
    <xf numFmtId="0" fontId="16" fillId="0" borderId="0" xfId="0" applyFont="1" applyAlignment="1" applyProtection="1">
      <alignment horizontal="left"/>
      <protection locked="0"/>
    </xf>
    <xf numFmtId="0" fontId="19" fillId="0" borderId="0" xfId="0" applyFont="1" applyAlignment="1" applyProtection="1">
      <alignment horizontal="right"/>
      <protection locked="0"/>
    </xf>
    <xf numFmtId="0" fontId="16" fillId="0" borderId="0" xfId="0" applyFont="1" applyAlignment="1" applyProtection="1">
      <alignment horizontal="left"/>
      <protection hidden="1"/>
    </xf>
    <xf numFmtId="0" fontId="20" fillId="0" borderId="1" xfId="0" applyFont="1" applyBorder="1" applyAlignment="1" applyProtection="1">
      <alignment horizontal="center" vertical="center"/>
      <protection locked="0"/>
    </xf>
    <xf numFmtId="0" fontId="20" fillId="0" borderId="1" xfId="0" applyFont="1" applyBorder="1" applyAlignment="1" applyProtection="1">
      <alignment horizontal="center" vertical="center" wrapText="1"/>
      <protection locked="0"/>
    </xf>
    <xf numFmtId="0" fontId="20" fillId="0" borderId="4" xfId="0" applyFont="1" applyBorder="1" applyAlignment="1" applyProtection="1">
      <alignment horizontal="center" vertical="center"/>
      <protection locked="0"/>
    </xf>
    <xf numFmtId="0" fontId="20" fillId="0" borderId="5" xfId="0" applyFont="1" applyBorder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horizontal="center" vertical="center"/>
      <protection locked="0"/>
    </xf>
    <xf numFmtId="0" fontId="21" fillId="0" borderId="1" xfId="0" quotePrefix="1" applyFont="1" applyBorder="1" applyAlignment="1" applyProtection="1">
      <alignment horizontal="center" vertical="center"/>
      <protection hidden="1"/>
    </xf>
    <xf numFmtId="0" fontId="21" fillId="0" borderId="1" xfId="0" applyFont="1" applyBorder="1" applyAlignment="1" applyProtection="1">
      <alignment vertical="center"/>
      <protection locked="0"/>
    </xf>
    <xf numFmtId="0" fontId="21" fillId="0" borderId="1" xfId="0" applyFont="1" applyBorder="1" applyAlignment="1" applyProtection="1">
      <alignment horizontal="center" vertical="center"/>
      <protection locked="0"/>
    </xf>
    <xf numFmtId="0" fontId="21" fillId="0" borderId="1" xfId="0" applyFont="1" applyBorder="1" applyAlignment="1">
      <alignment horizontal="center" vertical="center"/>
    </xf>
    <xf numFmtId="2" fontId="21" fillId="0" borderId="1" xfId="0" applyNumberFormat="1" applyFont="1" applyBorder="1" applyAlignment="1" applyProtection="1">
      <alignment horizontal="center" vertical="center"/>
      <protection hidden="1"/>
    </xf>
    <xf numFmtId="2" fontId="21" fillId="0" borderId="4" xfId="0" applyNumberFormat="1" applyFont="1" applyBorder="1" applyAlignment="1" applyProtection="1">
      <alignment horizontal="center" vertical="center"/>
      <protection hidden="1"/>
    </xf>
    <xf numFmtId="43" fontId="21" fillId="0" borderId="5" xfId="1" applyFont="1" applyBorder="1" applyAlignment="1" applyProtection="1">
      <alignment horizontal="right" vertical="center"/>
      <protection hidden="1"/>
    </xf>
    <xf numFmtId="0" fontId="16" fillId="0" borderId="0" xfId="0" applyFont="1" applyAlignment="1" applyProtection="1">
      <alignment vertical="center"/>
      <protection locked="0"/>
    </xf>
    <xf numFmtId="0" fontId="21" fillId="0" borderId="1" xfId="0" applyFont="1" applyBorder="1" applyAlignment="1" applyProtection="1">
      <alignment vertical="center"/>
      <protection hidden="1"/>
    </xf>
    <xf numFmtId="0" fontId="16" fillId="0" borderId="0" xfId="0" quotePrefix="1" applyFont="1" applyProtection="1">
      <protection locked="0"/>
    </xf>
    <xf numFmtId="0" fontId="16" fillId="0" borderId="0" xfId="0" applyFont="1" applyProtection="1">
      <protection hidden="1"/>
    </xf>
    <xf numFmtId="2" fontId="16" fillId="0" borderId="14" xfId="0" applyNumberFormat="1" applyFont="1" applyBorder="1" applyProtection="1">
      <protection hidden="1"/>
    </xf>
    <xf numFmtId="43" fontId="16" fillId="0" borderId="14" xfId="1" applyFont="1" applyBorder="1" applyAlignment="1" applyProtection="1">
      <alignment horizontal="right"/>
      <protection hidden="1"/>
    </xf>
    <xf numFmtId="2" fontId="16" fillId="0" borderId="15" xfId="0" applyNumberFormat="1" applyFont="1" applyBorder="1" applyProtection="1">
      <protection hidden="1"/>
    </xf>
    <xf numFmtId="0" fontId="16" fillId="0" borderId="0" xfId="0" applyFont="1" applyAlignment="1" applyProtection="1">
      <alignment horizontal="right" vertical="center"/>
      <protection locked="0"/>
    </xf>
    <xf numFmtId="9" fontId="19" fillId="0" borderId="0" xfId="3" applyFont="1" applyAlignment="1" applyProtection="1">
      <alignment horizontal="center"/>
    </xf>
    <xf numFmtId="43" fontId="22" fillId="0" borderId="0" xfId="0" applyNumberFormat="1" applyFont="1" applyProtection="1">
      <protection locked="0"/>
    </xf>
    <xf numFmtId="9" fontId="19" fillId="0" borderId="0" xfId="3" applyFont="1" applyAlignment="1" applyProtection="1">
      <alignment horizontal="center"/>
      <protection locked="0"/>
    </xf>
    <xf numFmtId="43" fontId="19" fillId="0" borderId="0" xfId="0" applyNumberFormat="1" applyFont="1" applyProtection="1">
      <protection locked="0"/>
    </xf>
    <xf numFmtId="0" fontId="16" fillId="0" borderId="3" xfId="0" applyFont="1" applyBorder="1" applyProtection="1">
      <protection locked="0"/>
    </xf>
    <xf numFmtId="0" fontId="24" fillId="3" borderId="1" xfId="0" applyFont="1" applyFill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 wrapText="1"/>
    </xf>
    <xf numFmtId="0" fontId="25" fillId="0" borderId="0" xfId="0" applyFont="1"/>
    <xf numFmtId="0" fontId="23" fillId="0" borderId="1" xfId="0" applyFont="1" applyBorder="1" applyAlignment="1">
      <alignment horizontal="center" vertical="center"/>
    </xf>
    <xf numFmtId="0" fontId="23" fillId="0" borderId="4" xfId="0" applyFont="1" applyBorder="1"/>
    <xf numFmtId="0" fontId="19" fillId="0" borderId="0" xfId="0" applyFont="1"/>
    <xf numFmtId="0" fontId="23" fillId="0" borderId="1" xfId="0" applyFont="1" applyBorder="1"/>
    <xf numFmtId="0" fontId="23" fillId="0" borderId="1" xfId="0" applyFont="1" applyBorder="1" applyAlignment="1" applyProtection="1">
      <alignment horizontal="center" vertical="center"/>
      <protection locked="0"/>
    </xf>
    <xf numFmtId="0" fontId="16" fillId="0" borderId="39" xfId="0" applyFont="1" applyBorder="1" applyProtection="1">
      <protection locked="0"/>
    </xf>
    <xf numFmtId="0" fontId="26" fillId="0" borderId="1" xfId="0" applyFont="1" applyBorder="1" applyAlignment="1" applyProtection="1">
      <alignment horizontal="center" vertical="center"/>
      <protection hidden="1"/>
    </xf>
    <xf numFmtId="0" fontId="26" fillId="0" borderId="1" xfId="0" applyFont="1" applyBorder="1" applyAlignment="1" applyProtection="1">
      <alignment horizontal="center" vertical="center"/>
      <protection locked="0"/>
    </xf>
    <xf numFmtId="0" fontId="16" fillId="0" borderId="38" xfId="0" applyFont="1" applyBorder="1" applyProtection="1">
      <protection locked="0"/>
    </xf>
    <xf numFmtId="0" fontId="16" fillId="0" borderId="0" xfId="0" applyFont="1" applyAlignment="1" applyProtection="1">
      <alignment vertical="top"/>
      <protection hidden="1"/>
    </xf>
    <xf numFmtId="0" fontId="16" fillId="0" borderId="0" xfId="0" applyFont="1" applyAlignment="1" applyProtection="1">
      <alignment horizontal="center" vertical="top"/>
      <protection locked="0"/>
    </xf>
    <xf numFmtId="0" fontId="16" fillId="0" borderId="35" xfId="0" applyFont="1" applyBorder="1" applyAlignment="1" applyProtection="1">
      <alignment vertical="top"/>
      <protection locked="0"/>
    </xf>
    <xf numFmtId="0" fontId="16" fillId="0" borderId="0" xfId="0" applyFont="1" applyAlignment="1" applyProtection="1">
      <alignment vertical="top"/>
      <protection locked="0"/>
    </xf>
    <xf numFmtId="0" fontId="20" fillId="0" borderId="0" xfId="0" applyFont="1" applyAlignment="1" applyProtection="1">
      <alignment horizontal="left"/>
      <protection hidden="1"/>
    </xf>
    <xf numFmtId="0" fontId="20" fillId="0" borderId="0" xfId="0" applyFont="1" applyAlignment="1" applyProtection="1">
      <alignment horizontal="center"/>
      <protection hidden="1"/>
    </xf>
    <xf numFmtId="0" fontId="21" fillId="0" borderId="0" xfId="0" applyFont="1"/>
    <xf numFmtId="0" fontId="21" fillId="0" borderId="0" xfId="0" applyFont="1" applyAlignment="1" applyProtection="1">
      <alignment horizontal="center"/>
      <protection locked="0" hidden="1"/>
    </xf>
    <xf numFmtId="0" fontId="21" fillId="0" borderId="0" xfId="0" applyFont="1" applyAlignment="1" applyProtection="1">
      <alignment horizontal="left"/>
      <protection locked="0" hidden="1"/>
    </xf>
    <xf numFmtId="0" fontId="20" fillId="0" borderId="5" xfId="0" applyFont="1" applyBorder="1" applyAlignment="1" applyProtection="1">
      <alignment horizontal="center" vertical="center" wrapText="1"/>
      <protection locked="0" hidden="1"/>
    </xf>
    <xf numFmtId="0" fontId="20" fillId="0" borderId="1" xfId="0" applyFont="1" applyBorder="1" applyAlignment="1" applyProtection="1">
      <alignment horizontal="center" vertical="center" textRotation="90" wrapText="1"/>
      <protection locked="0" hidden="1"/>
    </xf>
    <xf numFmtId="0" fontId="20" fillId="0" borderId="1" xfId="0" applyFont="1" applyBorder="1" applyAlignment="1" applyProtection="1">
      <alignment horizontal="center" vertical="center" wrapText="1"/>
      <protection locked="0" hidden="1"/>
    </xf>
    <xf numFmtId="0" fontId="20" fillId="0" borderId="11" xfId="0" applyFont="1" applyBorder="1" applyAlignment="1" applyProtection="1">
      <alignment horizontal="center" vertical="center" textRotation="90" wrapText="1"/>
      <protection locked="0" hidden="1"/>
    </xf>
    <xf numFmtId="0" fontId="20" fillId="0" borderId="10" xfId="0" applyFont="1" applyBorder="1" applyAlignment="1" applyProtection="1">
      <alignment horizontal="center" vertical="center" textRotation="90" wrapText="1"/>
      <protection locked="0" hidden="1"/>
    </xf>
    <xf numFmtId="0" fontId="21" fillId="0" borderId="5" xfId="0" applyFont="1" applyBorder="1" applyAlignment="1" applyProtection="1">
      <alignment horizontal="center" vertical="center" wrapText="1"/>
      <protection locked="0" hidden="1"/>
    </xf>
    <xf numFmtId="169" fontId="27" fillId="3" borderId="1" xfId="0" applyNumberFormat="1" applyFont="1" applyFill="1" applyBorder="1" applyAlignment="1">
      <alignment horizontal="left" vertical="top"/>
    </xf>
    <xf numFmtId="0" fontId="21" fillId="0" borderId="1" xfId="0" applyFont="1" applyBorder="1" applyAlignment="1">
      <alignment horizontal="center"/>
    </xf>
    <xf numFmtId="170" fontId="27" fillId="3" borderId="1" xfId="0" applyNumberFormat="1" applyFont="1" applyFill="1" applyBorder="1" applyAlignment="1">
      <alignment horizontal="left" vertical="top"/>
    </xf>
    <xf numFmtId="0" fontId="27" fillId="3" borderId="1" xfId="0" applyFont="1" applyFill="1" applyBorder="1" applyAlignment="1">
      <alignment horizontal="center" vertical="top"/>
    </xf>
    <xf numFmtId="0" fontId="20" fillId="0" borderId="4" xfId="0" applyFont="1" applyBorder="1" applyAlignment="1" applyProtection="1">
      <alignment horizontal="center"/>
      <protection locked="0" hidden="1"/>
    </xf>
    <xf numFmtId="0" fontId="20" fillId="0" borderId="13" xfId="0" applyFont="1" applyBorder="1" applyAlignment="1" applyProtection="1">
      <alignment horizontal="left"/>
      <protection locked="0" hidden="1"/>
    </xf>
    <xf numFmtId="0" fontId="20" fillId="0" borderId="13" xfId="0" applyFont="1" applyBorder="1" applyAlignment="1" applyProtection="1">
      <alignment horizontal="center"/>
      <protection locked="0" hidden="1"/>
    </xf>
    <xf numFmtId="0" fontId="20" fillId="0" borderId="2" xfId="0" applyFont="1" applyBorder="1" applyAlignment="1" applyProtection="1">
      <alignment horizontal="center"/>
      <protection hidden="1"/>
    </xf>
    <xf numFmtId="0" fontId="21" fillId="0" borderId="2" xfId="0" applyFont="1" applyBorder="1" applyAlignment="1" applyProtection="1">
      <alignment horizontal="left"/>
      <protection locked="0" hidden="1"/>
    </xf>
    <xf numFmtId="0" fontId="20" fillId="0" borderId="0" xfId="0" applyFont="1" applyAlignment="1" applyProtection="1">
      <alignment horizontal="center"/>
      <protection locked="0" hidden="1"/>
    </xf>
    <xf numFmtId="0" fontId="20" fillId="0" borderId="0" xfId="0" applyFont="1" applyAlignment="1" applyProtection="1">
      <alignment horizontal="left"/>
      <protection locked="0" hidden="1"/>
    </xf>
    <xf numFmtId="0" fontId="20" fillId="0" borderId="0" xfId="0" applyFont="1"/>
    <xf numFmtId="0" fontId="21" fillId="0" borderId="0" xfId="0" applyFont="1" applyAlignment="1">
      <alignment horizontal="center"/>
    </xf>
    <xf numFmtId="0" fontId="21" fillId="0" borderId="0" xfId="0" applyFont="1" applyAlignment="1" applyProtection="1">
      <alignment horizontal="left"/>
      <protection locked="0"/>
    </xf>
    <xf numFmtId="0" fontId="28" fillId="0" borderId="0" xfId="0" applyFont="1" applyAlignment="1" applyProtection="1">
      <alignment horizontal="left"/>
      <protection hidden="1"/>
    </xf>
    <xf numFmtId="0" fontId="21" fillId="0" borderId="0" xfId="0" applyFont="1" applyAlignment="1" applyProtection="1">
      <alignment horizontal="center"/>
      <protection hidden="1"/>
    </xf>
    <xf numFmtId="0" fontId="19" fillId="0" borderId="0" xfId="0" applyFont="1" applyAlignment="1" applyProtection="1">
      <alignment horizontal="center"/>
      <protection hidden="1"/>
    </xf>
    <xf numFmtId="0" fontId="19" fillId="0" borderId="0" xfId="0" applyFont="1" applyAlignment="1" applyProtection="1">
      <alignment horizontal="left"/>
      <protection hidden="1"/>
    </xf>
    <xf numFmtId="0" fontId="21" fillId="0" borderId="0" xfId="0" applyFont="1" applyAlignment="1" applyProtection="1">
      <alignment horizontal="center"/>
      <protection locked="0"/>
    </xf>
    <xf numFmtId="0" fontId="28" fillId="0" borderId="0" xfId="0" applyFont="1" applyAlignment="1" applyProtection="1">
      <alignment horizontal="left"/>
      <protection locked="0" hidden="1"/>
    </xf>
    <xf numFmtId="0" fontId="29" fillId="0" borderId="0" xfId="0" applyFont="1" applyAlignment="1" applyProtection="1">
      <alignment horizontal="left" vertical="center"/>
      <protection locked="0"/>
    </xf>
    <xf numFmtId="0" fontId="21" fillId="0" borderId="6" xfId="0" applyFont="1" applyBorder="1" applyAlignment="1" applyProtection="1">
      <alignment horizontal="center" vertical="center" textRotation="90" wrapText="1"/>
      <protection locked="0" hidden="1"/>
    </xf>
    <xf numFmtId="0" fontId="21" fillId="0" borderId="24" xfId="0" applyFont="1" applyBorder="1" applyAlignment="1" applyProtection="1">
      <alignment horizontal="left" textRotation="90" wrapText="1"/>
      <protection locked="0" hidden="1"/>
    </xf>
    <xf numFmtId="0" fontId="21" fillId="0" borderId="6" xfId="0" applyFont="1" applyBorder="1" applyAlignment="1" applyProtection="1">
      <alignment horizontal="left" textRotation="90" wrapText="1"/>
      <protection locked="0" hidden="1"/>
    </xf>
    <xf numFmtId="0" fontId="21" fillId="0" borderId="6" xfId="0" applyFont="1" applyBorder="1" applyAlignment="1" applyProtection="1">
      <alignment horizontal="center" textRotation="90" wrapText="1"/>
      <protection locked="0" hidden="1"/>
    </xf>
    <xf numFmtId="0" fontId="21" fillId="0" borderId="1" xfId="0" applyFont="1" applyBorder="1" applyAlignment="1" applyProtection="1">
      <alignment horizontal="left"/>
      <protection locked="0" hidden="1"/>
    </xf>
    <xf numFmtId="0" fontId="21" fillId="0" borderId="1" xfId="0" applyFont="1" applyBorder="1" applyAlignment="1">
      <alignment horizontal="left"/>
    </xf>
    <xf numFmtId="168" fontId="21" fillId="0" borderId="1" xfId="0" applyNumberFormat="1" applyFont="1" applyBorder="1" applyAlignment="1">
      <alignment horizontal="left"/>
    </xf>
    <xf numFmtId="0" fontId="30" fillId="0" borderId="1" xfId="0" applyFont="1" applyBorder="1" applyAlignment="1" applyProtection="1">
      <alignment horizontal="left"/>
      <protection locked="0" hidden="1"/>
    </xf>
    <xf numFmtId="0" fontId="21" fillId="3" borderId="0" xfId="0" applyFont="1" applyFill="1" applyAlignment="1" applyProtection="1">
      <alignment horizontal="center"/>
      <protection locked="0"/>
    </xf>
    <xf numFmtId="0" fontId="21" fillId="3" borderId="1" xfId="0" applyFont="1" applyFill="1" applyBorder="1" applyAlignment="1">
      <alignment horizontal="left"/>
    </xf>
    <xf numFmtId="168" fontId="21" fillId="3" borderId="1" xfId="0" applyNumberFormat="1" applyFont="1" applyFill="1" applyBorder="1" applyAlignment="1">
      <alignment horizontal="left"/>
    </xf>
    <xf numFmtId="0" fontId="21" fillId="3" borderId="1" xfId="0" applyFont="1" applyFill="1" applyBorder="1" applyAlignment="1">
      <alignment horizontal="center"/>
    </xf>
    <xf numFmtId="0" fontId="21" fillId="3" borderId="1" xfId="0" applyFont="1" applyFill="1" applyBorder="1" applyAlignment="1">
      <alignment horizontal="center" vertical="center"/>
    </xf>
    <xf numFmtId="0" fontId="21" fillId="0" borderId="4" xfId="0" applyFont="1" applyBorder="1" applyAlignment="1" applyProtection="1">
      <alignment horizontal="left"/>
      <protection locked="0" hidden="1"/>
    </xf>
    <xf numFmtId="0" fontId="21" fillId="0" borderId="13" xfId="0" applyFont="1" applyBorder="1" applyAlignment="1" applyProtection="1">
      <alignment horizontal="left"/>
      <protection locked="0" hidden="1"/>
    </xf>
    <xf numFmtId="0" fontId="21" fillId="0" borderId="2" xfId="0" applyFont="1" applyBorder="1" applyAlignment="1" applyProtection="1">
      <alignment horizontal="center"/>
      <protection hidden="1"/>
    </xf>
    <xf numFmtId="15" fontId="21" fillId="0" borderId="1" xfId="0" applyNumberFormat="1" applyFont="1" applyBorder="1" applyAlignment="1">
      <alignment horizontal="center"/>
    </xf>
    <xf numFmtId="0" fontId="21" fillId="0" borderId="2" xfId="0" applyFont="1" applyBorder="1" applyAlignment="1" applyProtection="1">
      <alignment horizontal="center"/>
      <protection locked="0" hidden="1"/>
    </xf>
    <xf numFmtId="0" fontId="21" fillId="0" borderId="1" xfId="0" applyFont="1" applyBorder="1" applyAlignment="1" applyProtection="1">
      <alignment horizontal="center"/>
      <protection locked="0" hidden="1"/>
    </xf>
    <xf numFmtId="0" fontId="31" fillId="0" borderId="1" xfId="0" applyFont="1" applyBorder="1" applyAlignment="1">
      <alignment horizontal="left"/>
    </xf>
    <xf numFmtId="167" fontId="21" fillId="0" borderId="1" xfId="0" applyNumberFormat="1" applyFont="1" applyBorder="1" applyAlignment="1">
      <alignment horizontal="left"/>
    </xf>
    <xf numFmtId="0" fontId="21" fillId="0" borderId="1" xfId="0" applyFont="1" applyBorder="1" applyAlignment="1" applyProtection="1">
      <alignment horizontal="center"/>
      <protection locked="0"/>
    </xf>
    <xf numFmtId="0" fontId="21" fillId="0" borderId="1" xfId="0" quotePrefix="1" applyFont="1" applyBorder="1" applyAlignment="1" applyProtection="1">
      <alignment horizontal="left"/>
      <protection locked="0" hidden="1"/>
    </xf>
    <xf numFmtId="165" fontId="21" fillId="0" borderId="1" xfId="0" applyNumberFormat="1" applyFont="1" applyBorder="1" applyAlignment="1" applyProtection="1">
      <alignment horizontal="left"/>
      <protection locked="0" hidden="1"/>
    </xf>
    <xf numFmtId="0" fontId="29" fillId="2" borderId="7" xfId="0" applyFont="1" applyFill="1" applyBorder="1" applyAlignment="1" applyProtection="1">
      <alignment horizontal="left" vertical="center"/>
      <protection locked="0" hidden="1"/>
    </xf>
    <xf numFmtId="0" fontId="29" fillId="2" borderId="3" xfId="0" applyFont="1" applyFill="1" applyBorder="1" applyAlignment="1" applyProtection="1">
      <alignment horizontal="left" vertical="center"/>
      <protection locked="0" hidden="1"/>
    </xf>
    <xf numFmtId="0" fontId="29" fillId="2" borderId="3" xfId="0" applyFont="1" applyFill="1" applyBorder="1" applyAlignment="1" applyProtection="1">
      <alignment horizontal="center" vertical="center"/>
      <protection locked="0" hidden="1"/>
    </xf>
    <xf numFmtId="0" fontId="21" fillId="0" borderId="1" xfId="0" applyFont="1" applyBorder="1" applyAlignment="1" applyProtection="1">
      <alignment horizontal="left" vertical="center" wrapText="1"/>
      <protection locked="0" hidden="1"/>
    </xf>
    <xf numFmtId="0" fontId="21" fillId="0" borderId="10" xfId="0" applyFont="1" applyBorder="1" applyAlignment="1" applyProtection="1">
      <alignment horizontal="left" textRotation="90" wrapText="1"/>
      <protection locked="0" hidden="1"/>
    </xf>
    <xf numFmtId="0" fontId="21" fillId="0" borderId="1" xfId="0" applyFont="1" applyBorder="1" applyAlignment="1" applyProtection="1">
      <alignment horizontal="left" textRotation="90" wrapText="1"/>
      <protection locked="0" hidden="1"/>
    </xf>
    <xf numFmtId="0" fontId="21" fillId="0" borderId="1" xfId="0" applyFont="1" applyBorder="1" applyAlignment="1" applyProtection="1">
      <alignment horizontal="center" textRotation="90" wrapText="1"/>
      <protection locked="0" hidden="1"/>
    </xf>
    <xf numFmtId="0" fontId="32" fillId="0" borderId="28" xfId="0" applyFont="1" applyBorder="1" applyAlignment="1" applyProtection="1">
      <alignment horizontal="center"/>
      <protection hidden="1"/>
    </xf>
    <xf numFmtId="0" fontId="32" fillId="0" borderId="2" xfId="0" applyFont="1" applyBorder="1" applyAlignment="1" applyProtection="1">
      <alignment horizontal="center"/>
      <protection hidden="1"/>
    </xf>
    <xf numFmtId="0" fontId="21" fillId="0" borderId="0" xfId="0" applyFont="1" applyAlignment="1" applyProtection="1">
      <alignment horizontal="left" vertical="center"/>
      <protection locked="0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33" fillId="0" borderId="0" xfId="0" applyFont="1" applyAlignment="1" applyProtection="1">
      <alignment horizontal="left" vertical="center"/>
      <protection locked="0"/>
    </xf>
    <xf numFmtId="0" fontId="20" fillId="0" borderId="1" xfId="0" applyFont="1" applyBorder="1" applyAlignment="1" applyProtection="1">
      <alignment horizontal="left" vertical="center" wrapText="1"/>
      <protection locked="0"/>
    </xf>
    <xf numFmtId="0" fontId="20" fillId="0" borderId="10" xfId="0" applyFont="1" applyBorder="1" applyAlignment="1" applyProtection="1">
      <alignment horizontal="left" vertical="center" textRotation="90" wrapText="1"/>
      <protection locked="0"/>
    </xf>
    <xf numFmtId="0" fontId="20" fillId="0" borderId="1" xfId="0" applyFont="1" applyBorder="1" applyAlignment="1" applyProtection="1">
      <alignment horizontal="left" vertical="center" textRotation="90" wrapText="1"/>
      <protection locked="0"/>
    </xf>
    <xf numFmtId="0" fontId="20" fillId="0" borderId="1" xfId="0" applyFont="1" applyBorder="1" applyAlignment="1" applyProtection="1">
      <alignment horizontal="center" vertical="center" textRotation="90" wrapText="1"/>
      <protection locked="0"/>
    </xf>
    <xf numFmtId="0" fontId="21" fillId="0" borderId="1" xfId="0" applyFont="1" applyBorder="1" applyAlignment="1" applyProtection="1">
      <alignment horizontal="center" vertical="center"/>
      <protection locked="0" hidden="1"/>
    </xf>
    <xf numFmtId="0" fontId="21" fillId="3" borderId="1" xfId="0" applyFont="1" applyFill="1" applyBorder="1" applyAlignment="1">
      <alignment horizontal="left" vertical="center"/>
    </xf>
    <xf numFmtId="168" fontId="21" fillId="3" borderId="1" xfId="0" applyNumberFormat="1" applyFont="1" applyFill="1" applyBorder="1" applyAlignment="1">
      <alignment horizontal="left" vertical="center"/>
    </xf>
    <xf numFmtId="0" fontId="21" fillId="0" borderId="1" xfId="0" applyFont="1" applyBorder="1" applyAlignment="1" applyProtection="1">
      <alignment horizontal="left" vertical="center"/>
      <protection locked="0"/>
    </xf>
    <xf numFmtId="0" fontId="21" fillId="0" borderId="1" xfId="0" applyFont="1" applyBorder="1" applyAlignment="1">
      <alignment horizontal="left" vertical="center"/>
    </xf>
    <xf numFmtId="168" fontId="21" fillId="0" borderId="1" xfId="0" applyNumberFormat="1" applyFont="1" applyBorder="1" applyAlignment="1">
      <alignment horizontal="left" vertical="center"/>
    </xf>
    <xf numFmtId="1" fontId="31" fillId="0" borderId="1" xfId="0" applyNumberFormat="1" applyFont="1" applyBorder="1" applyAlignment="1">
      <alignment horizontal="center" vertical="center"/>
    </xf>
    <xf numFmtId="168" fontId="21" fillId="0" borderId="1" xfId="0" applyNumberFormat="1" applyFont="1" applyBorder="1" applyAlignment="1">
      <alignment horizontal="center" vertical="center"/>
    </xf>
    <xf numFmtId="1" fontId="31" fillId="0" borderId="0" xfId="0" applyNumberFormat="1" applyFont="1" applyAlignment="1">
      <alignment horizontal="center" vertical="center"/>
    </xf>
    <xf numFmtId="0" fontId="20" fillId="0" borderId="13" xfId="0" applyFont="1" applyBorder="1" applyAlignment="1" applyProtection="1">
      <alignment horizontal="left" vertical="center"/>
      <protection locked="0"/>
    </xf>
    <xf numFmtId="0" fontId="21" fillId="0" borderId="2" xfId="0" applyFont="1" applyBorder="1" applyAlignment="1">
      <alignment horizontal="center" vertical="center"/>
    </xf>
    <xf numFmtId="0" fontId="21" fillId="0" borderId="2" xfId="0" applyFont="1" applyBorder="1" applyAlignment="1" applyProtection="1">
      <alignment horizontal="left" vertical="center"/>
      <protection locked="0"/>
    </xf>
    <xf numFmtId="0" fontId="20" fillId="0" borderId="0" xfId="0" applyFont="1" applyAlignment="1" applyProtection="1">
      <alignment horizontal="center" vertical="center"/>
      <protection locked="0" hidden="1"/>
    </xf>
    <xf numFmtId="0" fontId="20" fillId="0" borderId="0" xfId="0" applyFont="1" applyAlignment="1" applyProtection="1">
      <alignment horizontal="left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21" fillId="0" borderId="0" xfId="0" applyFont="1" applyAlignment="1" applyProtection="1">
      <alignment horizontal="center" vertical="center"/>
      <protection locked="0"/>
    </xf>
    <xf numFmtId="0" fontId="21" fillId="0" borderId="0" xfId="0" applyFont="1" applyAlignment="1" applyProtection="1">
      <alignment horizontal="center" vertical="center"/>
      <protection locked="0" hidden="1"/>
    </xf>
    <xf numFmtId="0" fontId="27" fillId="3" borderId="1" xfId="2" applyFont="1" applyFill="1" applyBorder="1" applyAlignment="1">
      <alignment horizontal="center" vertical="center"/>
    </xf>
    <xf numFmtId="0" fontId="27" fillId="3" borderId="1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1" xfId="2" applyFont="1" applyBorder="1" applyAlignment="1">
      <alignment horizontal="center" vertical="center"/>
    </xf>
    <xf numFmtId="0" fontId="21" fillId="0" borderId="2" xfId="0" applyFont="1" applyBorder="1" applyAlignment="1" applyProtection="1">
      <alignment horizontal="center" vertical="center"/>
      <protection locked="0"/>
    </xf>
    <xf numFmtId="15" fontId="21" fillId="0" borderId="1" xfId="0" applyNumberFormat="1" applyFont="1" applyBorder="1" applyAlignment="1">
      <alignment horizontal="center" vertical="center"/>
    </xf>
    <xf numFmtId="0" fontId="21" fillId="0" borderId="1" xfId="0" quotePrefix="1" applyFont="1" applyBorder="1" applyAlignment="1" applyProtection="1">
      <alignment horizontal="left" vertical="center"/>
      <protection locked="0"/>
    </xf>
    <xf numFmtId="165" fontId="21" fillId="0" borderId="1" xfId="0" applyNumberFormat="1" applyFont="1" applyBorder="1" applyAlignment="1" applyProtection="1">
      <alignment horizontal="left" vertical="center"/>
      <protection locked="0"/>
    </xf>
    <xf numFmtId="0" fontId="33" fillId="2" borderId="7" xfId="0" applyFont="1" applyFill="1" applyBorder="1" applyAlignment="1" applyProtection="1">
      <alignment horizontal="center" vertical="center"/>
      <protection locked="0"/>
    </xf>
    <xf numFmtId="0" fontId="33" fillId="2" borderId="3" xfId="0" applyFont="1" applyFill="1" applyBorder="1" applyAlignment="1" applyProtection="1">
      <alignment horizontal="left" vertical="center"/>
      <protection locked="0"/>
    </xf>
    <xf numFmtId="0" fontId="33" fillId="2" borderId="3" xfId="0" applyFont="1" applyFill="1" applyBorder="1" applyAlignment="1" applyProtection="1">
      <alignment horizontal="center" vertical="center"/>
      <protection locked="0"/>
    </xf>
    <xf numFmtId="15" fontId="27" fillId="0" borderId="1" xfId="0" applyNumberFormat="1" applyFont="1" applyBorder="1" applyAlignment="1">
      <alignment horizontal="center" vertical="center"/>
    </xf>
    <xf numFmtId="0" fontId="20" fillId="0" borderId="2" xfId="0" applyFont="1" applyBorder="1" applyAlignment="1" applyProtection="1">
      <alignment horizontal="center" vertical="center"/>
      <protection hidden="1"/>
    </xf>
    <xf numFmtId="0" fontId="20" fillId="0" borderId="2" xfId="0" applyFont="1" applyBorder="1" applyAlignment="1" applyProtection="1">
      <alignment horizontal="left" vertical="center"/>
      <protection locked="0"/>
    </xf>
    <xf numFmtId="0" fontId="35" fillId="5" borderId="42" xfId="0" applyFont="1" applyFill="1" applyBorder="1" applyAlignment="1">
      <alignment horizontal="center" wrapText="1"/>
    </xf>
    <xf numFmtId="0" fontId="35" fillId="5" borderId="43" xfId="0" applyFont="1" applyFill="1" applyBorder="1" applyAlignment="1">
      <alignment horizontal="center" wrapText="1"/>
    </xf>
    <xf numFmtId="0" fontId="35" fillId="6" borderId="42" xfId="0" applyFont="1" applyFill="1" applyBorder="1" applyAlignment="1">
      <alignment horizontal="center" wrapText="1"/>
    </xf>
    <xf numFmtId="0" fontId="35" fillId="6" borderId="43" xfId="0" applyFont="1" applyFill="1" applyBorder="1" applyAlignment="1">
      <alignment horizontal="center" wrapText="1"/>
    </xf>
    <xf numFmtId="1" fontId="16" fillId="0" borderId="0" xfId="0" applyNumberFormat="1" applyFont="1" applyAlignment="1" applyProtection="1">
      <alignment horizontal="left" vertical="center"/>
      <protection locked="0"/>
    </xf>
    <xf numFmtId="0" fontId="36" fillId="0" borderId="0" xfId="0" applyFont="1" applyAlignment="1" applyProtection="1">
      <alignment horizontal="right"/>
      <protection locked="0"/>
    </xf>
    <xf numFmtId="0" fontId="36" fillId="0" borderId="0" xfId="0" quotePrefix="1" applyFont="1" applyAlignment="1" applyProtection="1">
      <alignment horizontal="right"/>
      <protection locked="0"/>
    </xf>
    <xf numFmtId="165" fontId="36" fillId="0" borderId="0" xfId="0" applyNumberFormat="1" applyFont="1" applyAlignment="1" applyProtection="1">
      <alignment horizontal="right"/>
      <protection locked="0"/>
    </xf>
    <xf numFmtId="164" fontId="36" fillId="0" borderId="0" xfId="0" applyNumberFormat="1" applyFont="1" applyAlignment="1" applyProtection="1">
      <alignment horizontal="right"/>
      <protection locked="0"/>
    </xf>
    <xf numFmtId="0" fontId="36" fillId="0" borderId="0" xfId="0" applyFont="1" applyAlignment="1">
      <alignment horizontal="right"/>
    </xf>
    <xf numFmtId="43" fontId="12" fillId="0" borderId="0" xfId="1" applyFont="1"/>
    <xf numFmtId="43" fontId="13" fillId="0" borderId="0" xfId="1" applyFont="1"/>
    <xf numFmtId="43" fontId="14" fillId="0" borderId="0" xfId="1" applyFont="1"/>
    <xf numFmtId="9" fontId="19" fillId="0" borderId="0" xfId="0" applyNumberFormat="1" applyFont="1" applyAlignment="1" applyProtection="1">
      <alignment horizontal="center" vertical="center"/>
      <protection hidden="1"/>
    </xf>
    <xf numFmtId="43" fontId="19" fillId="0" borderId="15" xfId="1" applyFont="1" applyBorder="1" applyAlignment="1" applyProtection="1">
      <alignment horizontal="right"/>
      <protection hidden="1"/>
    </xf>
    <xf numFmtId="0" fontId="39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 wrapText="1"/>
    </xf>
    <xf numFmtId="0" fontId="40" fillId="0" borderId="1" xfId="0" applyFont="1" applyBorder="1" applyAlignment="1">
      <alignment horizontal="center"/>
    </xf>
    <xf numFmtId="0" fontId="40" fillId="0" borderId="1" xfId="0" applyFont="1" applyBorder="1" applyAlignment="1">
      <alignment horizontal="center" vertical="center"/>
    </xf>
    <xf numFmtId="4" fontId="39" fillId="0" borderId="1" xfId="0" applyNumberFormat="1" applyFont="1" applyBorder="1" applyAlignment="1">
      <alignment horizontal="center" vertical="center"/>
    </xf>
    <xf numFmtId="0" fontId="41" fillId="0" borderId="1" xfId="0" applyFont="1" applyBorder="1" applyAlignment="1">
      <alignment horizontal="center"/>
    </xf>
    <xf numFmtId="0" fontId="16" fillId="0" borderId="0" xfId="0" applyFont="1" applyAlignment="1" applyProtection="1">
      <alignment horizontal="center"/>
      <protection locked="0"/>
    </xf>
    <xf numFmtId="0" fontId="23" fillId="0" borderId="30" xfId="0" applyFont="1" applyBorder="1" applyAlignment="1" applyProtection="1">
      <alignment horizontal="center" vertical="center"/>
      <protection locked="0"/>
    </xf>
    <xf numFmtId="0" fontId="23" fillId="0" borderId="31" xfId="0" applyFont="1" applyBorder="1" applyAlignment="1" applyProtection="1">
      <alignment horizontal="center" vertical="center"/>
      <protection locked="0"/>
    </xf>
    <xf numFmtId="0" fontId="26" fillId="0" borderId="9" xfId="0" applyFont="1" applyBorder="1" applyAlignment="1" applyProtection="1">
      <alignment horizontal="center"/>
      <protection locked="0"/>
    </xf>
    <xf numFmtId="0" fontId="26" fillId="0" borderId="0" xfId="0" applyFont="1" applyAlignment="1" applyProtection="1">
      <alignment horizontal="center"/>
      <protection locked="0"/>
    </xf>
    <xf numFmtId="0" fontId="19" fillId="0" borderId="0" xfId="0" applyFont="1" applyAlignment="1" applyProtection="1">
      <alignment horizontal="right"/>
      <protection locked="0"/>
    </xf>
    <xf numFmtId="0" fontId="16" fillId="0" borderId="0" xfId="0" applyFont="1" applyAlignment="1" applyProtection="1">
      <alignment horizontal="right" vertical="center"/>
      <protection locked="0"/>
    </xf>
    <xf numFmtId="0" fontId="23" fillId="0" borderId="33" xfId="0" applyFont="1" applyBorder="1" applyAlignment="1">
      <alignment horizontal="center"/>
    </xf>
    <xf numFmtId="0" fontId="24" fillId="3" borderId="30" xfId="0" applyFont="1" applyFill="1" applyBorder="1" applyAlignment="1">
      <alignment horizontal="center" vertical="center"/>
    </xf>
    <xf numFmtId="0" fontId="24" fillId="3" borderId="31" xfId="0" applyFont="1" applyFill="1" applyBorder="1" applyAlignment="1">
      <alignment horizontal="center" vertical="center"/>
    </xf>
    <xf numFmtId="0" fontId="24" fillId="3" borderId="32" xfId="0" applyFont="1" applyFill="1" applyBorder="1" applyAlignment="1">
      <alignment horizontal="center" vertical="center"/>
    </xf>
    <xf numFmtId="0" fontId="23" fillId="0" borderId="7" xfId="0" applyFont="1" applyBorder="1" applyAlignment="1">
      <alignment horizontal="center"/>
    </xf>
    <xf numFmtId="0" fontId="23" fillId="0" borderId="3" xfId="0" applyFont="1" applyBorder="1" applyAlignment="1">
      <alignment horizontal="center"/>
    </xf>
    <xf numFmtId="0" fontId="23" fillId="0" borderId="36" xfId="0" applyFont="1" applyBorder="1" applyAlignment="1">
      <alignment horizontal="center"/>
    </xf>
    <xf numFmtId="0" fontId="23" fillId="0" borderId="13" xfId="0" applyFont="1" applyBorder="1" applyAlignment="1" applyProtection="1">
      <alignment horizontal="center"/>
      <protection locked="0"/>
    </xf>
    <xf numFmtId="0" fontId="23" fillId="0" borderId="29" xfId="0" applyFont="1" applyBorder="1" applyAlignment="1">
      <alignment horizontal="center" vertical="center"/>
    </xf>
    <xf numFmtId="0" fontId="23" fillId="0" borderId="37" xfId="0" applyFont="1" applyBorder="1" applyAlignment="1">
      <alignment horizontal="center" vertical="center"/>
    </xf>
    <xf numFmtId="0" fontId="23" fillId="0" borderId="34" xfId="0" applyFont="1" applyBorder="1" applyAlignment="1">
      <alignment horizontal="center" vertical="center"/>
    </xf>
    <xf numFmtId="0" fontId="16" fillId="0" borderId="35" xfId="0" applyFont="1" applyBorder="1" applyAlignment="1" applyProtection="1">
      <alignment horizontal="left" vertical="top" wrapText="1"/>
      <protection hidden="1"/>
    </xf>
    <xf numFmtId="0" fontId="37" fillId="0" borderId="0" xfId="0" applyFont="1" applyAlignment="1" applyProtection="1">
      <alignment horizontal="center" vertical="center"/>
      <protection locked="0"/>
    </xf>
    <xf numFmtId="0" fontId="38" fillId="0" borderId="0" xfId="0" applyFont="1" applyAlignment="1" applyProtection="1">
      <alignment horizontal="center"/>
      <protection locked="0"/>
    </xf>
    <xf numFmtId="0" fontId="38" fillId="0" borderId="3" xfId="0" applyFont="1" applyBorder="1" applyAlignment="1" applyProtection="1">
      <alignment horizontal="center"/>
      <protection locked="0"/>
    </xf>
    <xf numFmtId="0" fontId="20" fillId="0" borderId="0" xfId="0" applyFont="1" applyAlignment="1" applyProtection="1">
      <alignment horizontal="left"/>
      <protection hidden="1"/>
    </xf>
    <xf numFmtId="0" fontId="20" fillId="3" borderId="4" xfId="0" applyFont="1" applyFill="1" applyBorder="1" applyAlignment="1" applyProtection="1">
      <alignment horizontal="left" vertical="center"/>
      <protection locked="0" hidden="1"/>
    </xf>
    <xf numFmtId="0" fontId="20" fillId="3" borderId="13" xfId="0" applyFont="1" applyFill="1" applyBorder="1" applyAlignment="1" applyProtection="1">
      <alignment horizontal="left" vertical="center"/>
      <protection locked="0" hidden="1"/>
    </xf>
    <xf numFmtId="0" fontId="20" fillId="3" borderId="5" xfId="0" applyFont="1" applyFill="1" applyBorder="1" applyAlignment="1" applyProtection="1">
      <alignment horizontal="left" vertical="center"/>
      <protection locked="0" hidden="1"/>
    </xf>
    <xf numFmtId="0" fontId="28" fillId="3" borderId="1" xfId="0" applyFont="1" applyFill="1" applyBorder="1" applyAlignment="1" applyProtection="1">
      <alignment horizontal="center" vertical="center"/>
      <protection locked="0" hidden="1"/>
    </xf>
    <xf numFmtId="0" fontId="32" fillId="0" borderId="25" xfId="0" applyFont="1" applyBorder="1" applyAlignment="1" applyProtection="1">
      <alignment horizontal="center"/>
      <protection locked="0"/>
    </xf>
    <xf numFmtId="0" fontId="32" fillId="0" borderId="26" xfId="0" applyFont="1" applyBorder="1" applyAlignment="1" applyProtection="1">
      <alignment horizontal="center"/>
      <protection locked="0"/>
    </xf>
    <xf numFmtId="0" fontId="32" fillId="0" borderId="27" xfId="0" applyFont="1" applyBorder="1" applyAlignment="1" applyProtection="1">
      <alignment horizontal="center"/>
      <protection locked="0"/>
    </xf>
    <xf numFmtId="0" fontId="20" fillId="3" borderId="1" xfId="0" applyFont="1" applyFill="1" applyBorder="1" applyAlignment="1" applyProtection="1">
      <alignment horizontal="center" vertical="center"/>
      <protection locked="0"/>
    </xf>
    <xf numFmtId="0" fontId="20" fillId="0" borderId="25" xfId="0" applyFont="1" applyBorder="1" applyAlignment="1" applyProtection="1">
      <alignment horizontal="center" vertical="center"/>
      <protection locked="0"/>
    </xf>
    <xf numFmtId="0" fontId="20" fillId="0" borderId="26" xfId="0" applyFont="1" applyBorder="1" applyAlignment="1" applyProtection="1">
      <alignment horizontal="center" vertical="center"/>
      <protection locked="0"/>
    </xf>
    <xf numFmtId="0" fontId="20" fillId="0" borderId="27" xfId="0" applyFont="1" applyBorder="1" applyAlignment="1" applyProtection="1">
      <alignment horizontal="center" vertical="center"/>
      <protection locked="0"/>
    </xf>
    <xf numFmtId="0" fontId="5" fillId="0" borderId="19" xfId="0" applyFont="1" applyBorder="1" applyAlignment="1" applyProtection="1">
      <alignment horizontal="center" vertical="center"/>
      <protection hidden="1"/>
    </xf>
    <xf numFmtId="0" fontId="5" fillId="0" borderId="20" xfId="0" applyFont="1" applyBorder="1" applyAlignment="1" applyProtection="1">
      <alignment horizontal="center" vertical="center"/>
      <protection hidden="1"/>
    </xf>
    <xf numFmtId="166" fontId="5" fillId="0" borderId="21" xfId="0" applyNumberFormat="1" applyFont="1" applyBorder="1" applyAlignment="1" applyProtection="1">
      <alignment horizontal="center"/>
      <protection hidden="1"/>
    </xf>
    <xf numFmtId="166" fontId="5" fillId="0" borderId="22" xfId="0" applyNumberFormat="1" applyFont="1" applyBorder="1" applyAlignment="1" applyProtection="1">
      <alignment horizontal="center"/>
      <protection hidden="1"/>
    </xf>
    <xf numFmtId="166" fontId="5" fillId="0" borderId="23" xfId="0" applyNumberFormat="1" applyFont="1" applyBorder="1" applyAlignment="1" applyProtection="1">
      <alignment horizontal="center"/>
      <protection hidden="1"/>
    </xf>
    <xf numFmtId="0" fontId="3" fillId="0" borderId="1" xfId="0" applyFont="1" applyBorder="1" applyAlignment="1" applyProtection="1">
      <alignment horizontal="center"/>
      <protection hidden="1"/>
    </xf>
    <xf numFmtId="0" fontId="4" fillId="0" borderId="1" xfId="0" applyFont="1" applyBorder="1" applyAlignment="1" applyProtection="1">
      <alignment horizontal="center"/>
      <protection hidden="1"/>
    </xf>
    <xf numFmtId="0" fontId="5" fillId="0" borderId="4" xfId="0" applyFont="1" applyBorder="1" applyAlignment="1" applyProtection="1">
      <alignment horizontal="center" vertical="center"/>
      <protection hidden="1"/>
    </xf>
    <xf numFmtId="0" fontId="5" fillId="0" borderId="5" xfId="0" applyFont="1" applyBorder="1" applyAlignment="1" applyProtection="1">
      <alignment horizontal="center" vertical="center"/>
      <protection hidden="1"/>
    </xf>
    <xf numFmtId="0" fontId="5" fillId="0" borderId="4" xfId="0" applyFont="1" applyBorder="1" applyAlignment="1" applyProtection="1">
      <alignment horizontal="center"/>
      <protection hidden="1"/>
    </xf>
    <xf numFmtId="0" fontId="5" fillId="0" borderId="13" xfId="0" applyFont="1" applyBorder="1" applyAlignment="1" applyProtection="1">
      <alignment horizontal="center"/>
      <protection hidden="1"/>
    </xf>
    <xf numFmtId="0" fontId="5" fillId="0" borderId="5" xfId="0" applyFont="1" applyBorder="1" applyAlignment="1" applyProtection="1">
      <alignment horizontal="center"/>
      <protection hidden="1"/>
    </xf>
    <xf numFmtId="0" fontId="2" fillId="0" borderId="19" xfId="0" applyFont="1" applyBorder="1" applyAlignment="1" applyProtection="1">
      <alignment horizontal="center" vertical="center"/>
      <protection hidden="1"/>
    </xf>
    <xf numFmtId="0" fontId="2" fillId="0" borderId="16" xfId="0" applyFont="1" applyBorder="1" applyAlignment="1" applyProtection="1">
      <alignment horizontal="center" vertical="center"/>
      <protection hidden="1"/>
    </xf>
    <xf numFmtId="0" fontId="0" fillId="0" borderId="9" xfId="0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0" fontId="0" fillId="0" borderId="8" xfId="0" applyBorder="1" applyAlignment="1" applyProtection="1">
      <alignment horizontal="center" vertical="center"/>
      <protection hidden="1"/>
    </xf>
    <xf numFmtId="0" fontId="0" fillId="0" borderId="7" xfId="0" applyBorder="1" applyAlignment="1" applyProtection="1">
      <alignment horizontal="center"/>
      <protection hidden="1"/>
    </xf>
    <xf numFmtId="0" fontId="0" fillId="0" borderId="3" xfId="0" applyBorder="1" applyAlignment="1" applyProtection="1">
      <alignment horizontal="center"/>
      <protection hidden="1"/>
    </xf>
    <xf numFmtId="0" fontId="0" fillId="0" borderId="3" xfId="0" applyBorder="1" applyAlignment="1" applyProtection="1">
      <alignment horizontal="center" vertical="center"/>
      <protection hidden="1"/>
    </xf>
    <xf numFmtId="0" fontId="0" fillId="0" borderId="12" xfId="0" applyBorder="1" applyAlignment="1" applyProtection="1">
      <alignment horizontal="center" vertical="center"/>
      <protection hidden="1"/>
    </xf>
    <xf numFmtId="0" fontId="34" fillId="4" borderId="40" xfId="0" applyFont="1" applyFill="1" applyBorder="1" applyAlignment="1">
      <alignment horizontal="center" vertical="center" wrapText="1"/>
    </xf>
    <xf numFmtId="0" fontId="34" fillId="4" borderId="41" xfId="0" applyFont="1" applyFill="1" applyBorder="1" applyAlignment="1">
      <alignment horizontal="center" vertical="center" wrapText="1"/>
    </xf>
  </cellXfs>
  <cellStyles count="4">
    <cellStyle name="Comma" xfId="1" builtinId="3"/>
    <cellStyle name="Normal" xfId="0" builtinId="0"/>
    <cellStyle name="Normal_Sheet1" xfId="2" xr:uid="{3ACB4B0E-45A3-4693-8A1F-07167FF3863A}"/>
    <cellStyle name="Percent" xfId="3" builtinId="5"/>
  </cellStyles>
  <dxfs count="202">
    <dxf>
      <fill>
        <patternFill patternType="solid">
          <fgColor rgb="FF93C47D"/>
          <bgColor rgb="FF93C47D"/>
        </patternFill>
      </fill>
    </dxf>
    <dxf>
      <fill>
        <patternFill patternType="solid">
          <fgColor rgb="FF6D9EEB"/>
          <bgColor rgb="FF6D9EEB"/>
        </patternFill>
      </fill>
    </dxf>
    <dxf>
      <fill>
        <patternFill patternType="solid">
          <fgColor rgb="FFFBBC04"/>
          <bgColor rgb="FFFBBC04"/>
        </patternFill>
      </fill>
    </dxf>
    <dxf>
      <fill>
        <patternFill patternType="solid">
          <fgColor rgb="FF6D9EEB"/>
          <bgColor rgb="FF6D9EEB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BBC04"/>
          <bgColor rgb="FFFBBC04"/>
        </patternFill>
      </fill>
    </dxf>
    <dxf>
      <fill>
        <patternFill patternType="solid">
          <fgColor rgb="FFFBBC04"/>
          <bgColor rgb="FFFBBC04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6D9EEB"/>
          <bgColor rgb="FF6D9EEB"/>
        </patternFill>
      </fill>
    </dxf>
    <dxf>
      <fill>
        <patternFill patternType="solid">
          <fgColor rgb="FFFBBC04"/>
          <bgColor rgb="FFFBBC04"/>
        </patternFill>
      </fill>
    </dxf>
    <dxf>
      <fill>
        <patternFill patternType="solid">
          <fgColor rgb="FF6D9EEB"/>
          <bgColor rgb="FF6D9EEB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BBC04"/>
          <bgColor rgb="FFFBBC04"/>
        </patternFill>
      </fill>
    </dxf>
    <dxf>
      <fill>
        <patternFill patternType="solid">
          <fgColor rgb="FF6D9EEB"/>
          <bgColor rgb="FF6D9EEB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6D9EEB"/>
          <bgColor rgb="FF6D9EEB"/>
        </patternFill>
      </fill>
    </dxf>
    <dxf>
      <fill>
        <patternFill patternType="solid">
          <fgColor rgb="FFFBBC04"/>
          <bgColor rgb="FFFBBC04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6D9EEB"/>
          <bgColor rgb="FF6D9EEB"/>
        </patternFill>
      </fill>
    </dxf>
    <dxf>
      <fill>
        <patternFill patternType="solid">
          <fgColor rgb="FFFBBC04"/>
          <bgColor rgb="FFFBBC04"/>
        </patternFill>
      </fill>
    </dxf>
    <dxf>
      <fill>
        <patternFill patternType="solid">
          <fgColor rgb="FFFBBC04"/>
          <bgColor rgb="FFFBBC04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6D9EEB"/>
          <bgColor rgb="FF6D9E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BBC04"/>
          <bgColor rgb="FFFBBC04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6D9EEB"/>
          <bgColor rgb="FF6D9E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BBC04"/>
          <bgColor rgb="FFFBBC04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6D9EEB"/>
          <bgColor rgb="FF6D9EEB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2"/>
        <name val="Aparajita"/>
        <family val="1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name val="Aparajita"/>
        <family val="1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name val="Aparajita"/>
        <family val="1"/>
        <scheme val="none"/>
      </font>
      <fill>
        <patternFill patternType="none">
          <fgColor indexed="64"/>
          <bgColor indexed="65"/>
        </patternFill>
      </fill>
    </dxf>
    <dxf>
      <font>
        <b val="0"/>
        <strike val="0"/>
        <outline val="0"/>
        <shadow val="0"/>
        <u val="none"/>
        <vertAlign val="baseline"/>
        <sz val="12"/>
        <name val="Aparajita"/>
        <family val="1"/>
        <scheme val="none"/>
      </font>
      <fill>
        <patternFill patternType="none">
          <fgColor indexed="64"/>
          <bgColor indexed="65"/>
        </patternFill>
      </fill>
    </dxf>
    <dxf>
      <font>
        <b val="0"/>
        <strike val="0"/>
        <outline val="0"/>
        <shadow val="0"/>
        <u val="none"/>
        <vertAlign val="baseline"/>
        <sz val="12"/>
        <name val="Aparajita"/>
        <family val="1"/>
        <scheme val="none"/>
      </font>
      <fill>
        <patternFill patternType="none">
          <fgColor indexed="64"/>
          <bgColor indexed="65"/>
        </patternFill>
      </fill>
    </dxf>
    <dxf>
      <font>
        <b val="0"/>
        <strike val="0"/>
        <outline val="0"/>
        <shadow val="0"/>
        <u val="none"/>
        <vertAlign val="baseline"/>
        <sz val="12"/>
        <name val="Aparajita"/>
        <family val="1"/>
        <scheme val="none"/>
      </font>
      <fill>
        <patternFill patternType="none">
          <fgColor indexed="64"/>
          <bgColor indexed="65"/>
        </patternFill>
      </fill>
    </dxf>
    <dxf>
      <font>
        <b val="0"/>
        <strike val="0"/>
        <outline val="0"/>
        <shadow val="0"/>
        <u val="none"/>
        <vertAlign val="baseline"/>
        <sz val="12"/>
        <color rgb="FF002060"/>
        <name val="Aparajita"/>
        <family val="1"/>
        <scheme val="none"/>
      </font>
      <fill>
        <patternFill patternType="none">
          <fgColor indexed="64"/>
          <bgColor indexed="65"/>
        </patternFill>
      </fill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arajita"/>
        <family val="1"/>
        <scheme val="none"/>
      </font>
      <fill>
        <patternFill patternType="none">
          <fgColor indexed="64"/>
          <bgColor indexed="65"/>
        </patternFill>
      </fill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arajita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</dxfs>
  <tableStyles count="0" defaultTableStyle="TableStyleMedium9" defaultPivotStyle="PivotStyleLight16"/>
  <colors>
    <mruColors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6420B28-6411-4427-80FE-368CAF44E38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B20B62A-2D08-4D69-BD1F-F9EDBED6195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4" name="AutoShape 1" descr="https://ssl.gstatic.com/ui/v1/icons/mail/images/cleardot.gif">
          <a:extLst>
            <a:ext uri="{FF2B5EF4-FFF2-40B4-BE49-F238E27FC236}">
              <a16:creationId xmlns:a16="http://schemas.microsoft.com/office/drawing/2014/main" id="{EFEF336B-E28B-4091-8E04-E374550BAD8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84D413F-F7A0-4E09-959D-E9C5009B90C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6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6A646D-BA83-4024-BAB7-6AC98EC9343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E6216B1-4B57-461E-B1EA-012E5949423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8" name="AutoShape 1" descr="https://ssl.gstatic.com/ui/v1/icons/mail/images/cleardot.gif">
          <a:extLst>
            <a:ext uri="{FF2B5EF4-FFF2-40B4-BE49-F238E27FC236}">
              <a16:creationId xmlns:a16="http://schemas.microsoft.com/office/drawing/2014/main" id="{603EA124-06E5-4534-B786-8430071E7F8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F076E9F-AEA3-499C-B1D8-9B1FB1EDD67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CE0E5EE-2484-4782-9E40-FF538577F09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ED2D129-2857-418E-BBB5-613D0459DBA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208FA02-D7C8-43E8-B676-AD07121FEF8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D6AB355-6F58-4F8F-909E-C50B654958F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8E8F3B24-2E13-4BEB-9565-D36BA1AA4B0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B36D793D-EF12-449A-AACB-6D6C2C6A30D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512F371-373B-4224-9EDE-7FE25D38E21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126218</xdr:rowOff>
    </xdr:to>
    <xdr:sp macro="" textlink="">
      <xdr:nvSpPr>
        <xdr:cNvPr id="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48E2796B-2275-42D8-AB6A-86D9CA21BEC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126218</xdr:rowOff>
    </xdr:to>
    <xdr:sp macro="" textlink="">
      <xdr:nvSpPr>
        <xdr:cNvPr id="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F479FB5-64F3-45E4-8D29-8A2A6C35CFD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126218</xdr:rowOff>
    </xdr:to>
    <xdr:sp macro="" textlink="">
      <xdr:nvSpPr>
        <xdr:cNvPr id="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38849F4-928A-4D55-AF1A-3A0B2F037B5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126218</xdr:rowOff>
    </xdr:to>
    <xdr:sp macro="" textlink="">
      <xdr:nvSpPr>
        <xdr:cNvPr id="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68BC688-2075-4883-89E6-703A3C003E9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D8501EC8-4807-4E90-B7F5-51A7BBF2CD0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45F62CE-07D2-4A28-A659-D6EB18BB910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955AA9-0EF6-4DE5-93F8-7852031A720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681CB8D-499E-41FC-89E4-DF8BB51BE2A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266EB6EB-FB6C-49FA-8FB3-4693042A095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445B2663-1559-470A-8934-924A35BA2A2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5CF57CF-9A1C-4722-A269-A70E1AFAFE8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FF51BBA-25F7-4DEA-BDB5-47530BCED9C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EF77AA11-7932-48C0-A535-BF6191999DE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3F5A1626-9236-4C4C-9D1A-2BD9C739B15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EBAA0C3C-22DA-4DD9-95AB-AD3DFBA8F1E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FEE66C02-39AD-4AC5-9FA5-0D49E633C9B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126216</xdr:rowOff>
    </xdr:to>
    <xdr:sp macro="" textlink="">
      <xdr:nvSpPr>
        <xdr:cNvPr id="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FBE392F-AB99-48DB-A63D-D9A39510F49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126216</xdr:rowOff>
    </xdr:to>
    <xdr:sp macro="" textlink="">
      <xdr:nvSpPr>
        <xdr:cNvPr id="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568A93C-B694-4871-B687-3F0D3D14C8D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8884D6E-914F-42D4-AD4B-D9D7674AEAD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5DD2B8D-8983-49B7-9057-F4120EF1643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9EED2C5-57C9-4DDF-BECB-4A6CA1B1636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4C97470-2012-441B-B89A-CF65C55BADF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B0D3499-33A0-41A5-8623-A497644E449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9562AD67-4B33-4988-AC7D-FA265AEE1A3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9851896-348F-4348-BD6B-91E05FF62C2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379FD68-B19A-4CCB-8A50-EC43532A7CE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44DC285-BB00-4112-9A4D-27C7112228A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C59A6DD-4F24-4CD5-B361-83032CD1BE6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C7666B8A-40E5-41A2-8AE8-3E2C635FD13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2A4F847-E33B-4433-82A9-22EAEC11857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28D6A0D-5203-4AA0-9266-DAB3B0F8A13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CD5E811-BD89-4B24-AA3A-6C0778A9387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EDE755E-E63E-46A6-B38C-C3A033C3C48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DDE7AFAE-F6C8-4C91-8E2C-0F5856B0D4E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126218</xdr:rowOff>
    </xdr:to>
    <xdr:sp macro="" textlink="">
      <xdr:nvSpPr>
        <xdr:cNvPr id="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6988C18-870B-46D5-B145-E022E2D0E43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126218</xdr:rowOff>
    </xdr:to>
    <xdr:sp macro="" textlink="">
      <xdr:nvSpPr>
        <xdr:cNvPr id="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29490930-94CB-4078-85E5-F5CCDED9C70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126218</xdr:rowOff>
    </xdr:to>
    <xdr:sp macro="" textlink="">
      <xdr:nvSpPr>
        <xdr:cNvPr id="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6B850A14-D159-4176-945A-05659B03CD7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126218</xdr:rowOff>
    </xdr:to>
    <xdr:sp macro="" textlink="">
      <xdr:nvSpPr>
        <xdr:cNvPr id="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C62A4E6B-C7DA-402D-9819-A6C8D63AAFC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3825BC20-00B2-4ED1-8103-5B9ADC72C74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A08FE60C-B71C-4523-AFD1-E39AE5E98C9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5B384EE-2FC6-4406-B1C2-F48CD12AD2C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69E985BE-8836-4258-840E-3CC1B778BA9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BF2DA91-F1AD-4102-B17C-D04507BC11E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3B50695-D405-47FA-88AA-8D5BD798618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4619370F-29F7-448F-A82E-971EF912D5B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809BB59-295B-44A0-9B44-2BED4CE176B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9491C90-5498-4564-9659-DAADEA7A737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94061F1-D390-4C97-9937-AEAB7B164FE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FB0D52CE-37F0-47C8-B5E0-40E6577A0A9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BB2C6C7-3514-4F76-9A8A-8A5AE6792C2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126216</xdr:rowOff>
    </xdr:to>
    <xdr:sp macro="" textlink="">
      <xdr:nvSpPr>
        <xdr:cNvPr id="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AFFEFAF9-7986-4550-AAF9-725091C1C5C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126216</xdr:rowOff>
    </xdr:to>
    <xdr:sp macro="" textlink="">
      <xdr:nvSpPr>
        <xdr:cNvPr id="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E0A84CC6-5121-4EFD-99F0-D66EF4730BE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A674B0A-9D46-4F9B-87E5-D3F6A681319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FF5CF6B-2E87-4736-ADAE-743417FE4F0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80EDF00B-0B5B-470A-AB41-715F3CFDFFA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0C24AC3-91F9-43E3-B09A-FAB23215DE2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B071D51B-0556-4BCB-B0F8-63AD84421AC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D97DB22-548D-49E8-8791-C045A60316F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631CD81-882C-4878-B053-E38B1D75C59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5449EC1-147E-40CC-9506-8654E644516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974ECFF-88A4-45C7-BA13-632CF5383D8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4A62F9C-0290-4EA2-BA91-1F19F662059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F1FEFB4-6A64-4C5C-A9C4-66E48278151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9DBB678-AE9A-4F2B-94F7-43FEADD8E9F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ADD7A901-CA61-4ABF-B07F-AD6E41A4014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294DCA3E-2BFC-4B75-AE2A-5986E578B9B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B4FEF02C-3B48-407D-9F12-48B464AA528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4DB0BD6-C799-41E9-9437-FC55F1B967C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126218</xdr:rowOff>
    </xdr:to>
    <xdr:sp macro="" textlink="">
      <xdr:nvSpPr>
        <xdr:cNvPr id="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689C49C-EB03-4296-AA9F-9A7D0752F9F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126218</xdr:rowOff>
    </xdr:to>
    <xdr:sp macro="" textlink="">
      <xdr:nvSpPr>
        <xdr:cNvPr id="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6737083-0A22-4577-B664-36214548D01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126218</xdr:rowOff>
    </xdr:to>
    <xdr:sp macro="" textlink="">
      <xdr:nvSpPr>
        <xdr:cNvPr id="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5A23384-F821-4885-A763-88E03E07C34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126218</xdr:rowOff>
    </xdr:to>
    <xdr:sp macro="" textlink="">
      <xdr:nvSpPr>
        <xdr:cNvPr id="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B5EAB40-1248-42C7-8222-9EDC0BFE0DD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08129DA-D88A-415E-845A-38AAC797A21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515C0BA-7FAF-46F3-B779-2A1E371B5F8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62AAC567-B23D-4B10-B389-4210E41F5BA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44BED27C-23BE-4F99-AF62-FAE263D061B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810FAE0D-77EE-4869-A774-4D062F5116E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9593F57-7F2A-4111-B6AF-F90276B907C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733E2C9-6104-4F27-9BA6-0A4B738C536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710CE17-5F57-4532-9156-53ADF8F47CD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49712DEB-2658-47E1-9377-759D30E34B6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AF991C7F-410C-417C-B4CA-9CF02AAEEB2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8D7B824-47C7-401F-8CB6-1472B69EE97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D820B4D-9198-4C35-914C-AC79B65C81B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126216</xdr:rowOff>
    </xdr:to>
    <xdr:sp macro="" textlink="">
      <xdr:nvSpPr>
        <xdr:cNvPr id="1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4D9164D2-6370-4F74-A555-FF725382E3D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126216</xdr:rowOff>
    </xdr:to>
    <xdr:sp macro="" textlink="">
      <xdr:nvSpPr>
        <xdr:cNvPr id="1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C5506FF-2DAF-476C-841B-F5BBAC2C559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8A309704-3F47-40D1-A53A-747B58A3DE3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3E3C17E-7446-4FA1-A2E7-67419D93819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0A23A2AA-3066-47E1-976B-75BD633C845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45876F1F-190D-4728-87C0-D9389F84065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DBAE78B-5C80-497F-9030-85F567DEABA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5EA3F558-B30D-4BFF-80AA-F15B030FBF6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E186BB08-D2BE-4C0C-9396-9B6FB0F5042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84003F8-2D32-4571-8354-4462CCFFE83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1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96F187-A594-4027-8E39-92D25818202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1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9A4978C-D158-4C52-A4A9-380CE2786A6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1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9E3D2D2-150F-4A84-96F1-7385BE6E27D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1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4F514BF-F36C-4DED-9A4F-C12821E4766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A6D0A0C-D4C8-4659-8D16-A455194F103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EBA0011-C5E4-4870-871F-41A42D39356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6D383C2-2AF6-440B-AC85-7A2B9CF56FE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B37D27C4-C5D8-47C3-B0AD-83A4FF5ABBD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126218</xdr:rowOff>
    </xdr:to>
    <xdr:sp macro="" textlink="">
      <xdr:nvSpPr>
        <xdr:cNvPr id="1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BCCFF72-F8F3-498F-93D3-5436D99B1B2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126218</xdr:rowOff>
    </xdr:to>
    <xdr:sp macro="" textlink="">
      <xdr:nvSpPr>
        <xdr:cNvPr id="1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AA462F8-2210-4A7B-88BE-596A76FBDA0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126218</xdr:rowOff>
    </xdr:to>
    <xdr:sp macro="" textlink="">
      <xdr:nvSpPr>
        <xdr:cNvPr id="1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E8CB51A-FAEA-41E5-B74C-FD3B0769EF2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126218</xdr:rowOff>
    </xdr:to>
    <xdr:sp macro="" textlink="">
      <xdr:nvSpPr>
        <xdr:cNvPr id="1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2625BB6-BE81-4DCF-922F-142D050B0DD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1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7DD3216-BE96-40C6-8237-ED95F2282CA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1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C927D7D-5E71-4E0A-A8F4-6D4D42A73B6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1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E479BA75-4A73-458E-B33F-541F02E5FA9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1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7804B01-FBE4-4D36-9127-0F7121D7353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1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1327E7E-8787-45F5-86D6-50171B0A22F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1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2A80893-77C7-44DE-854A-2E5F691A232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1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E1B0BEE7-47EF-480F-A32C-D6222A052BA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1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3DD2D9A-DC63-47A5-B33F-8CB6A56C09B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AE0FE94E-63EE-4D0B-BB73-940FE573681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802389E-88D1-4264-8F08-1BC27923FC0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2F36846-D107-463A-B035-92E8A8D708C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43A8C05-4B4E-45E2-BF1A-834FE9796EA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132566</xdr:rowOff>
    </xdr:to>
    <xdr:sp macro="" textlink="">
      <xdr:nvSpPr>
        <xdr:cNvPr id="1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950107B-F229-42FC-B050-FF1BB6CF4FB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132566</xdr:rowOff>
    </xdr:to>
    <xdr:sp macro="" textlink="">
      <xdr:nvSpPr>
        <xdr:cNvPr id="1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BC8ACA1-56B2-4E28-86FB-90B713AD6E6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1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3A697A2-096D-41A3-84CB-9F39EAB7FCF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1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9D15B69-092F-469F-9BAD-CDD7F2E2627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1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C70C360-2144-4641-847D-3FC030C31DE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1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97C28349-B7CF-42A9-9361-E0D1053871A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1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5E44144-CA0E-459D-BAD3-96F271F42D6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1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AE5D075-68D0-4CB4-949E-D909DE22F63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1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89E38117-C7CB-4423-8BF9-4C4A344BC05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1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B669FB3-CD11-4912-9368-1D313D103E5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1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92453ADC-542C-40E0-A78D-4C2C453C4E8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1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64A7ABF-8A8D-4584-9043-3C703ED34FB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1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EF66F62-CEE9-440D-A537-975B72EFD83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1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05DDDE8D-80C7-4D83-8AA5-B87B0FF979F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1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2ABC81A-FF44-4A90-9110-43197E116F5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1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646FC77-A3DB-410E-B0DE-8D47E0397A1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1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A1C3DC1-D3DA-45F3-A757-11E0AD500BC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1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32F7F44-0592-4A31-8BA3-7DC2550B39B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132568</xdr:rowOff>
    </xdr:to>
    <xdr:sp macro="" textlink="">
      <xdr:nvSpPr>
        <xdr:cNvPr id="1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0848BB17-93A5-45DD-BFBA-48CB94D3451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132568</xdr:rowOff>
    </xdr:to>
    <xdr:sp macro="" textlink="">
      <xdr:nvSpPr>
        <xdr:cNvPr id="1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67A829CC-88C2-47C4-8787-BC35825A416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132568</xdr:rowOff>
    </xdr:to>
    <xdr:sp macro="" textlink="">
      <xdr:nvSpPr>
        <xdr:cNvPr id="1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12941BB-D794-4036-A88C-4B44EA4676A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132568</xdr:rowOff>
    </xdr:to>
    <xdr:sp macro="" textlink="">
      <xdr:nvSpPr>
        <xdr:cNvPr id="1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3DAA5ED9-A479-4E38-AF78-4679D3D4903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132008</xdr:rowOff>
    </xdr:to>
    <xdr:sp macro="" textlink="">
      <xdr:nvSpPr>
        <xdr:cNvPr id="1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AA2B2C5-0536-46B1-92DC-2240E72EFD5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132008</xdr:rowOff>
    </xdr:to>
    <xdr:sp macro="" textlink="">
      <xdr:nvSpPr>
        <xdr:cNvPr id="1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2ABABD0-C9B2-40A5-86A1-DD8D0AED432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132008</xdr:rowOff>
    </xdr:to>
    <xdr:sp macro="" textlink="">
      <xdr:nvSpPr>
        <xdr:cNvPr id="1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2FE84E2-20E7-437E-B9BD-4437C0325AC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132008</xdr:rowOff>
    </xdr:to>
    <xdr:sp macro="" textlink="">
      <xdr:nvSpPr>
        <xdr:cNvPr id="1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E2C2D68-04DB-4E92-9C30-AC32A826499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1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6BCBA768-4353-4694-B70B-CA78674E829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1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C635F78-2520-4514-ABFE-7D6B9563F0E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1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84BE2E4B-B45A-40C8-867A-F45FFA68954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1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7F4CD867-FBCE-4F72-80B5-05F557DADF8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1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9056D96F-58AF-4965-A06D-36732177DC8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1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65E7862E-31E6-4C5F-A85E-CAE19CF39CF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1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0CB5075-EA69-4B91-86C2-4A989EFAA16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1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42A70B5-FAE0-422A-BA1F-E3555317537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132566</xdr:rowOff>
    </xdr:to>
    <xdr:sp macro="" textlink="">
      <xdr:nvSpPr>
        <xdr:cNvPr id="1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99F1C22-F0DA-4DE2-B000-09487974DC7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132566</xdr:rowOff>
    </xdr:to>
    <xdr:sp macro="" textlink="">
      <xdr:nvSpPr>
        <xdr:cNvPr id="1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56E19262-1955-42D0-9C56-4673673472C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1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7E2D03FF-2F37-475D-96B1-EF07FA3CA53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1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50931A94-B3D2-44F8-823D-ECCECDFF380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1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0298168-C141-4BC9-834F-A50B5C0AE3D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1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50F378A-AB35-43F9-92C3-A0C661E6D68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1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ED206143-B815-415C-8222-BA403ED9917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1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CDCF52-3DB8-4A9A-A649-9BB5AED5792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1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7FD319E-D22E-48B9-AE6C-B5BF34E5DF0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1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1329B8D-5367-4D9F-AFC3-EB87E2CDCFC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1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F23050C3-5796-4E50-954F-8B8574E1E11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1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9A598BBF-6999-45CD-B564-52303D7E553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1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ED815F0E-2FE1-4AEC-AF56-48F21DD629C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1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958D8336-9295-4284-968A-3FC037DC82F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1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6C8EB020-AE20-4065-93B5-83C9FA3FD43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1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E6103A27-5F0A-4314-AC80-DE78898CBC8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1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4EF3B1B0-5531-459B-B009-D6F323748C8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1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643C4EB-D6D4-4EA3-8F2E-0A65CB61A32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132568</xdr:rowOff>
    </xdr:to>
    <xdr:sp macro="" textlink="">
      <xdr:nvSpPr>
        <xdr:cNvPr id="1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02F345B-67AB-4609-82E3-997B2334293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132568</xdr:rowOff>
    </xdr:to>
    <xdr:sp macro="" textlink="">
      <xdr:nvSpPr>
        <xdr:cNvPr id="1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A66D3FA5-02AE-42B9-96D5-5D97E677DC4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132568</xdr:rowOff>
    </xdr:to>
    <xdr:sp macro="" textlink="">
      <xdr:nvSpPr>
        <xdr:cNvPr id="1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DE9195C-5D07-47D6-8471-FA9DBAE1859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132568</xdr:rowOff>
    </xdr:to>
    <xdr:sp macro="" textlink="">
      <xdr:nvSpPr>
        <xdr:cNvPr id="1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6E31FE7-C191-4757-8F26-85E938E238C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132008</xdr:rowOff>
    </xdr:to>
    <xdr:sp macro="" textlink="">
      <xdr:nvSpPr>
        <xdr:cNvPr id="1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7C8F570C-BE4B-48AC-B626-A941BA67DBC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132008</xdr:rowOff>
    </xdr:to>
    <xdr:sp macro="" textlink="">
      <xdr:nvSpPr>
        <xdr:cNvPr id="1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F0604A5-F5D2-4872-AA79-EA4BA3F010C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132008</xdr:rowOff>
    </xdr:to>
    <xdr:sp macro="" textlink="">
      <xdr:nvSpPr>
        <xdr:cNvPr id="1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25020079-A998-492D-BD00-04C4D2F3DE2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132008</xdr:rowOff>
    </xdr:to>
    <xdr:sp macro="" textlink="">
      <xdr:nvSpPr>
        <xdr:cNvPr id="1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F46E7CD-5687-429A-BC24-9736FDA6F01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1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348CB8-E29C-4B31-B2E4-738DF655B2D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1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349B7AB-A852-4890-90C8-05A8CD3D7A8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1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17C3508-9B4C-40C8-A1AA-DA62B06CF52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1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FF55EA1-AD11-40E8-B0CB-173C461B076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1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67CCA7B-0DF6-40A5-A42F-E13BB875572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2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5C307E41-7762-482A-898E-35CC55530D0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2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D919EDF-E6B1-4686-8AE1-A6E0C0A965C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2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3008306-F9DC-4D1A-A16B-C4184713866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132566</xdr:rowOff>
    </xdr:to>
    <xdr:sp macro="" textlink="">
      <xdr:nvSpPr>
        <xdr:cNvPr id="2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22D8C36F-55F1-4882-ACBB-B9138F40D4E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132566</xdr:rowOff>
    </xdr:to>
    <xdr:sp macro="" textlink="">
      <xdr:nvSpPr>
        <xdr:cNvPr id="2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9896295-B518-47C7-97F3-DADABEC544B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2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4DF41A2-AAAE-4B6F-A35F-16EFCA3CFA6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2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A96002BC-769D-4401-8B3B-6E9B5E98D67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2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0CD8F3-F8E5-466E-8573-E0DE53834FE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2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13A4395-B4C3-4479-BB66-601499782D5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2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1057369-27C7-4991-8396-F5D6EB6A514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2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E88AE534-493C-40DE-A4F2-6C368112184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2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495C16A-E78C-4C8E-AD56-C5D92A7C6C3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2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47EF97C-059F-49ED-93BF-F73EDDD86C3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2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ACE3AB2-0A7C-475E-815A-D54F99D1E69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2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D0E5878-4C03-4954-9399-9AFA88595B1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2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450DD5A7-DD9A-4C8A-9358-B5DC5EF8535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2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69A3597A-CCFB-4DF8-8D86-37866D37C6F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2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87620B4-0681-4F7E-AA01-65ECE9DAE09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2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F7B54CE-EE14-486D-846B-550277BA2A0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2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F03533C-6135-4204-AE97-EA768D632F7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2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3E7CD70-5BE0-42B5-A4FD-9F1597062E9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132568</xdr:rowOff>
    </xdr:to>
    <xdr:sp macro="" textlink="">
      <xdr:nvSpPr>
        <xdr:cNvPr id="2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E5F83AC5-78CB-4916-A34D-5793335C549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132568</xdr:rowOff>
    </xdr:to>
    <xdr:sp macro="" textlink="">
      <xdr:nvSpPr>
        <xdr:cNvPr id="2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549FAD6-75DD-45A5-A628-1036B9B120C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132568</xdr:rowOff>
    </xdr:to>
    <xdr:sp macro="" textlink="">
      <xdr:nvSpPr>
        <xdr:cNvPr id="2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DD5B88C-1A84-460B-BBC4-3307C7401FC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132568</xdr:rowOff>
    </xdr:to>
    <xdr:sp macro="" textlink="">
      <xdr:nvSpPr>
        <xdr:cNvPr id="2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F45EC80-841B-47DB-B372-E09700C86F4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132008</xdr:rowOff>
    </xdr:to>
    <xdr:sp macro="" textlink="">
      <xdr:nvSpPr>
        <xdr:cNvPr id="2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B67535-BD6C-40B0-82CB-6221B554F23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132008</xdr:rowOff>
    </xdr:to>
    <xdr:sp macro="" textlink="">
      <xdr:nvSpPr>
        <xdr:cNvPr id="2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CABCE42-9B95-4F39-9EFB-90631D894A0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132008</xdr:rowOff>
    </xdr:to>
    <xdr:sp macro="" textlink="">
      <xdr:nvSpPr>
        <xdr:cNvPr id="2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4C0046C-74C4-4698-AC2B-0B9928DC361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132008</xdr:rowOff>
    </xdr:to>
    <xdr:sp macro="" textlink="">
      <xdr:nvSpPr>
        <xdr:cNvPr id="2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FB66B01-3CA3-4555-AE9C-FCC57447B96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2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CE25743-F516-405B-A45A-1FE98AC0CC1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2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3EB0C691-337F-4E46-A434-88430D47CD4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2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6F7A88B3-001E-47E3-AEB2-3A1706C55E1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2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BBEC5E1-2683-4479-AD98-CDBB9E13644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2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0A049048-81F4-4A45-B851-F0B9BB82F07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2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A1FFC42-E833-44EB-B7F4-2BB5E1C8C9C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2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B5EA469B-E30D-46C4-9084-1DA413F1D0C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2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43E6FFB-CF80-4491-8F66-8030A72E1B0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132566</xdr:rowOff>
    </xdr:to>
    <xdr:sp macro="" textlink="">
      <xdr:nvSpPr>
        <xdr:cNvPr id="2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8C798594-2E04-4180-AF44-25C9638ECBD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132566</xdr:rowOff>
    </xdr:to>
    <xdr:sp macro="" textlink="">
      <xdr:nvSpPr>
        <xdr:cNvPr id="2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D53DCBD-119E-42B1-8904-52E28E0A73A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2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2AE6D80-FBAA-4AA5-AFCE-B20EB616668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2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381233E-8687-47DB-8F48-1261B37890D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2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7E0FCF55-AE99-416C-9FBA-0BF796AFF51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2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18DD588-A559-48A6-8E54-4BF38AC8F64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2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B429061B-EA73-4491-841E-1C869B1BFE9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2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C4690B1-0E34-41D2-995F-0D214912C6A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2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097A4FA-5912-49B6-A386-4D719AE997A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2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4A6AB5-34C8-46D1-991A-170AA9EB1F7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2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D5E20FD-247F-4886-959E-E464DDC31F9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2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FFA9EBB-7574-4CFB-84A0-33BF8859DCE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2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51ACEE3-A358-4E4E-B2C1-DB381A40D2D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2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318DD52-7576-4F73-8479-935F84DB34D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2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E685A9E8-5E69-4918-8EE6-E896B919463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2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0C77FAE-81CA-443E-B221-0546998AA6C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2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99AA0090-CBC4-4982-A63E-46C378963FB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2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3367266-5371-4FB7-93FA-D3C87C8A45E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132568</xdr:rowOff>
    </xdr:to>
    <xdr:sp macro="" textlink="">
      <xdr:nvSpPr>
        <xdr:cNvPr id="2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80791CE-D029-43CF-81E8-52641BEBF81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132568</xdr:rowOff>
    </xdr:to>
    <xdr:sp macro="" textlink="">
      <xdr:nvSpPr>
        <xdr:cNvPr id="2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C9849D22-5713-4AB4-B6CC-B462BE2CBB0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132568</xdr:rowOff>
    </xdr:to>
    <xdr:sp macro="" textlink="">
      <xdr:nvSpPr>
        <xdr:cNvPr id="2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890ED5F6-F715-4DEA-B514-6B0153F058B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132568</xdr:rowOff>
    </xdr:to>
    <xdr:sp macro="" textlink="">
      <xdr:nvSpPr>
        <xdr:cNvPr id="2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4613123-BAC4-4434-9E47-87D573DA53B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132008</xdr:rowOff>
    </xdr:to>
    <xdr:sp macro="" textlink="">
      <xdr:nvSpPr>
        <xdr:cNvPr id="2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2FA2DA9C-82F2-4851-B233-83DA10DD9EB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132008</xdr:rowOff>
    </xdr:to>
    <xdr:sp macro="" textlink="">
      <xdr:nvSpPr>
        <xdr:cNvPr id="2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F3F2F95A-FE54-4729-9F23-F1649A8B1B4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132008</xdr:rowOff>
    </xdr:to>
    <xdr:sp macro="" textlink="">
      <xdr:nvSpPr>
        <xdr:cNvPr id="2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8A9646F-E269-4277-8E21-587B9573BA2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132008</xdr:rowOff>
    </xdr:to>
    <xdr:sp macro="" textlink="">
      <xdr:nvSpPr>
        <xdr:cNvPr id="2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D91435D-B34C-4E8B-98B2-D61F0AFDF40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2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ABB5889-CE7A-40A6-8D4D-8AD1BE14276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2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DF53250-57E9-4E47-A334-2755799211A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2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B855D5F-DA5F-4C53-9900-AAAEBD70B54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2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CE724573-5778-4DD3-B3D3-C0B745B3702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2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6BA80AB-E7AC-4259-ABE9-8BBE7476F96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2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CC013E-F52E-43C4-B0DF-27A7F933229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2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CC3257E-9DB0-4FC5-BA51-1782FB63FBB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2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EBDEDBE-F1C0-4026-9710-A33E3742E31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66443</xdr:rowOff>
    </xdr:to>
    <xdr:sp macro="" textlink="">
      <xdr:nvSpPr>
        <xdr:cNvPr id="2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2F0DBDD7-7373-4A37-9F7C-233DE8058F9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2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8DDAA48-0FDD-4361-80E8-8C5D0435C26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2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BEF8115-D31E-40CD-B255-B95FF2AF160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2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1E87789-9563-4807-91F6-B40C96AAF82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2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EA83F955-CC94-431F-98FB-F53CAA45B9C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2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A94A2E8-CC7D-4CEB-8E48-96883D0459E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2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986D61-0D9D-4736-AED0-787631958AA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2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5763295-B81F-4D8A-A0C4-17C563F3C70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2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0F29DFC-AB29-4414-B73F-0DE55B658FE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2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2EB9770F-B826-453B-91F9-47E8E90D4E5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2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0C48721-40CE-412E-90DE-90BE89357BE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2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7843848-7FD1-40C4-8DD0-A9139CF8ED6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2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2AD9BED-4A82-417A-8360-0D1B91CF7BF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2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B3DF026-6918-40C4-8664-3A4A7C2E63B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2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5E8DCEE-51E6-4D57-A4E8-50D0CBB6B86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2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5F36DE9E-245C-45D9-9197-2A5AF936259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2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0672BF2-2906-4118-8560-70598EBD84F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2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B67CD2A-E26C-48F5-A736-434DF9D7492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2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BCC8C41-1165-4F43-B436-EB4EBC22347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2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05C3099A-B384-47BC-9F1C-0ABC54E43C0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2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35ABB70-6B34-4E3F-9603-7F16481D76F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2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91660DE9-6087-4AA5-A9C7-B2A949843A1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2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7A7806A6-041F-4791-8A47-454CEBBF698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2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F2C45F1-542C-4E56-B57C-73CA21BEADE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2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56A3E1F-5A6A-4598-B3BF-FC2D96F9F57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2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73DBA8B9-1D0D-4FA7-B03A-FA23A14B0C6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2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0676520-21FA-4CD9-8386-48AD0CC68EF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2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10DAAF0-713E-44F8-8D98-839ECA3B717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2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6C02A35-8C9C-4BCB-8159-1DCBC087C14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3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9DF28EE1-6838-4C37-AE91-EE7FCD04AE0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3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D9029004-CD07-488F-880F-CC2B6CFF963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3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2624270-A519-494A-B6DC-ED88E4B4FF3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3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8B09C077-0878-4B93-B5DD-67BEE02B9EA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66443</xdr:rowOff>
    </xdr:to>
    <xdr:sp macro="" textlink="">
      <xdr:nvSpPr>
        <xdr:cNvPr id="3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90D044D-E16D-49D1-BD9A-4B627446D3B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66443</xdr:rowOff>
    </xdr:to>
    <xdr:sp macro="" textlink="">
      <xdr:nvSpPr>
        <xdr:cNvPr id="3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5F14AB3-548B-403C-9B2F-E9F0441763A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3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0FE592F-C4C8-44B4-9BC9-21A41664CAB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3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1D81BFB-5A38-49DC-A830-F1A72AAF8D3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3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D0CE376-CA04-403C-A303-CB28264B3D8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3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6C98734-CA5A-4DFE-839F-2E66C0E79D3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3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F4267F8-5EFA-40B9-9641-562A48DBFDE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3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D2CE1A8-DCA0-4CC9-949D-9E04EAF36FD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3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45A2FD20-DEC7-4F2B-92AD-833458DE894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3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46C6D97-1FE7-478F-A687-DA1B68965E1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3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63E49638-BEE6-4CED-A6BB-0B2F3837BA9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3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77ABF8A-41A6-4ACC-936F-EDA76BA391B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3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4FF5C808-0579-47A9-9FC7-2D6C40BB836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3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509F706F-58F4-4653-B02C-6C821EC5A95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3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52ADB87D-661D-4849-94DC-E569C67E80D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3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B28B160-DF91-4AF7-9D57-04FA2B3C6B5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3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5A6F4776-1101-4FD2-8A96-985A917A068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3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602583D-7C88-47C6-AAB2-652EF4FC3C7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3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CE9FD7B-1298-4D4A-97B7-7A3DF662980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3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9C5604C-5E49-4B0D-942F-C95BA02A8F3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3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BCB2E81-B248-4532-984D-F776D10DFE8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3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8E16127-74B0-49DD-9502-F2AB16B53F4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3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B4189A3-B68C-4A5F-B463-24DB05D307F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3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359B564-EAF8-41E2-8B30-7EFBF384D4B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3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E27FD5E-7455-4239-9C1C-0BC10B946F7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3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2AEC7E5-248D-4351-9BF1-67B47E255BC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3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43327E3-8E24-45DD-8995-F008C1E64FE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3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0A651D7-B68E-498C-8298-BED53DFD97D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3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4232F95-567F-4A49-BE0C-2E8DFD06CBF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3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06AF4DA5-493A-4F78-B2D4-BAAE7C244E0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3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EDB0F718-B0B2-41D9-BC68-A4C471F8A22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3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F2ADBEC4-332C-4EC4-9051-6290A2BD7D6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3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4742A6A-2E07-4369-A283-07DB132CB97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3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2CCA32AE-B4EA-4C33-9781-5681404A768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66443</xdr:rowOff>
    </xdr:to>
    <xdr:sp macro="" textlink="">
      <xdr:nvSpPr>
        <xdr:cNvPr id="3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752F17B9-0256-4D71-B1FE-A6743979F71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66443</xdr:rowOff>
    </xdr:to>
    <xdr:sp macro="" textlink="">
      <xdr:nvSpPr>
        <xdr:cNvPr id="3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FAD8024-CF1A-47BA-B006-3C211146E42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3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114775D1-D260-460D-8ACE-C5ED595E5A2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3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54ECA64-E274-46ED-98E6-512639439FD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3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F0F9F029-A9C2-40D3-9701-F2192049E41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3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3054D44-2C89-4D0D-A580-34D23DFF422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3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79510A99-F808-475F-BF25-4FC31E61A99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3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9D27722-50D6-4F54-B6F6-AD3451CADB3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3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754D8001-3BBE-4145-B935-8612AC009E4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3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2FAD6158-7DAB-4495-A0EA-B92D2E9783A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3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562EB84-DE64-4D4B-8689-27C362D748F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3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F38C9FF9-2341-4961-BDBF-3700BAAB486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3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9613FD89-81D1-4E01-A84A-4717AC9CF6C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3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6C04B6B0-2379-45A6-8DC0-AF537C53AE5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3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2832F76E-2CB3-4AE7-ADBF-AA8466660F2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3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82F60C7-250D-479C-BAF1-9E9F30BE186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3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AF8763A-86D9-48FA-8178-CDE106BFFD7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3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EBB04F28-0E05-4310-BCF0-F02D2238850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3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1BA3106-49B0-4E90-91A7-00FE46B1FF1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3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34415A9-3E69-44AD-8CCC-25EC523D317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3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AB3DBAE-0E56-4210-97DA-7054A333D1D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3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1412935-27B1-4E75-A187-1405A7321B4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3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B719596-5662-46F5-A2F6-25F235BE25D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3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CD0D22E-61D0-4D18-AFE0-59007E5AD56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3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F9E398D-1ABB-404D-B8D9-879EE178A6E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3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6A5C722-F1BE-4396-B17E-31E530EC97A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3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99CDBE6-55A0-4C1E-9FBF-7D8FEE981DF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3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24CBDC85-5AD1-4B1C-92E0-77714BE508F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3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43AED74-DAD2-4230-AA0F-8B2ACD6097F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3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44267219-A162-44D6-836D-15A21CED271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3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D2240C3-CED3-4DD0-B8A2-9CEEF64DAE4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3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58936D5-9A74-42C7-8715-01915C8717A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3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F510097-33E1-420E-83D3-09EE0C1E613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3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7EF8914-810D-4DB2-8B99-0AF9C82703D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66443</xdr:rowOff>
    </xdr:to>
    <xdr:sp macro="" textlink="">
      <xdr:nvSpPr>
        <xdr:cNvPr id="3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E581BBC-AA7D-4E32-92DC-41905A9CF99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66443</xdr:rowOff>
    </xdr:to>
    <xdr:sp macro="" textlink="">
      <xdr:nvSpPr>
        <xdr:cNvPr id="3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9CCC696D-92D1-4A82-9667-359785E99E8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3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8EB62700-D387-43BA-9942-D82B66031F1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3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42825B8-514B-4179-BD85-325EDDD9F4C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3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C57562C6-2308-477E-83F3-D81157C8C1C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3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B38A7B3-0428-48AF-9793-E3F4AEC8AB8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3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439982E0-F7BC-4962-84B8-52F4E969C33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3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E745DFD-D009-4A2B-9378-A64587A9FD5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3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C67AEA7-D904-48D4-B5D9-43B87C21D93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3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6614747-512E-417C-BB87-202F4CFB470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3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71278B8-EBDB-4EAF-9408-21E96BDBF46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3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8131BBC-8613-482C-886D-919E5121B6A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3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C661F55-B7F6-4BF8-AB10-AF0B5BE50EA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3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9D5B6D8-BB7E-4C9A-96E0-01783EE8CA1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3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7C5A03-7AA4-4C8D-857D-8B358889A2D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3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9F6AC33-AF5B-4239-BC34-F134CFAAB61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3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751F4DF-D3D4-409E-9512-4768EEF3EA6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3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2BAFA7AE-4A4A-4E26-8762-A3FA683EA0A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3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D9DB1CE-42F6-4076-B95A-02079991E78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3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87853C1C-2556-491A-AAB5-4898355547E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3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5908A58D-E21F-4309-945D-F301BF2C406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3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70B8754A-4F6F-4721-8E2D-0735EBB9282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3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6532BA77-089D-4A47-AD26-4F140D60019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3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6DA40A5-D9D1-4E99-BFAA-6CB8D89893B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3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6BFBCC04-372A-4331-A606-113A9B54629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3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F01E392-100D-4E94-BEAB-5A2BA7BD679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3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507F51FE-A7F4-4861-B5F6-4E8EA5E285E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3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A34DF21-791D-48BD-A6A7-6B7E26FC3F2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4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35881C72-8B15-42F3-8701-B1C487394A3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4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8256579-BA28-4AD6-9C45-85CE4DBCEE7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4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1B58FEE-2209-454C-B874-D0F8BE99427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4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F0DEAAC-B5FD-41FA-A2B7-08C1EB6710D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4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3365370F-0D1C-4D7E-A9F2-6FAE4B4B77D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4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77C7BF3-B785-4DF1-AD66-C95A65C769E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63268</xdr:rowOff>
    </xdr:to>
    <xdr:sp macro="" textlink="">
      <xdr:nvSpPr>
        <xdr:cNvPr id="4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8859A73-4F16-4641-9D02-BF1D34AFBBD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63268</xdr:rowOff>
    </xdr:to>
    <xdr:sp macro="" textlink="">
      <xdr:nvSpPr>
        <xdr:cNvPr id="4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0B776C9-8AEA-4B1A-A06C-9DB166DF846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4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68FD2AA-8581-47A7-9979-7D721268702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4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47CD4CE-999A-45F9-AD55-6C5C4FED482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4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14A0DC9E-5E02-4140-B516-93A29A08E25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4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611224F1-C842-4705-9407-5453D5099CE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4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F4FB01D-88E5-4F70-8ED1-3EEDF753BCC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4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446761-E832-4084-B862-4A4EAD6A14F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4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2B87733-4EFF-4D9E-AEF0-4F1D4797F3E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4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F18DD83-AB67-4AFC-A022-E594BD78724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4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0BA57FA-CDE7-4A7A-96BA-E9C164C3826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4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C181C83-1216-4B7E-86EB-07FEF6A8C38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4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0B8CC6FC-AEA4-4DA3-91B2-C2B0DDD23F6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4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34EAA14-D96D-4367-94AD-23DB396788D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4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FFBFA1C0-1888-4FEC-93BC-4B8251F3340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4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651D92EC-671A-4D7D-9D87-2446F6B4803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4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F40BB50F-4FA7-45D2-96B3-1DC80DC4250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4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560630E-0534-44DD-905C-C4C2F0559BA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4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E2B31206-AFCC-44CE-BA8B-178F968CBF8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4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22DD032-574E-4E18-95FB-F762EFBEF25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4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7ACA443-8C95-48AB-ADFB-0C1D11E9CCB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4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12328D1-4C8C-46D5-89E4-F8CC8B76BCB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4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4265DB20-0996-4368-AF5D-B8A6BA9E853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4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48F4774-C8FA-4C10-B26D-4966B1C5AE8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4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B1B6248-8CFC-472A-A43C-6087FECBD21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4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2072EAE-590E-4A67-8594-B7E8E80B7F4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4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D2FA9C4-6735-4069-8B6C-DFD95572581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4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083AA433-5661-4A9D-BD60-1BD76F64367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4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D8E5BEE-6B8B-45A8-AA50-3957843498B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4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0BCBE8DD-7A39-47BF-8642-5648A189E64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4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CAACD188-5418-400A-A85B-2AA84CB3631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4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CE19A5D-2CF0-4595-8F90-FBA5A192997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4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3B33297-723F-44FD-9676-3CB68EBE877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4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4CE4A0E-54BE-40E3-A0D3-61D30F9ECCF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63268</xdr:rowOff>
    </xdr:to>
    <xdr:sp macro="" textlink="">
      <xdr:nvSpPr>
        <xdr:cNvPr id="4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0EADE219-0B4D-4898-9CE5-C40ACC04927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63268</xdr:rowOff>
    </xdr:to>
    <xdr:sp macro="" textlink="">
      <xdr:nvSpPr>
        <xdr:cNvPr id="4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87EF02C-7C7C-4CB0-97EB-EF009890A01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4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247E002-831A-4986-B6D9-794B129F319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4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09ED769-9F79-4328-A1BB-02A5CA716C5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4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3F3696F-E99C-4705-9BDA-3E739795B7B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4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2F83F70E-A7A4-4028-8AAF-25C2A73DD76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4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7EF482AF-A007-4FC0-A3EB-919554A519C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4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DFFBFF4-DD78-49B2-9C7A-028B7EC9247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4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EBEE7BEA-FF3B-4A9A-BA0B-CDA4388B7A6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4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2BA23C8-6595-42A6-B485-02B5055B0CD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4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FCEFB41D-7B9E-4750-B346-A3B7CD52E6E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4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6A033D48-6EAE-4776-9EF5-E5DF40357B8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4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EBDE5C3-0239-42F3-B161-12E67CC3BD6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4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77702760-0240-4366-BB18-8345E0D5D2C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4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898CE542-92FA-42B0-817F-7793834A5B9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4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13C3AE5-12EE-4672-A656-51220BF1518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4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9184B1B-287F-414A-8124-C9490C0B07C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4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A6E5200-DDDD-4429-9F7E-A473191DB81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4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6A537A7-7E38-4656-9811-B3A4602D83B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4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6F06CBA-AC02-4CBC-A7EA-94DAAF52E15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4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12314FB-DF00-4329-9156-89359517B5D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4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E80ED97E-1DBA-4CC9-8F41-B7AD19F2999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4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206889F-39A3-4F90-8FAD-DCCE842B593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4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973F377-D332-466E-A124-15B401DA960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4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67BC6D83-7FD9-4C3B-955C-F416F94230C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4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8C8A78-04FD-458C-81A9-A4C08A2E5F4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4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2A40524-45C5-417A-B635-6BC6209E9B1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4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449587B-4FA0-4111-A3FB-22E582D1748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4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8A2B7A8-81AC-458E-BAA8-101523442F5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4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EDF87450-1088-4C51-B8B1-B8613DBCF50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4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DD4CA173-45CE-4449-984F-8C5350F045F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4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7ED555F-16F3-454E-82EE-5BE333FBA1B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4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ABC2BD0-759A-48B9-81A8-D8379554BC2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4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1CB513B-4F0A-4A91-B955-7E2862D04B5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63268</xdr:rowOff>
    </xdr:to>
    <xdr:sp macro="" textlink="">
      <xdr:nvSpPr>
        <xdr:cNvPr id="4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8253B40E-BF27-4FE5-BB7B-10AC7DEB1B9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63268</xdr:rowOff>
    </xdr:to>
    <xdr:sp macro="" textlink="">
      <xdr:nvSpPr>
        <xdr:cNvPr id="4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0583D850-1D1A-4A35-8524-88E538B0F57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4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7D54B33F-C4FB-46FA-A115-C673CF421B5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4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60777BE-9B0B-4D11-A459-AF48D10DBB6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4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9AF40C5-767B-4BE1-8758-2AA213CCFD5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4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940FFD3-E661-4FA1-B0AC-4F3D719A965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4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D0A291F-2BCA-4D8E-832B-77C3D0AB4B5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4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7719FD7-203F-45E4-8148-E352263DA77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4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43A282A-B675-47AB-B636-D60B7B75E62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4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B49C2B00-B80E-4A5A-9F8D-D8D2D6C4FCF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4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3BD328A-BFAC-4900-A9E2-7CC18656879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4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D6495C1-0163-42C6-A204-B672973C1EB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4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44E4F9D8-CF08-4925-8D48-60FBF776EA7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4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54DFF66D-E811-4CC0-AB60-ABFAC923E70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4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2B9444B-1BB4-4090-8154-DD907B210CA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4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2A68223-8507-46DE-AEFE-1B3BEC11308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4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E1E0A466-ED6B-4FA5-BADD-5294BEFFF3C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4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4614CFC-DFB5-406D-AEED-186831AD3AE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4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5F268012-F763-4C1E-AA3B-F8FD683226E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4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7AB1E75-C356-4AFE-B03D-DDF8CCB9102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4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692003A6-A8B8-48C3-A8E4-8BBDA198EBD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4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3AA71700-1F4B-419C-82F7-2DE321345E5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4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7B6A4834-3E0D-49AB-B31B-64102C57AC2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4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4F12152B-9859-4678-9C8B-1DC251EE45C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4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FEA4D37-424C-432F-B444-EAA1C51DB60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4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0F53F0C-DCED-4D95-A522-36F7A944DD4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5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D657DE63-35B1-40A7-B932-E050A4842A2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5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958361-A249-4DE7-B49F-0BCAE70127B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5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7166744-C77D-4798-B87B-902553487B8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5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2251201-C45E-4495-B16B-AE3B52762B3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5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71D20393-E200-40D9-AB4C-194342580B2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5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9E8FE963-FFEB-49B5-B26A-EB9284CA550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5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DF2E858-9AF1-4089-90ED-EA4AAC35ACD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5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8E69E665-C582-4E2A-BCED-A94297259B7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63268</xdr:rowOff>
    </xdr:to>
    <xdr:sp macro="" textlink="">
      <xdr:nvSpPr>
        <xdr:cNvPr id="5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711CBA2C-5EAA-4B33-A8B1-DF98D37B22D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63268</xdr:rowOff>
    </xdr:to>
    <xdr:sp macro="" textlink="">
      <xdr:nvSpPr>
        <xdr:cNvPr id="5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62B280F-435E-4A43-BAEB-13077478861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5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0B01EE6-3071-4958-93AD-81AFD3FEF8C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5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80418441-5CD4-4B21-8818-05DB24AD423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5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AE8CB92-F97F-4ED1-9450-2B2243D7808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5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A976974-44DD-4119-8677-85B1107CBE7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5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E4C491F-7A08-45CC-80DD-FBF6553D8BA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5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79CC359-4DE4-4B2E-831B-07ABBB2E0F5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5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115474D-6389-4535-A991-B44D750BA3D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5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21B49EEC-E8EF-4423-8769-AA262FFBB5B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5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A649267-63D2-4BB6-B91F-C81497FCD6E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5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0243CC7-4B51-4EA5-B23D-B92506D5CE5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5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E1BA080B-DB67-4348-BD69-479A73F49BF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5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4FE0462F-0734-45E5-AF5D-EFA4F936FF5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5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FDBA7686-254A-4728-969A-CAD0E1934A0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5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E1A0D58-693D-4204-9E5E-6C0B068B1D3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5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B5D761B-2DD1-47FD-8CF7-15414C3CD06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5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0C219B60-E52D-4A74-B674-C0523499968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5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64F3807-670F-4627-B3D0-EDF694A324E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5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5CA3D39-92AB-49F0-8103-2E8878650DD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5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4DE35119-1C02-41A7-B2B5-05FCB63CCF9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5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22E4EFD-1291-467F-9D19-FB9D84E7537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5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A32C4AD-BBA3-4D01-B799-0F187B3F2F3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5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10F1B54-20C2-4A01-8FB5-C0D21DC9806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5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E21278D8-944F-4AD7-B862-AF054EECFD6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5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7BF3A03E-1359-40C5-91DF-B25EB417ECF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5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50E2CF7-A3BE-4DD6-AACE-1341B0CF13B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5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C1616D50-2C44-43A5-A5B2-CC3022F7119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5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318F468D-0531-4F73-993B-DD83F9AC575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5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958817D-1579-4F12-A1C6-F50BE856E76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5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C7B426C-0531-40A9-92F4-88A65760BD2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5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70206CA-2D5A-44F3-A3D7-F2859C6B442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5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5E3A61E4-616B-4E22-98E0-6FA2DFFA8E2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5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D0FAE590-5F3E-4017-87CB-315DC73204E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5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687B7F1-E359-4098-AF8C-2F29A48C0A7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5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4D448A3-E920-4005-A3A0-5B0D54402BB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5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66A5E54-4C22-409E-AE18-1D088319B6C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5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095D62F-FA86-4053-B207-69A0CACF82B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5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DA4A9290-D796-420F-98D8-24215F2DDE2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5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16F8C1E-BE87-4630-B32F-E359DC533BA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5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53C8A711-EAB7-432A-B0FA-E59E4ADEEAF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5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F0C716B8-EFCE-45C2-B071-202FA957096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5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D955B9B6-099F-4D6D-93BA-95EA60B46D4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5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9C36910-A761-4E2B-8577-162625E653A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5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1593F7-B5F3-4FFD-B11A-66886728E56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5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6FB826E-E92E-4CF7-B076-23461221FF8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5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0AD13CC-1A32-4BB3-89E6-C5E6B994A50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5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CA1651DE-D655-4F4D-9025-CCA19B95913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5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30494A1-F1CE-4021-B3CF-9A79A07D2F3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5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0954A73-5F1F-4FA0-9C11-74F3C0D8E45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5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E74F88AC-55AB-49EE-894B-E735A25D68E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5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99A50F0-4C19-466B-B927-18FDFF9C7E6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5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533C2710-89F0-442E-896A-ACB21C4B88A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5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46D6F10A-698C-413F-BA6D-C39ADDF34E3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5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4220DF-220F-4A44-8CD9-934C091734A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5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CFCB01-5BF3-4C72-947F-2DF7557B44C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5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A26CE84-1D36-474E-8ED7-7E5BDC8888E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5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542C67A-6976-4D09-B7A8-1321B6CA2C5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5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40CB705-C276-4D29-B2DD-8F39CEA38ED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5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DCD1994-6B86-4D6E-99FF-F2BE3415D7E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5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AEAD5E4E-35E4-4AAC-AA62-F502B5664E4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5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7DE8725-BCE4-4C34-A86E-3BA7C662DF3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5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CA984B0-FB9B-41FA-A722-E4AC41C8DBA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5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2E0AEA97-95B3-4768-AC0A-4DC5CD026D3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5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D5A5E75-5B23-4303-8B1F-439A7EA744A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129391</xdr:rowOff>
    </xdr:to>
    <xdr:sp macro="" textlink="">
      <xdr:nvSpPr>
        <xdr:cNvPr id="5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58FB670-867A-4DA1-9566-26B6A3ABD36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129391</xdr:rowOff>
    </xdr:to>
    <xdr:sp macro="" textlink="">
      <xdr:nvSpPr>
        <xdr:cNvPr id="5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A44AFF1-8AC0-4FF3-A4BE-7EA73D56237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5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CAFCDDE3-9492-4E4B-8098-AF5A3E1C431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5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79C4BA9-A657-417D-92FC-0650A28C76F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5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AC38266-9022-4A94-84C5-BD99BAA2DBA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5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121AD8A-E4E1-484F-9C56-D85635C0C28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5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F191363F-D396-449F-9DFA-552F964BF05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5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F01B5E2-31B7-44AB-9527-975AE47227C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5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2A5856AB-0454-411C-911D-BEC4C979E69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5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4B769E34-99DB-4DC9-88CA-63E2970BF09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5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1E8010C0-52A3-461C-A799-4736EB1EA3E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5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8BFA5885-7BF3-4663-9A8B-13C3CF15D1B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5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AED5E87-5F8B-4394-BECF-CF368246B83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5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D8D36552-9540-4B29-BE6A-AD8BA6B8ABC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5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8DB2665-EFDC-4C25-9FDE-10C28B6303E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5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2AC65B5-C9A2-414A-8A02-159F2C1777D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5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28C71C90-E10D-4A51-A5A2-D729C787DB8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5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83596C5-8F9D-4C11-A881-466330A876F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5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830E0401-2AA0-42D4-AF90-7D3AC468F55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5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0DC6F1A-E5CE-4FFA-B017-ABF6FAC1AF7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5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A770451-9CF7-40C9-9DC5-E07C39C08AC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5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DB218D4-008A-4902-8724-889E18DF5C4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5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90BDDA1A-9797-4AB3-8B7A-FCFC861C1D5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5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CCC556C-498E-4C84-A649-4EA6588C036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5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97AC8AD-BF3A-4478-B147-0FFA28714DD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5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04A7A301-B6C2-4360-881F-6F5FC646B69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5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4A3A5CF7-1739-4B87-8602-89046859763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6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B904CDA-D5EF-442B-B470-60B9FC33A8B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6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2717B2B-A61D-4822-A031-55A8998A4A7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6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A705CA4C-E007-4CF1-BFC7-79C70C86B45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6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8944535-3141-4424-A72D-3FD305C1EAE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6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4BF7F4A-2B4F-4C20-9ED0-7C9E67292B7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6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2DDD7B9B-EF9D-4C13-81F8-9439B47C49D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6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373D68C-1FB0-48D0-A277-F2416E8DC23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129391</xdr:rowOff>
    </xdr:to>
    <xdr:sp macro="" textlink="">
      <xdr:nvSpPr>
        <xdr:cNvPr id="6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141AE80-1935-4475-9728-5EA7F9D3259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129391</xdr:rowOff>
    </xdr:to>
    <xdr:sp macro="" textlink="">
      <xdr:nvSpPr>
        <xdr:cNvPr id="6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DA9A0E4-B582-4DEA-BDD9-E5065A2C3E3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6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49CC412-5E8F-48BD-899E-FA40D256B4E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6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3C70E2A-E6DA-42D7-ADA6-8DD00FEAE0D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6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FCB7687-3D0F-4D1C-A807-DA85721792E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6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E47D7FB-82B1-4AB8-A149-AE9003069B4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6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58C683F-BCED-4829-9862-9939FF88D68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6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4EFE7C5-A544-4114-966B-86063AAA143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6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BFE9350E-12BB-493A-8047-F197A9DC73B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6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CB58DE8-9CEC-44D7-B088-E54AA1FD82E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6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E72E71C-96C5-4F53-873D-0AEA36FBA13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6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550C610-5541-492C-97EA-9DA303C7A72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6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41DA114-48FB-4B26-B75C-5AC2E6C3A4B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6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963D696-217F-42C3-A06E-6391DFE3B8B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6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65D7A8FD-8854-4C1F-AAF4-EB31BFE78F5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6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8BD215F-8096-4291-B547-4DA8DCCACE3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6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C85F6D6-2F26-4D9F-A9FD-E6198D038B1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6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5313FD0-D24B-4154-9107-5A508BC2919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6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35610CB8-75F2-41E1-B4C1-61BC4A9F71F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6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6CDEE0F-E106-4E10-B26C-EFC4DF7D410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6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BA9BFC2-5272-4787-BD78-502C01C755C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6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F72224C-F280-41AB-9407-C41429A6B31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6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0674B05-3664-41B8-AD1D-924A6E974EE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6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9E00563-FE86-468C-AEBF-85FD127632F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6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2A493DA-2C6E-410D-8F7F-75E1872F03F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6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5872FD29-DD6E-421D-A9DE-98B57F40181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6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18458A1D-B6E9-4F23-BB8B-52650C1008D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6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93685B1-302D-429C-81D7-0688ADD18BD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6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6D62C87-593C-4400-8BC7-447EC696827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6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D7D93CF6-EABC-4AC8-9C8A-1F1B912CAAF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6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8275C6EF-1039-499E-A447-17046ECDD11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6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139FFF3-64AA-4E41-976C-905EECB603E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6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BF57278-6326-49AA-A091-FEA08919DEA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6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2AF2B893-F138-45E3-9000-AF6A946A288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129391</xdr:rowOff>
    </xdr:to>
    <xdr:sp macro="" textlink="">
      <xdr:nvSpPr>
        <xdr:cNvPr id="6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480FF5DA-06AF-48E3-A0D5-4D159E533C8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129391</xdr:rowOff>
    </xdr:to>
    <xdr:sp macro="" textlink="">
      <xdr:nvSpPr>
        <xdr:cNvPr id="6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323A07B-0A31-45A5-8C70-DA36C2DEDB4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6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EC29687-9A3C-4FB5-8E9A-F29989627C1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6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28F1DD0-CE91-4CF2-B194-5E00ABB64A8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6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32D8136-9172-4F60-A1F5-97BD6196ECE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6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E46719D-C104-4FED-B45E-CE3C0467F43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6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33155F3-68DB-4347-80D9-1E31FB1FC8D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6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2A68DFE-4A57-474D-B65E-EA68AA23A3E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6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BE689F7-B049-445F-BD57-8444209C526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6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EF3327C-D4C7-488B-8D5D-E6531E73B01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6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7A91F6C-7358-4446-8DC0-9FD9F627414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6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21269C9-2105-415D-9065-4B2BCC7FD9C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6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B4FC9EE-F6C3-4DE7-BF1E-7CDF25FB0EA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6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02199BC-4ABE-48F3-831D-184D69A4A61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6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90591CE8-BCBF-490B-9909-BAD8172DE44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6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4BB93CA-C4CD-4C57-B251-5C3AD7E8E5E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6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25F47C5-04F2-4D57-ADCF-80A5477C36A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6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A30D6964-98B4-443C-843D-1055D3A8744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6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D11DE2D-A88C-4E08-9586-E31761FE772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6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1C916B52-ABFA-4823-98D0-972F3791EB3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6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C1C5AE7-0D5E-41B1-91D0-8E073A9F469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6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7BE2F00-1B92-4A9A-86A4-95F4986CA2F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6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9A7B05C-2D73-416A-BD4D-766E55F05CA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6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E65ABF1-4F78-4ACC-A49A-01CFBF5F13F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6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40F7BEE-6618-4EEF-8619-8370A80AD8D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6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C056D2BE-F911-470D-9058-6493D6F7064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6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BA1785E-8208-4246-8C11-A7707827BF1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6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A5B9438-492F-4AEE-ADBA-47FCF963D6C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6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E936D471-F204-4707-914F-8CE164EAF7A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6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5039BFD3-BEF4-4365-A845-62858C85B72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6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D7C0E42C-D1A7-4C25-B3EC-019BF19289F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6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2BC4E49-61F6-4FEC-9C24-B44F6883593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6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FBB8ACF-EEA6-40A5-9AA1-6D33EF35A5B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6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7496612-3F98-4C06-8DEB-658B8FBA44B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135741</xdr:rowOff>
    </xdr:to>
    <xdr:sp macro="" textlink="">
      <xdr:nvSpPr>
        <xdr:cNvPr id="6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C316196A-DCC8-4910-BF3F-1F85CAECACD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135741</xdr:rowOff>
    </xdr:to>
    <xdr:sp macro="" textlink="">
      <xdr:nvSpPr>
        <xdr:cNvPr id="6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7D1DF0A-3A2B-4305-A12B-EDA59820AC0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6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B565C31-6E43-4FF4-B799-A6A703FB86E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6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772841A-D9DC-45A5-9D0F-4E22ED95657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6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DDE4A36-CD99-4CBB-9636-FDF0DE6CE96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6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28E0433D-D6A2-45ED-AF5C-C1E7219DB75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6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B4F1981-699D-4073-8306-61DE4909551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6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9C2A2649-3D88-47E0-8196-D40CEEBBF86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6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0E3300A6-21E3-412A-98D0-5CF176E62B7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6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A9CA6A0-E680-49F6-B7D8-2F7DA5112A3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6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25FE31C-571A-439D-970B-360F57C738E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6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7357244-D568-41BA-B2A7-7F855E517D3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6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330E8A5-F65D-42D7-B290-12004D5274A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6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404FA6E-2EB8-40B5-AEAA-98B4A5BB973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6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AFF2A28-C927-4791-B090-C3884AFD85D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6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374EEB45-416F-41F9-89E3-A1EE4666E20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6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25BAA872-1467-4DA5-90C4-5E9CE29C348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6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F9B581D0-714E-4A68-A686-FCFC394F581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6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6F2C418-2E67-4A54-9C44-A2A9D864F7E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6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B191AD-3B70-411F-B429-D054612264B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6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3099AF04-2044-4A73-80D0-FE592F70E7B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6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DC7876ED-DBC1-446A-A241-4BE32181DD1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6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41D4B071-BF3E-4645-BA3B-79FC6407611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6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D894234-8068-46C9-89EA-CDA5385AFC2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6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EA23194-284A-4A63-A68B-9565255A533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7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5574672B-A790-45E4-8121-1946CBEDB31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7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04C6130-7A24-4723-8038-755E1514B9F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7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D0CA5F8-DECD-45A4-B1B5-2C231770D5A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7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12E897B-A67A-4651-9086-49B70E4E2E0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7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7520F7EF-3D35-4CCD-AA93-87909B4C1EB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7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BAE518F3-D949-46F5-A5F8-96368A98F2E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7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92E619C-3315-4823-8233-3C53B6C07CE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7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A94FB57D-5747-4CDA-89F4-D6A3728A270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7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54202FA-D4D0-4C55-AD6D-FB455183D98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135741</xdr:rowOff>
    </xdr:to>
    <xdr:sp macro="" textlink="">
      <xdr:nvSpPr>
        <xdr:cNvPr id="7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D838415-AB02-4DA7-AF67-0C1A95A0A55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135741</xdr:rowOff>
    </xdr:to>
    <xdr:sp macro="" textlink="">
      <xdr:nvSpPr>
        <xdr:cNvPr id="7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10531C6-E902-4F86-A593-792CD87B28A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F9150D-93B7-41FC-B20B-7E2309E308D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70310F1-E50D-4672-8F98-CF0D514D25F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6AC8C7F3-621F-485D-BA55-EE94FB49DD5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ED950B70-53DD-4091-9E20-14C1FF1F04E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47541282-F262-4E63-838B-83B3C27BC46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12CB1A1-D4B2-43AD-9DB0-541AB67EEA3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8757199-6431-4BCD-A4F9-39C9E76A9DF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E5E963C5-3CE3-4AD0-90C2-2A5B3C442E1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7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D595CE8-4E2E-4E7E-B320-D9B0743C358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7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00EA0EBC-8680-4EEA-B625-8E131DA70B0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7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32B1AF3-8FF4-451A-8561-A0B55268D0D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7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DB6B7C7-7203-4FD7-A5BF-2309A43345A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7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04062A81-55E6-4EB2-AA5A-0AB5798748C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7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E1FDF92-A56F-4A81-BB1F-4B2000ACA7E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7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C7A2B6DF-2D95-4662-9879-4FF70B448B0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7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F327DB0-F9B7-4B4F-9457-662F576F4A9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7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215F7F14-12F1-43CF-8CB5-9A9992FBFF7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7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EE3657B6-146B-42AA-9F69-C51B64A714C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7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FD20370F-A862-4282-8CDC-DD8D4CAF476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7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392CD92A-35F2-4E54-95E2-FD7E0FDE87B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7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6E4EB3A0-27A0-4FE3-A508-1FCC47CDC43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7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C4CC067-23E1-49E1-8F66-83205FC6CD9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7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8C9B94D-2E32-4AA3-B5A1-26FAB48302A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7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A81B5FF-59EC-43F5-8003-2A55D4D81C9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7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EC1FDBC7-4C1E-4899-8C87-28AFA7DB968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7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61ACB46-CACF-4636-B275-68FE4948F42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7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AA0CB7C-A9D2-41B5-B7A9-538F78C020A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7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1EA0DB3-0206-4D8B-B34B-C2AD0367C51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7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504198D-ABE4-4C49-810A-984869C383A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7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3F059905-2049-4B7A-8BE0-5BC5127C5C3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7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D6DD45B-11F4-4B5C-9DE0-4C27E5DD7E1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7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A3E3100-F3C8-439A-99F7-0E8A9D531A9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135741</xdr:rowOff>
    </xdr:to>
    <xdr:sp macro="" textlink="">
      <xdr:nvSpPr>
        <xdr:cNvPr id="7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2547044-EEE5-4487-B75A-50216FCAB5B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135741</xdr:rowOff>
    </xdr:to>
    <xdr:sp macro="" textlink="">
      <xdr:nvSpPr>
        <xdr:cNvPr id="7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EB371BC-A78C-40EF-B897-36BA5D0513A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EAE6992F-5704-4F19-8C64-89C539848BE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A4AB4F2-A037-44F2-B380-F3555E25ABF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7FFBABF-487A-4B8E-BD54-D31A32D4B87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EEA9AE8A-2969-46A9-B433-9B910C7B36F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2C605496-252F-4360-A52B-86A4B83AECA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5FF15435-CCD6-43CD-B933-37B0F4E9F47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A35EE78-06D4-4C28-970A-03CFA9F162A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A563BE28-DED1-4574-8C41-0B84083A460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7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18B91AA-DB7D-49F1-AA46-61487C8A69B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7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E874356-8B5C-49A5-8D4E-023C5290A59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7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B3E48037-DB12-43B2-97AC-EB4D13DEEAB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7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1EB6262-F56A-4C17-822E-2A686B6C122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7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3907A4F-CB04-41B4-B820-3FD2D0752C6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7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7AD4D363-B5B3-4443-9CEA-040F681EB22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7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0FF963A-3505-479D-9C81-584315ACC49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7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1728EE9-5FA7-45F3-937B-23BA38A59DD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7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77BBDB29-FC4B-4B7C-B839-3758DD996C7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7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3656564-6259-4798-BB73-5DD2814610A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7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6664E299-8C4C-431E-A3C3-2FE6392FE1A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7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37661B08-9932-4868-9160-AD3A4BD1A76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7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E44777D3-6A6D-4B73-8107-64B5BF18913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7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4EAAC38-F6C6-4038-B4E9-FE672654137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7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A579D1D-4C29-42E2-9678-82B002EA8E5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7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608EC4A-E83E-4A2D-8182-C507CC125A3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7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B57528C-158D-4D65-BF6E-C8AA2D00A17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7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0A21A09-6D89-47CB-B486-A122C9509DA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7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FA944B7-DCC1-422A-A52C-B85EB8AEF1B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7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AAFCDABA-78DB-40AE-B87B-734AD164E16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7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9456520-B45B-40B3-A99E-306D07B8433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7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A3FFF72-9452-4898-9966-FB42DF8BEB0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7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49D1B73D-C8CE-49B2-82AA-24B6DCCA9F8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7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0548CCC-8F6F-4BC0-9EED-A622045272E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135741</xdr:rowOff>
    </xdr:to>
    <xdr:sp macro="" textlink="">
      <xdr:nvSpPr>
        <xdr:cNvPr id="7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7EFCA7D-096D-49F0-B499-09291712268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135741</xdr:rowOff>
    </xdr:to>
    <xdr:sp macro="" textlink="">
      <xdr:nvSpPr>
        <xdr:cNvPr id="7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1D5602E-8DA2-4074-A5F1-965B5A5EBFE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7F73185-0699-4D72-A369-128BBBE1C05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3B98CA0E-D3BC-4E40-A178-317A205F323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BF40E8-A361-4E0D-9DE2-A086E058C7C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2F07F3E-0C95-4CF9-B732-2B801A13FE4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E8ECE8F-4383-4984-88BE-401A6154EF1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9BF0340-EACC-4A38-A569-2F37DA95DFC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B1B4DAD3-2334-447A-ABD5-83650FDDE62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64ED130-79B2-4931-BE1C-1334ACDABBB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7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418749D-4FD2-479B-91D4-87745BD9814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7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AB68B79-E8FA-44D0-AD63-8BF70D64121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7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244B115-5E61-4BA0-A804-37684B684D6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7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F7576E09-70CA-44E2-88EB-02971D607E5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7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AE480705-CCD4-4CBC-91FE-80E45577A7B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7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8F24950-05FC-46FA-A0A2-A2A6D2BD764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7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A451FCB-BDDC-4126-8A84-1324DCDD1A8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7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DB848B8-4CF5-4974-8BE4-A0E2C499FF0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7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334B943D-BD31-4D42-BE5D-0AABE5F579C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7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33476C0A-7F5D-42C0-8D12-91C7DCCD005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7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F7C8B4A-1AB3-4BB3-8057-52AC64EA31A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7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ADAF0DC-3124-41FB-95E6-31893CBCAD9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7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46047E29-0AD4-4E52-A40D-FA19119AB6D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8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3677488E-CFA7-4895-8780-9DDAAAC5383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8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A845604-69AE-492C-B896-6D70285A88A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8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6731085-8274-4125-9532-EBE3E927B9D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8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6D9B96B-1295-487F-ABCD-53ACB9DFC09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8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FF9C918-3ED3-4757-A187-286373F009D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8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E310953-54F3-4CB2-94A2-71B772BC074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8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55D9B7F0-2B3D-4F83-BE6D-CACD7F7F48B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8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736826F-A7A9-45D1-A30D-C07CB07B64D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8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7F47DE61-AB58-4705-9B02-6FD949EB48A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8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4FF4E334-E4B6-485F-B6D5-12DA6E829A0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66443</xdr:rowOff>
    </xdr:to>
    <xdr:sp macro="" textlink="">
      <xdr:nvSpPr>
        <xdr:cNvPr id="8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13DC161F-9F13-4862-8B30-8159E3BAE81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8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0EF7EA4-3F70-45AD-A9A6-09A90F2C47B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8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5A4D3637-4665-4164-9CC5-A388FEBBA2C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8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62371702-AD0C-4DBC-8ED7-B5E23502757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8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FBED958-9AB2-4669-9BE4-15DA35D76D7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8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EF9C3F83-B9B2-449C-A4A7-833A93CD893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8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F64A00C-64A2-4997-AC2F-7CD44F23860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8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440ECE3-DD78-45EA-8963-4F1A67B6FD9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8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C0AA0F0-835F-4C23-B0A8-695056797A7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8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ED6976A-0A7A-41B6-AD65-2689A55C3D1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8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AE79DD1-7005-46B6-B8D1-515733F738B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8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2E42DB6D-CD7C-486E-ABED-7A9A4EAB415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8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ADEF958-064D-43DA-AB75-30291882F5C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8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9FD3F9D-B25E-40AA-AF54-02DD9B20656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8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703F441E-16D4-4A9F-8EE3-DFBB486DCD9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8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245697F3-61CF-4490-9B5A-C4197E55EC4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8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DFAF0051-2B70-4693-8444-C5AD051F6CA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8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E585A03-3093-45DC-8444-26C0D6971A1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8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98CD9A6-98C7-4ADA-A499-7AF55BA472F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8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7D2A6B9-14DF-4E58-81B2-11D0611B946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8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59351CD-C16B-4650-8437-E8CF3C1780D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8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1E8E2FD-E928-4C92-8105-A0C17761C24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8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B2600E1-C872-432D-9276-7E73F081CEA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8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0088BD6-2752-4E8A-AB39-0E61EE2C146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8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30B2A02-8613-4A57-8F9C-CFBE5016D06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8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B4A6254-ECBD-41CC-B965-2321FA626CB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8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710198C7-542B-4545-9C8B-A1BEF85BF07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8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220CAD5-7705-435F-9C36-402113B3031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8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F078398-1B15-4F0D-8FA4-339056D3615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8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8428CD1-1236-4A2F-A755-BCDC38F2F81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8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16992CA-6470-4556-9AB8-D084A8E35BB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8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19A295E-6733-4633-A99F-CE13809F29D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8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A6C32775-146A-4557-B824-E0EA86B5C25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66443</xdr:rowOff>
    </xdr:to>
    <xdr:sp macro="" textlink="">
      <xdr:nvSpPr>
        <xdr:cNvPr id="8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4ED421D-48F8-4F45-B606-5AEDB1F6E96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66443</xdr:rowOff>
    </xdr:to>
    <xdr:sp macro="" textlink="">
      <xdr:nvSpPr>
        <xdr:cNvPr id="8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D49E803-E5C1-407C-B5A0-3A9825EDAFD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8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BE30F54-AC4E-451F-99AB-7E466CF085C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8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54764569-2F34-4F20-9DD0-06F1090AFDB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8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C1CB050-BA5A-40DD-BBA5-49C048C0E7A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8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6D098543-061E-4B69-91CC-EAC62AC20A4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8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8B20048-F032-4C82-B95D-78DA5760FD0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8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33C672A5-F746-4345-A9C2-70E0D4AAAB2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8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AD48311-0B00-4554-A3BB-C41357433F0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8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F0C9E1D8-0662-4322-91BA-D24A1786AB2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8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08E0B27D-7D16-4D0A-94EF-FDE40789DB5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8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01221A1-A76B-4A54-8067-9590EDEA996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8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BEBF6BB6-3DFC-41B5-A498-BBAF1D9F26A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8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C6AC9E4-C6FB-46A0-B9F0-7686448375E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8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37798ED-7670-4CDB-8C56-7F156C28EA9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8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0593867-93C2-419F-B471-2EDCBFE0AD4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8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CE814BA-3E19-49A7-8423-E4CC1A38F0E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8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07FD5D8D-3C55-40FD-B3D0-7212C5BD0BF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8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15DBEBF-10D4-49DC-BFDD-CC2EE4A2E06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8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88AE1B5-8FD8-4574-A130-43BBA0D95A9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8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1A0D0CE1-1E7D-4DE6-9458-5D0792C768F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8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36CF802-2001-4D91-9761-80435E4EA50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8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8456397-601C-4B9D-873F-BC33C12BA45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8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0C3D2C2-C9A2-4ADD-9039-5012C872C2F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8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C284BDF-9531-4E52-B044-9822C581B35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8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A79F859-D5FF-45A8-BF7E-A4BFB2E1374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8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049DA47-0973-4F3D-B151-CF183BE71E7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8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4B617F9-17A1-42EA-84E3-275AC79FD58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8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A43A2EE1-1FF1-4BF1-B504-8180C7FD755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8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27659E07-2765-4841-9499-847BB7FC878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8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8A154B6C-8035-42A0-B6D4-D73318E80A2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8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A511C54-637B-4E19-8201-A9762E9EE99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8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BBAB7472-02C9-4771-AE40-6D8EE43CF38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8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9A04263-C2D2-417A-8E02-A1C91F51045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66443</xdr:rowOff>
    </xdr:to>
    <xdr:sp macro="" textlink="">
      <xdr:nvSpPr>
        <xdr:cNvPr id="8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2BDAB3B4-0B37-41B7-8543-360EA40F68F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66443</xdr:rowOff>
    </xdr:to>
    <xdr:sp macro="" textlink="">
      <xdr:nvSpPr>
        <xdr:cNvPr id="8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52006149-3D2D-4223-A3BC-9FCFDF6744A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8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F762ED4-F0DC-485B-8A7E-7C86735C361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8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1354269A-9AF9-4F7B-8858-B04F1CF2C04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8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ACCFEC3-0F94-4A0F-BEF2-44E272B55A8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8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8BB77B8-A1B0-4C97-965E-D2DECFC318E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8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8C355973-D743-48C6-9CC3-9E8FFA7338A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8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3ECC479B-0E1B-4EED-BCAF-B3EA14100A8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8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F28C7AD-9A25-48E3-8739-FA5DE7612B1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8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5BAC1BA9-45FF-4E59-B805-D9E1DDFA5BA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8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678E6D5-7350-4C29-9283-C4CD8435B18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8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527B1D7C-9CCA-4482-8069-C86DF42097D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8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B43816D-F335-4FA6-A557-EB0ABD09250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8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EB6D5450-8C46-47E6-A350-86B8B568203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8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4C11C2BE-264E-489E-BD5F-20A3AF002D7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8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5B1C28F-4BFC-46D9-98C4-15C898747C0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8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1F71BFDD-E40C-49AB-B1AB-5BDFAE666A4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8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7640FA9F-6893-4A1B-921A-B88FD6F5D01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8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B980BCF-6185-474E-BBF8-7CA22B5C01B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8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0FDFFE8-E522-464C-9C48-63008C9B692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8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789A2DD-9B33-47F4-9637-DBA7723A492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8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B0D8E67-8D18-46B4-8DD2-6630A12CF7C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8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B431DDD-191F-45BD-81A4-CA82C390B15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9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34B213-865D-4EF5-BBC6-EBA10523BC1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9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007EC3A-EA40-4D15-A65E-D03517EA1A2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9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0991781-224E-4A5A-92E6-7912C0010CB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9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BDD5A348-F60D-4309-AF19-A1E1AB7A3A3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9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C94D5CFA-4580-47DF-9DB3-DF27F83469F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9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0A81E48-8D0E-41ED-8205-E004A25565E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9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94282EB-7B21-4B31-8633-75B7A317EF1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9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4CAB2785-D8B7-4360-8364-18ACDE5FDFA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9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F5C5821-C167-4805-84D1-36B01EE40B6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9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1562C73-4198-4AF5-AA6B-60952473487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9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109A5D70-FA65-457C-B9A2-518621F163A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66443</xdr:rowOff>
    </xdr:to>
    <xdr:sp macro="" textlink="">
      <xdr:nvSpPr>
        <xdr:cNvPr id="9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403A1EF-1E8C-4970-BC36-B0FAABE5898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66443</xdr:rowOff>
    </xdr:to>
    <xdr:sp macro="" textlink="">
      <xdr:nvSpPr>
        <xdr:cNvPr id="9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D223CF8-E5A5-42EA-A4DE-E4B7071A69B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9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1EB8F720-DE28-488D-A19A-D8FB30D7AA5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9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73611E1D-6F9F-4C61-BB1F-725624E44D9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9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C336251-C9A2-424C-AE78-134EE53D69D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9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E839CB7-2A5D-4614-8B60-FE983D4A69C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9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4554AF79-643D-41E0-8BC0-1A6100F7054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9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3D73DA8-E0A9-415F-AC82-589829F7FCC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9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1D777EE-3620-4494-A127-A3FA9A03BC1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9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D1BC4333-E2FB-4843-8D79-627FAAA0268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9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E919E840-2384-4235-A9F5-C983445ED1F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9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9B67B1A2-7CB7-4A73-80FD-3F5FCDAD43B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9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7C24A4BF-7A44-4EEE-B703-8CAED402918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9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54C9329-8745-4DB4-9FD7-FAEC785E4F6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9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2383AF6-99E4-4233-9F5B-357323FFBE1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9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C50BE6-A7AE-44BF-AA5D-775EF6F33D6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9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C461F0-D376-4A32-A391-2661DBC8B84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9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29B6BFE-8A05-4D59-85EB-5FDBF9B1778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9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EEDCAF5D-E1DE-4D03-985A-5460E7C63D0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9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2AA9A22-5134-4821-9C3E-3CDC8A47A3A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9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08497A5-039C-42EA-8E38-7BB9B1B7147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9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CF51336-5144-40A6-B45C-8E882E379D3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9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92505F1-2117-44FA-B4A5-052F3C00D1F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9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1303ECB-F23E-4CA3-A79A-76D5B3522EB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9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33780BF4-7902-40F1-8E39-BD59EE579C4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9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7F34F6C1-68E5-4592-8722-8CB4766221C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9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BB0CD08-31AA-4E15-8D45-DD84DF93253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9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AB8F5AEA-B857-41B4-879A-E26A16557CD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9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60FB6F9-7904-43B8-A72F-30F8D1164EC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9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F564F039-D2AE-4EC8-9AE8-B1A492B4403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9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788E5CD0-C1F6-41CB-86ED-6FDBC5A8ADA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9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D5D56DD-133B-4189-A745-2A149125262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9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03240C9F-3B60-494C-A440-BFB707E021B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9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83207BDC-EE47-48B2-AF85-3B43507FCC6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63268</xdr:rowOff>
    </xdr:to>
    <xdr:sp macro="" textlink="">
      <xdr:nvSpPr>
        <xdr:cNvPr id="9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CF098665-E994-49F9-899F-827877C018B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63268</xdr:rowOff>
    </xdr:to>
    <xdr:sp macro="" textlink="">
      <xdr:nvSpPr>
        <xdr:cNvPr id="9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AB854F10-6ED7-4680-B333-8D61DF4F380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9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512A7F2-B40E-47D5-B069-8192B87F99B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9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C41D914-31E9-4766-B5D9-DFBF77C74E7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9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B2C47FB-EF80-477B-95A0-407A41F6904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9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3D1022-F3B6-4EF7-B30E-7FD662FC593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9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DBA84519-0BA6-440B-A844-A2D2FC2F051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9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63628F4-5815-47F6-91F0-B8319DB1BE6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9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413CE17-0FF1-43F7-A77E-492EB1BE346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9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A4986BC-D6FE-42F1-BE7B-DBC551A322D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9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EC554CD5-A9F2-43CF-A9BB-93217126E77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9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FA8947-EA92-4BF5-A5FA-28AEC326F3D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9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C9075C0-35D5-404E-A468-16B94C9C742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9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2E536BA-1FF1-44BB-AC48-D64D0498555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9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CA95818-B49C-44DA-B79A-90DDCC621BC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9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A16A0C6-DCC0-404B-B1AF-D3FD54F4BBE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9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83B32EF-7DF7-4394-AE37-ABD41DB5CFB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9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2C3F435-2D4C-4A1C-AC0B-0078C7A29FE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9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2E118203-AD18-4202-B059-4CDAEF46415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9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82C950CA-44AB-4E07-ADB5-8B4122CB8DE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9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90423587-3879-4986-9D6D-8A742A8793D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9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AE73ED74-FD4C-41ED-BC2C-C949E2D19BF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9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9263235-C0F3-4F1C-9F04-31D1ACCFFB8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9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466C391C-B749-4572-B513-CCFEDDA8148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9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FEA4114-2236-4919-BFBF-5C8C1DB3EEE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9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0D6CD45-BD00-469A-AE06-542FF19588B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9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AF900EB-06EB-4564-9130-245B3F20584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9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0B3337E-85E0-4FA6-9AB4-73B90DD52B7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9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7C154FF4-253F-4C6D-A296-577B1890381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9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FAF1411-F49E-458E-93E5-2056604F7F3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9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BF901988-4974-41AF-8FC2-65B61ACB0C2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9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54C32AF1-2A79-458E-9BBC-2642F64FF5B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9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AAFDCA58-FF85-4A9F-977C-A732410BA91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9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06CE570B-BBEE-4113-8A6C-B5851E2F309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63268</xdr:rowOff>
    </xdr:to>
    <xdr:sp macro="" textlink="">
      <xdr:nvSpPr>
        <xdr:cNvPr id="9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F6824C6-F5A5-4DE2-9C52-09183CBC2E9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63268</xdr:rowOff>
    </xdr:to>
    <xdr:sp macro="" textlink="">
      <xdr:nvSpPr>
        <xdr:cNvPr id="9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6D0C57E-39AC-4851-8ED6-59C127400B5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9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4F7F952F-343C-492B-9C7E-ED638B92EC1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9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4A2ABCAF-9D05-497E-A642-3378957435C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9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27D8D212-BA21-4C30-8157-C22CD2783D1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9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5CC8C18-DB96-4E30-88EE-EAEFDDB30E1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9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BC5779A1-5869-4FD0-95DB-DF3F83A6686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9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C69B433-FC18-4374-BDF3-B3F9E359C13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9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A3F95548-501D-4D74-81E5-A77DE489E54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9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E004290F-6B1F-4429-A99A-C55D3F02750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9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4F1690-1B9A-4F8E-AFA6-30B9D880FF9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9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3E18F273-69AF-4F63-8F5E-E26B65C0885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9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6B1FF5FB-D1C8-4FEA-BB19-D8497735581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9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25CA72FB-CD9C-40C8-AF31-F4978B4747B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9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B11194DD-DE58-4284-8C2B-3836EA4116E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9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A79D251-EB0F-4681-A04F-9D386CF9F18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9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61BC7A3-013F-42FB-9DA0-1EB598A5B17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9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40274B-9B87-44CC-B11F-6A8A60EB7C3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9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E43B968-25B5-4B28-905B-1A8FB7EDF8C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9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972DCA7-7D54-478D-A473-95C45831F65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9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5AB5AF0-2051-429C-BDFF-8815FBBB462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10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F6B211C4-9D97-4D8B-B4F7-21F73AA847F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10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7067BA78-D907-40EE-99A1-79B8F8065BC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10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A2F009ED-669A-4A85-B872-EBB7B091677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10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6DE8FB16-E426-40E2-BD3A-9B25C20A946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10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D239014-2295-46A2-A3DE-44D7EE21722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10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A0C9DCF-35F1-4C61-B51E-8EB61ED132E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10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C0966293-647F-45EF-BDE6-11B102D9CAE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10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5E77D0E-1EFA-464B-96B7-BA488CE4D33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10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33A6807-429D-42C4-90C5-E9E2B4081D4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10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D98296B-AB97-4E73-A275-191D3C58AF8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10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2B91A011-35FB-43BA-A977-DCB45DE75A5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10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5F3D15C-7861-4A70-9A38-74A05EA9FA6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10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909CB5E-5760-43AD-B9BA-7279CD8B179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63268</xdr:rowOff>
    </xdr:to>
    <xdr:sp macro="" textlink="">
      <xdr:nvSpPr>
        <xdr:cNvPr id="10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049E26CB-929B-4AD8-8995-2B4E74D2148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63268</xdr:rowOff>
    </xdr:to>
    <xdr:sp macro="" textlink="">
      <xdr:nvSpPr>
        <xdr:cNvPr id="10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FA04E73-4803-4140-B4E1-71BFAB183E9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10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9F71EFF-1D86-4ED5-9DD6-3E5FE938637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10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F894EAF-7BF8-40CF-82C2-8A8B9ED5BBB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10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A7650EB6-900D-46C2-B208-F14DE4D1498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10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6BDCA4C-C315-49D5-B897-E521035AB12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10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75A5562-59B4-4023-9F65-B9B038192EE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10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B7198EF-06C2-47F0-B5FF-5DC4EA5A8EA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10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ACA18495-CB52-44F8-8DC1-0072507A839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10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47075431-16C1-45B4-8709-737E4FA89F8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10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0C2C45B0-39E4-441D-8203-7FD5A814E54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10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CEC3732A-3FC5-4640-A156-CD3232945C3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10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0221ECF-7442-45A4-8CC7-0524F7C5594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10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C74E3A1-1FB2-4B02-8916-FD213C1ADD8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10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CB10AED-ED65-466B-9950-14F1C539393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10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AC7D166-A9ED-4F34-8A77-D715FDC6F03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10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5845525-A577-4B52-92EA-A1DFD14EC8B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10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95C82DD6-95F4-41A4-A50B-1AD82CBBF4D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10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CF8CF78-97C6-4C29-A1A5-8C0C6B58C5C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10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85AFA01-6826-456A-B432-26427F70357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10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B9E2819C-88EA-4CF3-AE75-393039BFCD9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10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2C75C52-13BB-4906-ABEC-9F2331D6473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10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7E57D0D-B79A-450E-9BA8-930F34042F9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10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EFDA2DA-2F3C-46D8-9023-FFE85324A76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10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5A7BC992-DF36-4D40-BF93-C193316D77B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10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E63F4E91-65B9-4172-94F2-D955F0A33DE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10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9768CF9-D20B-45A0-8592-0C66F2E872E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10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0D22EA9B-03D7-43AB-AA0B-FDAFEA7D472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10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64D5732-0906-460B-8B03-0AB5E6BD275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10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56A4BF78-795E-415A-8641-DC1D348D776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10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54AEBCB-6328-4141-B843-E23FE8B4314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10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A128504-FA19-4B01-9BDD-ECCDE62C454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10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2523590-D65E-46D4-A87A-E03A218FE07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10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63B5A72-CB71-4CC8-8B72-9E4013C8CD5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63268</xdr:rowOff>
    </xdr:to>
    <xdr:sp macro="" textlink="">
      <xdr:nvSpPr>
        <xdr:cNvPr id="10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A35EF9D8-0354-427F-9482-52C83CAB3D4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63268</xdr:rowOff>
    </xdr:to>
    <xdr:sp macro="" textlink="">
      <xdr:nvSpPr>
        <xdr:cNvPr id="10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C5FC551-94B4-445D-B3A6-529CD657390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10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602A3CB-CD4F-41ED-A7FE-ADA7ACC8C56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10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0D241B4-A5AC-4D73-B51B-C2FB52A80CD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10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C40040-9294-4CF6-A420-F92C17C4BBE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10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950A0976-9257-4A9D-82EE-EEA5F503773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10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13A4382E-C80A-49F1-A11A-F0CD4E528BA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10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6CF25CC2-2270-4EB1-BEA7-DC6BBB169DD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10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CE2695AD-D1B4-40E0-89CB-491FFABB089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10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2E46593-50F6-4F69-8AE5-1B86120990C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10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567A7DA-F9F6-484E-A5D0-C1396DACB91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10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3AB7001-5B01-4677-81D0-6731EE24EB9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10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266AA515-96E8-4FC8-BC75-296A966C88E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10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8656120-8712-4413-8688-0E348EB571B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10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85A3380-FCE3-412C-81C8-FFEFDA07E01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10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414C7CA-B285-4C83-9F4F-257E2E037F6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10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BD22BC64-D280-4FFB-8AA1-273FAB2126D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10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2A70935-CC10-4C59-BE1C-25C9AF02F76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10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907C2F8F-9799-41E3-BD02-284BA55B7F0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10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4E2F043-C310-4DE1-A9FF-1773BAC0A32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10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12571DA-56C5-4D28-AE5C-36101B3AB82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10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4AAF128C-0F51-42E1-9DD2-80D2A4F4B82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10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D615404-DBE1-43A4-A58A-D08258D9BB1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10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1F91E9B-A86F-43C9-AE7F-558080F2729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10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5CCD77B-E5B2-4BA6-AD32-823F23D4DFC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10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ED3E2649-D2A8-459D-A1C2-5A58C4BA4B0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10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75C43C79-0D96-40C3-A530-D6897CE6AB9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10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E4E63E7-56BC-4101-87E0-1F59F0C3735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10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49BB05C-83C6-457E-92C6-2EEAC841A83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10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DD9CADCF-5146-4C97-BB1A-FF223143492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10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268E3F57-9058-4F37-B631-F8FEDDEB9A7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10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B856F71-B247-4C68-B790-CD516A19E0F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10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C31B3AF-1980-4A56-A27D-B08BE5CC2E5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10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E0A5F51-1956-421B-8229-56A6B449A90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0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22264BBF-C31E-4787-9751-EE9D86DA07D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0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A95020D9-472D-4C50-92A5-572C1E0A56C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0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B7D39160-A011-4E94-984C-4141D747162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0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348F7CB-6222-4F47-B2F4-91CC15F42C2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0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394C570-705E-4D91-850B-21ACD9AC72B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0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6A132939-11C6-4905-8D22-BE92733C011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0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5DEB125-A23C-4C05-84B5-082702396E8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0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9C464AC-EB33-4206-8042-EECE0FD67BE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0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BBD71EE-7AA1-46BE-AF2C-7EEDEA98A16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0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F88895D5-9E34-4313-98AF-5B671559529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0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7A1EF09D-8426-4EC5-94CD-E154341551F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0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F05FA66-5E1D-4413-8BEB-E39147CA693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0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0C4CA751-4C03-4B39-B9BF-AA3E4F1FB35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0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ED6FF0C-0C55-4E92-9EC4-5689EA0B764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0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F26245E6-FA20-4EC2-9522-1A5383E1347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10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DAF5E787-0C60-49A0-828E-E7175D46276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10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2576600-8A0E-425A-B249-C61A353D3A3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10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21949F-E90E-4F6B-9D2C-5DDEB202EC6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10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0A3E409-A923-4A64-884F-A4E505817EC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11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9A300A0-DDF6-4CA3-ADEF-EB0B45E6EA0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11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4013F23B-6202-428A-95AA-18BF6B8C0BE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11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AC2E0BB3-C893-4BC9-8782-132463DFC9F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11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B3AA4A31-A1D6-41FA-B47B-7F44759D1F5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1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5285D14-8ED0-41FE-85D9-DDF0667054B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1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4511F8EC-87E8-44EB-B94C-55EA82D1FF9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1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AA44F2D4-B2C8-4451-950A-16540B117E4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1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0659894-2014-4D26-9D90-64B3AD5944C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1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E5F8EEFA-C7A3-4645-B3AF-9F6F0A499E6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1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67C944A-23E0-42A2-AB1C-47B5FA03D0C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1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A648D13-15A8-4F8C-8ED5-42B1B156DD2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1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2E935E1-0DD9-498E-A2B3-532434D890C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129391</xdr:rowOff>
    </xdr:to>
    <xdr:sp macro="" textlink="">
      <xdr:nvSpPr>
        <xdr:cNvPr id="11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FDBDCE9-1D4D-4242-A846-F56C1C5E106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129391</xdr:rowOff>
    </xdr:to>
    <xdr:sp macro="" textlink="">
      <xdr:nvSpPr>
        <xdr:cNvPr id="11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1D04D1-AD50-486E-88AA-C6468C4D0FA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1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0634F5A-E6E3-4712-B925-3433EDC26E5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1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B06A3AB3-80F9-4D17-A058-8B8583B2960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1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316F5DD0-D464-4A3B-80EA-F4A2729DA4D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1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ECAE7CE-E98E-4D00-8438-D3AC02BEFC8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1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585A46A0-51A4-4715-ADAD-574142042CB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1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8C65DE7-06B1-4A17-A17D-F81C425B4AD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1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87A44B3-906B-4DC5-8F82-9C38EF29134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1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623EFF7-B9FE-4B31-92D6-5EE173B849A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1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1831EAB-4C9C-4462-B874-79E3B879964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1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600CF33-439E-4E40-91C7-046EF9FC774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1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BE1CB7E-D95C-44F9-9720-75EF31C8AB6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1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0C5C9AB5-612E-4EAF-888F-CCF4D1769C4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1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0F858C8-19F0-4C87-A9E8-019A4D6ECF8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1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8060C6CE-93B1-46A9-A9A3-0A1F653D07A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1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0EACA8C7-7BE1-45C1-B6F8-3B311BEA5AE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1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816335D-9DDB-40DB-959B-E8CE31454F4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11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F9165828-F917-4A60-AFFD-44C21DAE220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11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5900663-973A-4F02-A664-391D12C903C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11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41C2007-6F18-466C-BA17-59E36935C8E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11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487CFC7-7509-42BB-921A-F6B655D87EA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11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7F6DEC3B-159C-4FB4-B349-5AB58014B94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11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20FDB09E-CBA0-4A4D-A86F-5582DDC7E9C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11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9509B02-A944-46E1-AB67-376E7254A38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11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B654431-525E-4235-8AEF-2EB4FD8DF4D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1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2D35106-49A1-40D9-B4AC-F2DFBC58580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1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18758B9-32AE-409C-A739-9C2363388E1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1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F30C85C-28E9-43D9-8385-8ACA56DEFD6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1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7D1DC5A-6892-422C-99C4-81A645E7A4D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1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9B738671-21C7-4637-A955-7EAC31FA04A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1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7BFB2EDF-1353-43C3-8E99-46E408CEBDB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1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88B98D3-4D34-4F34-9AAE-116BAEE90AE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1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630A2D-CCFE-4BD1-AB5D-E1D4B1D5799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129391</xdr:rowOff>
    </xdr:to>
    <xdr:sp macro="" textlink="">
      <xdr:nvSpPr>
        <xdr:cNvPr id="11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2295ADF-1277-4809-B1E6-40DDB543317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129391</xdr:rowOff>
    </xdr:to>
    <xdr:sp macro="" textlink="">
      <xdr:nvSpPr>
        <xdr:cNvPr id="11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A8C363C-F76B-4D30-9673-C0E20B78892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1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5012B5E1-9342-4168-AFE5-FD01E23EC1F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1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D8A0DC0-F14A-4DEB-8F14-3503F8A212B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1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9A6E4F2F-5959-440B-A126-5E759D412FD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1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89831915-F314-4531-8828-E3F46E30153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1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0737004-C753-4D3D-8C63-B3C29076719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1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02082DE-4C3C-446D-8FF5-4F2BAF221FD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1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C6CA5390-4AF1-48AE-9519-A81E97C159F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1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2EF7D54A-73DF-4FAB-A9A3-DBA8C75B034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1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3E46D5F4-53FF-4FF7-9AA3-CAA135123E0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1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162A7B6-9A62-46CC-B4A3-2841CADD634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1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EDCC7CD-8A3F-4E3B-9CBB-EA1C3CFC5A2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1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D8D2FF3-96FE-46C7-98EA-55BD4C2B504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1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F1BAB4E-CF1F-4B29-B6B1-92261141BBF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1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3555E7E-BB15-4955-8729-72900315F6F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1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B392854-3BC2-4C00-820F-B868468F238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1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EFED85E-633E-45D8-A4A2-B60AA27D588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11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7A914A22-51B4-40A8-8CC6-1D6745AB99A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11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2B280629-DABE-4B76-A12A-B7E4CB40EF6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11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53392C89-D6A3-4B96-BF09-264FAA96047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11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0287099-41A4-41AB-8E74-B9DEB23259C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11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7FC2D8B3-36C0-4493-99D6-D4ABC04ACA8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11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A85A7D0-351E-4390-9539-6192B9129DF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11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F51D38BD-1350-404B-A49D-772099B301D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11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6B88BFDD-9ACC-463E-9323-A7330ED5618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1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EFC0C0AA-5FC8-446E-963D-B51B2B5EF23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1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1C21B62C-A90B-42D2-B776-470727A35F8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1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0CD2985-E103-4E34-A143-A7F6FD39386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1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CCA83C2-D295-4FA4-90E7-26CA362CAA8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1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E0AFD1D-1DEC-4E90-BCAA-4D0045F19A4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1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038FC75-2CBF-4A1F-926D-1728FB63656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1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0EF5D3C6-9E46-4377-8CB2-A04CC547364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1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E8988D7F-49F6-43A5-A256-36BA5C25006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129391</xdr:rowOff>
    </xdr:to>
    <xdr:sp macro="" textlink="">
      <xdr:nvSpPr>
        <xdr:cNvPr id="11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495C12C-7AB6-4DB2-B7F9-1D4F24925A2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129391</xdr:rowOff>
    </xdr:to>
    <xdr:sp macro="" textlink="">
      <xdr:nvSpPr>
        <xdr:cNvPr id="11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A6CEBFB-8485-4C01-8237-08E4D1EA3D2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1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A24D11B-4D6F-4635-99F7-E4F97E5509A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1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02115D9-EB23-47A4-93AF-6A49F59A21C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1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DE0F45A-BFCD-4AF0-AFAC-36F933DC7C3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1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0E398760-E4F9-44D6-A770-832023AAE43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1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81923A0-BAAD-47A4-8C0B-063998F716D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1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1FD6809-9077-4A48-B70A-FBED4DF5611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1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3E9A2F5-9A3A-490B-96F6-8A6997413AC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1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FD50AD6A-90F3-4766-BC9F-841D2576E6E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1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AA76CA9-5719-4D58-AA9D-0069F9E1676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1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D35F9FB7-9309-4779-8B7F-FBA13E25FD1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1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2883D68-ABE8-487C-AC06-D3D24319101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1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B627D9C-ADB1-4AF9-BE97-C27FF9211D1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1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9EEA2D0-AEC2-48F9-887D-0A1F0B56BF2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1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9780A259-FD4D-4960-8456-0F4BA4D00EC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1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A7879F62-3DCD-44A8-B7C9-838BC007C55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1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ACC8599F-77A0-4164-B900-31274E3DC34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11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AE6831C6-D5BF-4220-8E79-FF655301D17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11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70C2F80-0773-4658-B708-FFA4E93AD0E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12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0C1982D-E955-441B-9DBE-F4253C3B6ED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12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2654DB98-F60E-4985-92B9-4CF7D82D475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12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5C129417-7474-419A-84A1-B7F086E9758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12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C622C6E-BE27-40DC-9991-8BE54892E42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12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CCE01A5C-FFDF-4751-9E90-373E644F442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12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63BB953-3D8A-4A69-B328-C8FD7F8E44D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2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E805768-8689-45B4-BE99-AB207DC84BA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2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ABCA118D-570D-423F-B74C-79CDDA5B1C9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2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7E7EC2A2-EA4C-44E7-AAAF-46D919A2708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2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8F1261A-A696-4DF2-9669-304AD7B6D89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2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324CF64-C103-4B69-B5BD-65FD8FC375F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2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A81B412-7A94-4F0E-B194-5F7B886C161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2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ACF64C8C-4432-46B5-88D6-605A59295B6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2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3838E25-5753-46AC-BFEC-38F7D62B7D7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135741</xdr:rowOff>
    </xdr:to>
    <xdr:sp macro="" textlink="">
      <xdr:nvSpPr>
        <xdr:cNvPr id="12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32404912-C524-4D05-AFEA-D30C15C257D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135741</xdr:rowOff>
    </xdr:to>
    <xdr:sp macro="" textlink="">
      <xdr:nvSpPr>
        <xdr:cNvPr id="12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20A84162-78E2-4F9E-A3D0-D2CD3E9C99D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2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BEE18C2-8DB8-44E7-8564-2A1009A0662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2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93F4AE1-7941-4DE5-8404-0305F759867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2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8F31092-FFF9-4E00-8F52-ED5947FB0C6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2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AB74653-F85B-49CB-A27D-C2729085F16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2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2039F41-9EF6-493A-8050-8361ACF5FBC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2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E215517-AB9C-4D28-A1A1-2A1F28E0E2F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2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2611C612-C8B5-4681-9561-05E388BAC24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2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A17A107-F9C8-4BB7-A26B-D8E72C01B91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2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E4A476A0-0063-4A24-A261-A2507A8424B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2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2989CE8-DBA0-4E00-A127-61F4D64BD1B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2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AABA586-18CE-4AEF-AD9A-B8DAAAA4FE3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2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D780CAA-6FFD-45F0-B4AF-D9E979D11C9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2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75B5A5F-0F02-4FD1-ADB6-266A504927E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2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1403593-75A6-4283-AB35-11A353BA974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2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B87DFF2-60A3-4811-BEB8-08DEF607BAE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2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198A230-23EB-434F-A70A-56F2F06A984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12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FC4BE19D-729C-40D1-9822-C8AD57936F7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12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CABA023-EDE5-40C5-A54C-312336B2226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12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8DC2AE7-F4B7-4DF2-A19E-2187B42A514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12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B1C7B18-2926-47AF-B981-3F815E7A0C5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12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BCC3806-9D87-4B8D-858D-F6B58171EB7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12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F8F87A-FD0A-48E4-BA36-111B6DC1EC3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12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EC40093-1749-4B80-A5BA-150E114550E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12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2AABF2-A397-4856-8253-91A823B90FF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2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2B2F0711-D151-4ADE-AA03-7A18102CA68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2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6F2FFB05-0497-40DA-AA76-13F0916429E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2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567EF939-3101-484A-B249-CAD59CD91BB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2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2A84F9E-F7F0-443B-A6CB-360C8D255A4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2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7E4B17C2-1F76-461E-B49D-87C761C5D5F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2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26AB6757-C4F2-49AA-A491-8C2892FEE74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2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4A69A6FC-F72E-4B73-8124-FAE8DEB5699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2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0584DC7-950F-4D4F-915C-57AFCC553E0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135741</xdr:rowOff>
    </xdr:to>
    <xdr:sp macro="" textlink="">
      <xdr:nvSpPr>
        <xdr:cNvPr id="12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0F1F72E6-F487-4FFB-A26F-4E7D0C86141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135741</xdr:rowOff>
    </xdr:to>
    <xdr:sp macro="" textlink="">
      <xdr:nvSpPr>
        <xdr:cNvPr id="12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90B3B5B-3F94-44F8-A90C-54255DE8B58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2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D15CD995-8658-451E-B7CC-FD46C831DA9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2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F37FC8A-6C0C-4060-9231-997CB380D63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2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3137FEB-32DD-466D-8769-2D074941CDE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2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E50D3CB-A609-4C59-9DF2-5640D2B16A2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2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D7F9C84-AF60-49A3-8BCB-FEDD7D541E9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2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E511A56-10CF-49B5-BF26-8438ADECAED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2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2C1F7B2-BE86-44D9-B037-7BFC48B1E91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2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7FEAB60-E884-4E57-BB9F-E26C5F72034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2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0CAC877C-FE5F-4535-B459-DD5BA1C9582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2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475CB45A-4A07-4A72-BAB9-3B1256FE0B8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2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3C62EA92-FEDE-423D-B457-13F7C00FCA6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2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2C451D74-5112-4A2E-8379-08565C181FF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2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F1FBAF5-64C1-49FC-81F3-5D38184CD41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2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024C26E-AECB-495F-9BAA-4CFD621F701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2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E323EC8-CCC4-40E1-9E12-5541C5AFF92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2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3362780-60BE-48C0-AEA3-ABDA3019A32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12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DF6A2B02-450F-4DF4-B393-6C0ABDF60C1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12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C157B68-8215-44D6-82B0-ABB794D8EE6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12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BE06D9DD-E74B-4D0D-A56A-80842F2D9F7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12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101437A-6E65-478F-829E-CE2D1708F6D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12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EA9A7475-A2AE-40A9-9BE5-E7F97B33581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12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CFFA559-D50E-42B0-B8DF-3A06E486D04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12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A6F8D24-5204-4D44-8436-50163818B7E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12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58E0F10-4D00-4CD6-83FA-D1C68732713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2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C18B69CF-2D8A-428B-98D0-B18144B6BA2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2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0DCD437-A4BF-41B0-890F-4496F685298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2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55642D7F-9435-43F3-84AE-CDC41BFEEAD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2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ACDAAABA-D213-4542-88BB-FFE161010A7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2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C8077B8-811A-4C00-A84B-81EA567EEF1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2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D392501-9FB3-49F5-AD30-EF8BE452F37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2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60877A3-22E4-484A-86D9-15BC2742185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2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A08A9153-A27D-436A-8D91-5023AEAFE7A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135741</xdr:rowOff>
    </xdr:to>
    <xdr:sp macro="" textlink="">
      <xdr:nvSpPr>
        <xdr:cNvPr id="12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25E0DEB2-5BE0-46FA-B3F1-2B6FE6E8AB1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135741</xdr:rowOff>
    </xdr:to>
    <xdr:sp macro="" textlink="">
      <xdr:nvSpPr>
        <xdr:cNvPr id="12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11C57F8-174C-4E3A-94BE-C245AB0687C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2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DA7F172-8927-4CC0-A449-6E3410E284A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2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8AE1B0B-8A3E-4647-8BE8-90330790830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2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D3AD192-89BE-4005-AD21-91CDD20FEB7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2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C6631F7-5A9A-4C27-99ED-72C0530F288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2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97D9B31-5CB8-4281-974D-349BA3D2FCC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2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43DCC6DC-D1C1-4D23-84AC-075952ABB66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2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284232A-E8F5-4D11-8332-6D5BA0E7FE4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2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2EFA4430-CD05-40D6-ABBF-53EF121F89A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2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6F4A4C0-0E0A-451D-BCC0-F4E87EAAEB4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2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64CCE895-F764-477E-9ADA-FE73B68DB8A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2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7CA5006-8B1D-4615-9727-440831F9BEA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2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EC3995A-6F42-447C-B792-24716566BBF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2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4AB2638-D818-4074-96D1-44467F83354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2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3387203-2906-4B43-8BF6-EEE56061F21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2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9A9A449-2205-408F-81FA-6592CD90915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2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5A17304-2DDA-441D-A32F-4AE5D7B5C2B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13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F2C207E6-41D8-4D50-A338-FCB70CAC285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13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4BC48C-65AC-44F0-9774-C57C8070292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13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EFD54F58-6AB7-4204-B378-626118A99A3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13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5464280-2C70-43CA-B312-1D9BA20F7A3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13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3957D93-FABE-4684-832C-F10A030F42E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13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B1F1259A-0211-46C7-8B23-4BBED8E38FD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13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CE2CAC8-A083-45D7-8439-F482806E5CE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13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B79FC36-840D-4249-BD79-AF4AA4C6A28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3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B2F363A-7352-419D-AB50-D686D2CBF16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3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654235D-6D0A-464A-82E9-814EC9790C1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3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5931ECF4-431D-43EC-8C17-8DFD641F3C3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3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8628FDE-36A7-48E8-AAAA-CB6FCA86B0D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3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D6BFADA-34FF-4105-AC5D-D53028A066E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3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75F17E91-3E66-4909-BBE0-2716E5BEC06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3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4F61D97-000E-412E-988F-168FF044174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3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70360FE-723A-4E0F-8613-2FDC46FCD35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135741</xdr:rowOff>
    </xdr:to>
    <xdr:sp macro="" textlink="">
      <xdr:nvSpPr>
        <xdr:cNvPr id="13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EF48627-8DE7-40CE-9B05-A87FF69ABD7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135741</xdr:rowOff>
    </xdr:to>
    <xdr:sp macro="" textlink="">
      <xdr:nvSpPr>
        <xdr:cNvPr id="13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A1AD3C0-7BF8-42A7-8D2B-71203ABD238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3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A015A63-AE13-4C85-A303-84E78FFF958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3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4B31BFBF-284E-48E2-96DC-E1D3255C22F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3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156891BF-7CDE-426E-9A51-42FFC3B9126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3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431DF380-B4DD-4EFB-A3FE-7FCCECE3EE3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3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03ABBE7-DE13-4E46-AA86-2A0F037606A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3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1A194B7B-1732-452C-9A05-849073ED062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3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F339707-BEFC-4C00-B82B-74D62BB7077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3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0DF59AB-D8FE-418D-A80A-75FEFA960B4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3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2C6265C-499B-44EB-B0ED-048AA71F6F3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3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79D57A8-F5E8-4BDB-ACEF-FDD1506A958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3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3903DB2-7E6B-40A8-9CC8-81F386E9137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3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B838EF1-9D3B-4CB0-8198-621E46FD015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3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5A8CE29-6C96-4B7C-8BA4-05460A07D01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3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6989029-655A-4FF7-B43F-D8F67AFCE3A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3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2509E7AA-557C-48BF-93AF-8E6F65308B4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3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151C7915-1C67-474B-B9DC-CCD8587B309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13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7B076318-08B7-4E0B-A444-FE83C29D338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13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ECBD61DC-32A2-4C2E-A853-182CB196AD3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13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D7999B15-EE15-40F0-81F0-ACC33A19AC1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13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94EEB89-6743-4FE3-A7EF-2CC909CC1CD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13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7D0D06CB-4930-4971-94CE-0B76811BABE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13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4E17E56F-058D-4F7D-A600-B126FFD38C5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13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1256164B-A6C9-4224-ABA2-41D7B738611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13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1C45ED-F966-40B0-AC00-472837831A9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3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40AD3C86-4F1D-4576-B2C3-82942B19618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3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5E20AD4-ACE8-479D-8428-2BC1441B1E3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3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416719C-1242-4656-813D-E6F1A5DCBF1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3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A630A30-1137-4E88-924C-AD4D6ED69D9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3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A2DBE3EF-DD44-432E-9B8F-7CB54011E1D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3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CDBC280-3BA0-403C-9544-24229FBB3BA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3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1F7788A-4724-4935-BF6A-C8379366FE0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3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637D5E5-6B30-4639-9B91-94198DFF7F3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3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F204D38F-01D8-47F3-AAB9-D7D1624EF87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3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2FEE66C-8096-4370-8C28-FAC1FD4A8D8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3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2F96E75-B053-450C-943A-D323412ADF4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3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2FC99C5E-1060-4F36-9488-3E2F689F362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3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9FD295A-18B3-4952-9B09-9BBA85F4771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3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E4F712C-6E45-4D86-B86F-19C8FAECC7F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3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C0248DB6-703D-46C9-8F23-CCFC3C6C2EA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3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B680EFA-E5AA-43D7-A171-ABB325A344B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3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7AC4EA81-8AC6-46C8-838D-0F0A2C14892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3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19D7729-5872-41C2-9D2D-991D677771B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3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3331D167-0230-4678-AB0B-926BBC9E227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3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25F78F85-F030-434A-9A55-02C255A4FCD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3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514DF18-AC53-40BF-A7B3-AD1BB3D364D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3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09E3ABD0-D936-4A1B-B01D-771EF9F9BE6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127277</xdr:rowOff>
    </xdr:to>
    <xdr:sp macro="" textlink="">
      <xdr:nvSpPr>
        <xdr:cNvPr id="13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DD0D753-55EF-4171-AE45-3891416EA48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127277</xdr:rowOff>
    </xdr:to>
    <xdr:sp macro="" textlink="">
      <xdr:nvSpPr>
        <xdr:cNvPr id="13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E7F58589-7E20-4371-8166-2C4239356D7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127277</xdr:rowOff>
    </xdr:to>
    <xdr:sp macro="" textlink="">
      <xdr:nvSpPr>
        <xdr:cNvPr id="13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596DBE8-E49C-4CD4-BFAA-6901C96CADC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127277</xdr:rowOff>
    </xdr:to>
    <xdr:sp macro="" textlink="">
      <xdr:nvSpPr>
        <xdr:cNvPr id="13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730EC68-3F90-42CC-902C-698187F848D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136242</xdr:rowOff>
    </xdr:to>
    <xdr:sp macro="" textlink="">
      <xdr:nvSpPr>
        <xdr:cNvPr id="13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9A5AF60-6C60-4CA5-B953-2AD95DA4FFA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136242</xdr:rowOff>
    </xdr:to>
    <xdr:sp macro="" textlink="">
      <xdr:nvSpPr>
        <xdr:cNvPr id="13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75181F8-92A3-4464-B5B8-D26165CFA43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136242</xdr:rowOff>
    </xdr:to>
    <xdr:sp macro="" textlink="">
      <xdr:nvSpPr>
        <xdr:cNvPr id="13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FF61946D-3C04-4A13-ACDC-36B3DAC8E15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136242</xdr:rowOff>
    </xdr:to>
    <xdr:sp macro="" textlink="">
      <xdr:nvSpPr>
        <xdr:cNvPr id="13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AA2EF26-9552-4FF2-8476-09ABB230B67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3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74A79A0-4D6E-4837-B65E-84E07612E47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3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FD42306-86A0-4000-BE3C-487FFE74A39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3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1A8920C-C9F1-4E31-ACCA-0C527271276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3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3EE7D17-A947-431B-A90E-18517BD3073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3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C3EAEE8D-2391-43C9-BD70-E5817E54B48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3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D476CA6-31C8-408D-A12F-6B876B44DBB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3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55D3A5A-3FC5-418A-A456-697AFD08C8D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3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E55A9B09-7D77-41F5-9605-7CB3FE5B116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127275</xdr:rowOff>
    </xdr:to>
    <xdr:sp macro="" textlink="">
      <xdr:nvSpPr>
        <xdr:cNvPr id="13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8162A67-A253-4B95-BA06-D6B3031E2DB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127275</xdr:rowOff>
    </xdr:to>
    <xdr:sp macro="" textlink="">
      <xdr:nvSpPr>
        <xdr:cNvPr id="13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F98D598-D500-4080-8DBA-439698FD631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3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8DD3666-A04E-46E8-9690-0B7F793475C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3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1150776-FEC1-4670-8816-80A80D3A0F3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3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C729802-CAE7-40B1-A2D0-D611A94968E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3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06E5CC2D-C686-4CCA-9DE5-F9831EB1A32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3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6581363D-B115-44B1-8BF4-F55AEF41384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3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EBDCF96-B49B-4152-B07C-D386F68F48C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3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4B7F26D-E0AB-4E3C-BD86-A776143DA58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3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2395973-EB33-4D6F-A083-F86F61A576B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3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2F003F10-A015-4486-89A2-53B393DD893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3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5E21B1E-D466-4BDA-B5D9-4F0F4539B41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3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F818D0CC-357D-4A79-A35A-194E2D7F77F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3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A170B4D-710C-4C96-9E2D-06326319A8D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3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2624BD6-F53D-4BEB-88B8-8F3F836B495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3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C9E9DB4-33C3-458B-9C12-FFBED4F64C7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3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16FD97-4133-407E-B464-FC4763A0F27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3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5F29EB6-4710-4486-85B0-0C876CBFB0C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127277</xdr:rowOff>
    </xdr:to>
    <xdr:sp macro="" textlink="">
      <xdr:nvSpPr>
        <xdr:cNvPr id="13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A21C470-BF0E-4B20-89E9-7A50F3F6944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127277</xdr:rowOff>
    </xdr:to>
    <xdr:sp macro="" textlink="">
      <xdr:nvSpPr>
        <xdr:cNvPr id="13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F75E729-F294-4E4D-BA91-CBCCBA3A953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127277</xdr:rowOff>
    </xdr:to>
    <xdr:sp macro="" textlink="">
      <xdr:nvSpPr>
        <xdr:cNvPr id="14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60498FD-39CA-462D-97D6-D8F2A443D5F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127277</xdr:rowOff>
    </xdr:to>
    <xdr:sp macro="" textlink="">
      <xdr:nvSpPr>
        <xdr:cNvPr id="14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F4B94DC-A902-4622-9357-4BE68EEB4DD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136242</xdr:rowOff>
    </xdr:to>
    <xdr:sp macro="" textlink="">
      <xdr:nvSpPr>
        <xdr:cNvPr id="14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D5A8775-0B40-4E8D-B4ED-D6739E55C04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136242</xdr:rowOff>
    </xdr:to>
    <xdr:sp macro="" textlink="">
      <xdr:nvSpPr>
        <xdr:cNvPr id="14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DECE69E-4303-4CCD-AAB7-12BA261342A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136242</xdr:rowOff>
    </xdr:to>
    <xdr:sp macro="" textlink="">
      <xdr:nvSpPr>
        <xdr:cNvPr id="14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A53FA3E-5E27-4899-B569-FA741A482CE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136242</xdr:rowOff>
    </xdr:to>
    <xdr:sp macro="" textlink="">
      <xdr:nvSpPr>
        <xdr:cNvPr id="14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40B150E-EEA7-45FD-A668-A8CD23406EE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4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1692D2E-AD82-4272-A832-084C99A00C8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4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45A6FA90-21A6-4A22-B598-AA05528CC7E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4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A55859DF-9537-43C2-925B-157C6386510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4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E801CA4-7582-43E8-A882-F4C8539A645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4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DAF07683-422B-483D-A59E-DD6D82A8AD3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4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02AE4FF-B9BC-4A43-89C4-808F729BE38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4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530890A3-BD96-4921-BC1D-F8BD1D19D42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4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563F9E6-7BB3-42BC-A093-756206D67E5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127275</xdr:rowOff>
    </xdr:to>
    <xdr:sp macro="" textlink="">
      <xdr:nvSpPr>
        <xdr:cNvPr id="14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B705AAD-3816-4A47-A06D-B4D67B07B2A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127275</xdr:rowOff>
    </xdr:to>
    <xdr:sp macro="" textlink="">
      <xdr:nvSpPr>
        <xdr:cNvPr id="14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4A605823-E46F-4BD2-84F9-490F5FB5DE4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4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A44D1DE-5D50-4CDD-B8E8-8BCA86E3BA4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4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142734E-F753-4F85-A5DF-2DFE9B814C6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4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8213D5C-5812-420D-95B9-9551E5B52B5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4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D6A65A4-086B-4A20-A7AD-042D0B102A7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4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A3F6E8C-5510-4FDC-8CDA-B18A71F6B8D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4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4AC09F1-E5AC-43E2-B3D7-51E29A4BACA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4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24E3A869-8167-4091-A747-A010086220E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4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7FC241A2-B7C8-4F45-B1EE-F97C87B484C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4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63285EE9-61C0-47B8-BF0E-937C08E0AFE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4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33293977-120D-4E38-A016-EE2BCE150C8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4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C9FD74-6E75-48F6-B6F3-43BC35AFCBD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4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624C0D0-A983-4866-B3CA-8993A40C6A1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4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F0614CE-0E1F-4794-A3A2-FE896D5673F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4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3678B52-AC7F-4F5B-A210-BE14885F5F1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4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22D12902-F03C-4A51-B859-7F161EFF9EB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4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6553850-D09C-42AF-85F6-C667B43F0AE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127277</xdr:rowOff>
    </xdr:to>
    <xdr:sp macro="" textlink="">
      <xdr:nvSpPr>
        <xdr:cNvPr id="14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DC5A4F3-99C8-43BF-8CDA-97B9BF072F5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127277</xdr:rowOff>
    </xdr:to>
    <xdr:sp macro="" textlink="">
      <xdr:nvSpPr>
        <xdr:cNvPr id="14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364393D-8C38-469B-A6BC-AAD39E6965F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127277</xdr:rowOff>
    </xdr:to>
    <xdr:sp macro="" textlink="">
      <xdr:nvSpPr>
        <xdr:cNvPr id="14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7E9DEDA-CC36-4537-89F0-8662204D998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127277</xdr:rowOff>
    </xdr:to>
    <xdr:sp macro="" textlink="">
      <xdr:nvSpPr>
        <xdr:cNvPr id="14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EA59B23A-F672-45D0-A1A9-E77B5F88AE9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136242</xdr:rowOff>
    </xdr:to>
    <xdr:sp macro="" textlink="">
      <xdr:nvSpPr>
        <xdr:cNvPr id="14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4D77EAFE-FE9E-4F59-822E-900484239F6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136242</xdr:rowOff>
    </xdr:to>
    <xdr:sp macro="" textlink="">
      <xdr:nvSpPr>
        <xdr:cNvPr id="14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A7340A5-8403-44CC-A97E-CD053BF6252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136242</xdr:rowOff>
    </xdr:to>
    <xdr:sp macro="" textlink="">
      <xdr:nvSpPr>
        <xdr:cNvPr id="14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B14BBA89-88CC-44AB-A517-1B7037FF16C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136242</xdr:rowOff>
    </xdr:to>
    <xdr:sp macro="" textlink="">
      <xdr:nvSpPr>
        <xdr:cNvPr id="14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E2D00498-168E-4121-8737-FA0559A7F71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4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81CE2B4-445F-4D31-B37D-C195BFE59DD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4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694C7EC-7A3B-471E-B3DB-C0B4CDE1C60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4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29167381-9403-493E-97B6-9C15A01931A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4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97492596-8F2A-409D-8D55-552C5E8029C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4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EAFA7C60-372E-4C7D-93AB-1936A431338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4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7D96CE2-D211-43C3-95BE-37EB0E88921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4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38D2B18-96EE-433F-9669-16845BF2438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4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78AA908-98B8-4B3B-9B6A-64E8A3DD677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127275</xdr:rowOff>
    </xdr:to>
    <xdr:sp macro="" textlink="">
      <xdr:nvSpPr>
        <xdr:cNvPr id="14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B22A0A85-6782-442E-A382-EF75DAD0762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127275</xdr:rowOff>
    </xdr:to>
    <xdr:sp macro="" textlink="">
      <xdr:nvSpPr>
        <xdr:cNvPr id="14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6DC9375-95A9-410C-AF22-83FC7D7CB3E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4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CF9F3A8-4D95-4587-856D-5C989E678BF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4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8C6BB27D-164D-483A-A6E2-34C83BAD59F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4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3EBC04B-1322-4E1D-AAC8-289CC92E489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4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C92F6C8-9D03-4D0D-A3C0-97A0A09E89D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4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6CCFF160-9C48-42FC-BE8A-AB908BE02CF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4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11303A-9E45-47BD-9C29-3490D6A9C92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4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6143F118-B652-43D9-9829-E3A9770C6D1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4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5B00491B-A017-4C6E-ACAF-67DB320D45C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4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07B4C39-0650-4E01-AECA-9EA839CC67E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4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E165FF80-5CBD-4B62-85FA-76ADFB47391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4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83BEF69-B38F-4655-9F6A-00C280B2CE1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4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8BD516C1-669B-49F5-97FE-D9E61CDC1B1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4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5AF239B4-86F6-44B3-AABB-8CF377A0654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4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EE51CB9-20EF-476F-AAD8-A6BCC64434B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4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7900379-D566-4767-BD67-05D94FB767A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4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37D9840D-B07E-46DA-9119-36390F5F893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127277</xdr:rowOff>
    </xdr:to>
    <xdr:sp macro="" textlink="">
      <xdr:nvSpPr>
        <xdr:cNvPr id="14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AEA89658-A067-45B4-BD46-2B4713CB9D3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127277</xdr:rowOff>
    </xdr:to>
    <xdr:sp macro="" textlink="">
      <xdr:nvSpPr>
        <xdr:cNvPr id="14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0E2736E-99BE-4603-9A06-B145A4C25FA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127277</xdr:rowOff>
    </xdr:to>
    <xdr:sp macro="" textlink="">
      <xdr:nvSpPr>
        <xdr:cNvPr id="14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BBC8127-DAE5-454F-B39E-49104226767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127277</xdr:rowOff>
    </xdr:to>
    <xdr:sp macro="" textlink="">
      <xdr:nvSpPr>
        <xdr:cNvPr id="14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B12667F-1A96-4964-BA4C-24ABAAA3C39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136242</xdr:rowOff>
    </xdr:to>
    <xdr:sp macro="" textlink="">
      <xdr:nvSpPr>
        <xdr:cNvPr id="14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F4775E97-30B7-4CCD-9954-09FE59D521B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136242</xdr:rowOff>
    </xdr:to>
    <xdr:sp macro="" textlink="">
      <xdr:nvSpPr>
        <xdr:cNvPr id="14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940C5C1-EFED-4C84-B667-CA06679F1A5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136242</xdr:rowOff>
    </xdr:to>
    <xdr:sp macro="" textlink="">
      <xdr:nvSpPr>
        <xdr:cNvPr id="14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261CBB4-C6B9-4801-8215-618988CB832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136242</xdr:rowOff>
    </xdr:to>
    <xdr:sp macro="" textlink="">
      <xdr:nvSpPr>
        <xdr:cNvPr id="14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D513D58-2679-4588-BC6C-92B546ED7AE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4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7219BFD-8B3D-4EDE-8502-5122BD8079E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4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F07B8B68-4F5A-4C1A-B9B7-237E7CFC9EC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4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F19A0A4-26F0-4817-8A79-93E1D87C6CB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4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C837675-E77F-42B5-91C1-9381B51D489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4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BEACA4CC-C109-4DE4-8701-E98CBE76D8D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4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D08C0C5-4B4E-43B4-BFFD-658B469049D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4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54BAA4E0-7104-4F28-9D8B-A2037BB9EF3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4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3FCBB98-C702-48DA-A3CC-D09035629CA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133625</xdr:rowOff>
    </xdr:to>
    <xdr:sp macro="" textlink="">
      <xdr:nvSpPr>
        <xdr:cNvPr id="14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A2F7EFAA-85E4-4F83-8FAF-755B5CA1D2C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133625</xdr:rowOff>
    </xdr:to>
    <xdr:sp macro="" textlink="">
      <xdr:nvSpPr>
        <xdr:cNvPr id="14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3F791C3-FA50-4D7B-BDD6-1EC4ED6B62D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4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833246D3-A087-463A-99E6-DF972470251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4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2105420-F69C-4A31-B255-63A3612A420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4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7935B87-698D-49D5-929C-C71D42F6884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4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C698FA0-EDDE-4717-852D-B369C927FB9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4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6C0A0E02-1FDC-477B-9038-C4D2227ECDA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4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70E17BB-68DB-43CD-BF32-033E401792F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4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1456569-2A7D-4C22-B81C-B402CFBC987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4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690B0B09-E973-4808-B06B-E594D44E909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4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F456237-F026-4D36-A280-25EAE98C10F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4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B8D8621-95C0-4334-BD4C-4F963744E6E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4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F1E8F7F-A317-40A0-BDF9-C99A7DE1165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4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4173F831-CBB3-4258-9AE2-0B25A146CC8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4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07A8ADF-E876-4725-8AA6-525059E3B31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4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22B2EA12-07E1-484A-8DE4-1E4E239C6C0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4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8AAA6B7-7746-47B4-BB47-EBA14A3855D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4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E2D82A7-9C81-41FE-9FF2-EC4C8FCDA78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133627</xdr:rowOff>
    </xdr:to>
    <xdr:sp macro="" textlink="">
      <xdr:nvSpPr>
        <xdr:cNvPr id="15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224EF6D-9CF2-49DD-ADA2-550E6DB424E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133627</xdr:rowOff>
    </xdr:to>
    <xdr:sp macro="" textlink="">
      <xdr:nvSpPr>
        <xdr:cNvPr id="15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4783229-29FA-435F-BDD9-44AFE224D55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133627</xdr:rowOff>
    </xdr:to>
    <xdr:sp macro="" textlink="">
      <xdr:nvSpPr>
        <xdr:cNvPr id="15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45BAC712-B16F-4A4B-B5C2-DE163317D0E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133627</xdr:rowOff>
    </xdr:to>
    <xdr:sp macro="" textlink="">
      <xdr:nvSpPr>
        <xdr:cNvPr id="15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1C131BA-3A74-465D-8B79-0A97C4F73F8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133067</xdr:rowOff>
    </xdr:to>
    <xdr:sp macro="" textlink="">
      <xdr:nvSpPr>
        <xdr:cNvPr id="15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8255E7B1-A59D-401F-8549-509DC8A64CA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133067</xdr:rowOff>
    </xdr:to>
    <xdr:sp macro="" textlink="">
      <xdr:nvSpPr>
        <xdr:cNvPr id="15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2D787DD-72AD-4C23-A5EE-4FE6A73B76D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133067</xdr:rowOff>
    </xdr:to>
    <xdr:sp macro="" textlink="">
      <xdr:nvSpPr>
        <xdr:cNvPr id="15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D73A5A48-759D-4F38-8AA5-200D5138BA7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133067</xdr:rowOff>
    </xdr:to>
    <xdr:sp macro="" textlink="">
      <xdr:nvSpPr>
        <xdr:cNvPr id="15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EE5E593-899D-4A48-B851-AE5E5FF3A51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5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2A729B6-6ABC-4972-87BF-FDB86A87210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5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3BB73EC-DC60-42F5-97CC-AC2885E3317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5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E0D92F8-4C89-44EE-8287-960646BEEC2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5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516487-0C8E-4CBF-A77C-F9B15AF3146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5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4E359AB-53C9-4B32-BC7C-D53165D0F08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5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F1696AC-3104-40C0-93DD-6034F42E6A1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5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79499D1D-8766-4551-94CD-5EACC55F90C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5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9B9482F5-A7FF-47B4-827C-4F005C1FBAD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133625</xdr:rowOff>
    </xdr:to>
    <xdr:sp macro="" textlink="">
      <xdr:nvSpPr>
        <xdr:cNvPr id="15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68A101B-B2A9-457A-8CCF-D6FB52920C1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133625</xdr:rowOff>
    </xdr:to>
    <xdr:sp macro="" textlink="">
      <xdr:nvSpPr>
        <xdr:cNvPr id="15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16634A1-8628-4713-B3CC-8EE1BEE93DC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5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4F311AE3-B14E-4A81-86DF-5009739F337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5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B021156-D51D-4590-BFE1-2DD72268DF9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5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FA2D7C97-2EFA-471B-89BB-6BADA43373C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5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DE251F2-18E2-4369-851A-A03159E6A39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5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BCF2A12-2FA4-4C3D-8359-1AC69EE7EA7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5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04094F4-B9A7-43C6-BF13-87F0A691585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5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EE70F817-43D0-4355-A370-6214F71FB0C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5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C276D7C-7AEF-41E9-B523-EF60376D6A9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5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77D30735-A6CC-4146-B7D7-5709220A85E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5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10927DB-3BEB-403D-B5C3-0AFCE2C8929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5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9E8E5DD-3B1F-402F-8C4E-218655F5BC0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5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55A92E2-2965-44C1-8738-8DFB0705041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5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2B38D69D-5F72-4770-ADB9-390B59CC4A9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5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EF2059A9-7B05-48BA-8B6B-ACE50768810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5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4ED7AB77-5C9D-4CFA-93F9-D9D020BA529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5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CD6E123-2D12-44EC-8DE1-1857608D3FA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133627</xdr:rowOff>
    </xdr:to>
    <xdr:sp macro="" textlink="">
      <xdr:nvSpPr>
        <xdr:cNvPr id="15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3E9E0F9-ACD2-4A73-841A-0734D1E73F2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133627</xdr:rowOff>
    </xdr:to>
    <xdr:sp macro="" textlink="">
      <xdr:nvSpPr>
        <xdr:cNvPr id="15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E74C944C-BD70-4548-9545-7A408C50E86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133627</xdr:rowOff>
    </xdr:to>
    <xdr:sp macro="" textlink="">
      <xdr:nvSpPr>
        <xdr:cNvPr id="15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A78DA98B-4BD2-4723-B67A-6D2C491DC9D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133627</xdr:rowOff>
    </xdr:to>
    <xdr:sp macro="" textlink="">
      <xdr:nvSpPr>
        <xdr:cNvPr id="15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449764D-3D80-40CC-9663-069766F5391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133067</xdr:rowOff>
    </xdr:to>
    <xdr:sp macro="" textlink="">
      <xdr:nvSpPr>
        <xdr:cNvPr id="15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6FCDE276-885F-4E1D-BC47-DFF35110A0B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133067</xdr:rowOff>
    </xdr:to>
    <xdr:sp macro="" textlink="">
      <xdr:nvSpPr>
        <xdr:cNvPr id="15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F77D535D-2691-41F8-B97D-0447C9FAA8D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133067</xdr:rowOff>
    </xdr:to>
    <xdr:sp macro="" textlink="">
      <xdr:nvSpPr>
        <xdr:cNvPr id="15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BB15884-FB5C-4B9C-952E-50C4B551602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133067</xdr:rowOff>
    </xdr:to>
    <xdr:sp macro="" textlink="">
      <xdr:nvSpPr>
        <xdr:cNvPr id="15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4C57E445-E0FA-4661-94A5-327B2CBEC85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5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5EE5938-3CE7-4F0D-A165-51CEDF88F22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5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3A9FB07-A635-4CF9-BEB2-73C7D84FE01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5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A8CB954-33EE-4C6B-9B60-FD81B463528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5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49FEFA61-5EC9-4361-9BC5-C6393FE3EB6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5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81FE2EF-439D-487E-AC54-4C0B89350DF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5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58C73B13-17A5-43BA-B921-22E3D5CCE7D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5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BFFDA0B-84A4-416B-9873-06F7CB3EA7D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5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781C7F2-F3C8-49F7-AAF8-FB747BAA062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133625</xdr:rowOff>
    </xdr:to>
    <xdr:sp macro="" textlink="">
      <xdr:nvSpPr>
        <xdr:cNvPr id="15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D9D8277-2637-4634-BE85-38B92C4DAB3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133625</xdr:rowOff>
    </xdr:to>
    <xdr:sp macro="" textlink="">
      <xdr:nvSpPr>
        <xdr:cNvPr id="15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0FAE2B1-1940-4007-98C2-947C24EFC90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5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A28B4AA-B26B-470C-9CDB-9F82940F8C8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5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1FB8D753-5F35-4C60-8B6B-FD0AAB8A4DB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5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7A6F5931-6711-4DED-AC2A-5198F75A24E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5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275486DE-FF88-4B90-BB9B-3284AC974DF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5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9B4F652-92AE-4E6A-B690-0C25C648E7C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5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3EDC7D-CA66-4B7B-8BCD-6873E11C206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5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821512-9768-4647-B65E-3F5C39037CB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5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6DE7F2E-ED12-4168-BF25-E1726D3F76A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5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C16DF44-6356-4237-A7CE-8169DBE9952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5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7EC31FE-2731-4AD0-A5B0-A6D3953B819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5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AFC9155-6B7C-44D0-89D2-A7E36E7F87C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5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131C1756-0CF8-4362-817D-C168945CC4B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5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02079FD-0663-4142-9664-9F42C4C747E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5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8D5562E-A4C6-47E6-8A86-8900D4538D0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5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EED8812-FEAC-4BE3-B84A-91EA89E5CA7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5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D08D8CE-6CE5-42CE-A36B-1633002EDA2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133627</xdr:rowOff>
    </xdr:to>
    <xdr:sp macro="" textlink="">
      <xdr:nvSpPr>
        <xdr:cNvPr id="15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60F3971-B473-4653-ABAF-019482C88E9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133627</xdr:rowOff>
    </xdr:to>
    <xdr:sp macro="" textlink="">
      <xdr:nvSpPr>
        <xdr:cNvPr id="15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D6866F1-0E0D-42F2-88A8-2C20A3DFC67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133627</xdr:rowOff>
    </xdr:to>
    <xdr:sp macro="" textlink="">
      <xdr:nvSpPr>
        <xdr:cNvPr id="15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1BF3B15D-EDC8-4951-BDEE-761E9B77296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133627</xdr:rowOff>
    </xdr:to>
    <xdr:sp macro="" textlink="">
      <xdr:nvSpPr>
        <xdr:cNvPr id="15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75CE8267-1A9E-413A-9671-323CFA356CE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133067</xdr:rowOff>
    </xdr:to>
    <xdr:sp macro="" textlink="">
      <xdr:nvSpPr>
        <xdr:cNvPr id="15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93CFB7D4-4DB0-4904-8128-6FCB31DAEA6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133067</xdr:rowOff>
    </xdr:to>
    <xdr:sp macro="" textlink="">
      <xdr:nvSpPr>
        <xdr:cNvPr id="15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1D23948-47AB-4EF3-B4CB-9B2B7851771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133067</xdr:rowOff>
    </xdr:to>
    <xdr:sp macro="" textlink="">
      <xdr:nvSpPr>
        <xdr:cNvPr id="15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2ADDCF0-55A7-4DBB-8C0D-DA89AF6A82A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133067</xdr:rowOff>
    </xdr:to>
    <xdr:sp macro="" textlink="">
      <xdr:nvSpPr>
        <xdr:cNvPr id="15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42099CF5-EEFC-4D84-AC94-929377794F4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5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C0CAF17-3A51-4D02-A939-99CAE19918C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5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C72156-2A2D-4CC5-BFC8-E2E907C1818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5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090A705B-780A-4635-B800-EA00EFAF587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5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476D7488-0D10-482E-BAF9-A58D07FD86F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5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9AAFFD18-C82C-411B-BE61-EFA07EC70C7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5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EB27052-828A-433A-B344-DB59F7B8324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5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9A4E4A5-B3A4-43EE-B02A-95A1FDD2FDA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5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9D5E0C5-CE4D-4D21-97A7-34B674F778D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133625</xdr:rowOff>
    </xdr:to>
    <xdr:sp macro="" textlink="">
      <xdr:nvSpPr>
        <xdr:cNvPr id="15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E4D735D7-7EF5-4E2E-B794-F7418E27EA9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133625</xdr:rowOff>
    </xdr:to>
    <xdr:sp macro="" textlink="">
      <xdr:nvSpPr>
        <xdr:cNvPr id="15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AA85627-2F74-4374-BB08-4F279C9962D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5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A030591-F199-4E4A-99A3-C1535964A0B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5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2A5551A-F2C7-4B40-9329-21C74B64185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5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9F5149C-0C10-47CE-936E-6301E388657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5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46CBE98B-3A51-4912-91B0-CBD62A6C5C0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5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6A3506E-C2A6-435F-B9CF-40DEC7C3B33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5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EE447E7F-F5C2-48D1-9C30-641BCD5E759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5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E2A239FA-E8B3-4B30-B864-DDF5E82C488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5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9C09DE5-BA83-4E5F-A94C-66BE39F532C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5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A67970F-7F72-4EC3-8D0A-2D7DC758D4C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5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BA4E444C-FB76-49D2-8BC8-14B266B6463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5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68C8647-0326-4875-AD8B-7D20F2255E5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5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16C8EF0-A7DE-4CA2-915D-AE29DBC48F1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5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56AF713-4614-45F6-8521-CB0527E76C7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5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B1FD50E-4A7A-4AC2-9355-9B93E35C716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6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1E5FDAD8-E1DD-4D61-8241-B8236D207A0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6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93E72A2-AA81-48B8-BA49-8CB6BDE15C3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133627</xdr:rowOff>
    </xdr:to>
    <xdr:sp macro="" textlink="">
      <xdr:nvSpPr>
        <xdr:cNvPr id="16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F88DD828-50B7-4EBD-A004-B3AEFB3990C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133627</xdr:rowOff>
    </xdr:to>
    <xdr:sp macro="" textlink="">
      <xdr:nvSpPr>
        <xdr:cNvPr id="16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9864C20C-49C5-46CD-89EA-2FE2B23AAD2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133627</xdr:rowOff>
    </xdr:to>
    <xdr:sp macro="" textlink="">
      <xdr:nvSpPr>
        <xdr:cNvPr id="16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636E39-6FC6-4BF5-883A-0C5455D6284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133627</xdr:rowOff>
    </xdr:to>
    <xdr:sp macro="" textlink="">
      <xdr:nvSpPr>
        <xdr:cNvPr id="16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01F4B5F-E8FE-42C9-9C0B-23D9E8EB806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133067</xdr:rowOff>
    </xdr:to>
    <xdr:sp macro="" textlink="">
      <xdr:nvSpPr>
        <xdr:cNvPr id="16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414D1960-5228-4599-82EF-22C0992A0B0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133067</xdr:rowOff>
    </xdr:to>
    <xdr:sp macro="" textlink="">
      <xdr:nvSpPr>
        <xdr:cNvPr id="16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917C511-05BF-4B68-8E91-A71CD46D6B4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133067</xdr:rowOff>
    </xdr:to>
    <xdr:sp macro="" textlink="">
      <xdr:nvSpPr>
        <xdr:cNvPr id="16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0B1C5460-D9D5-4C93-A0DE-B5802D59763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133067</xdr:rowOff>
    </xdr:to>
    <xdr:sp macro="" textlink="">
      <xdr:nvSpPr>
        <xdr:cNvPr id="16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9BF0A5D-80AB-4FF6-922D-A714A5F3680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6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384EDB3-391A-4FD9-BC29-135B154C07F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6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67612D-74FD-4513-96A7-B418D56F835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6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A34876E-BC34-4B33-ACD2-D49D5E552FA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6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D7B2869-7A99-43A4-B5EC-173AD5AFDC5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6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527C23C-2FAF-4F1A-8DA7-89E77D6AB07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6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E80C0DC-01CF-4BC9-9E94-EA746A5C1D4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6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5AA771F0-0ABF-4701-9DD5-22AE7C9DCA6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6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E9D200F-84D3-46D8-804F-4802DBDE794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6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0487E35D-8FB5-4255-9DBC-CA04341D55E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6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6DBD9B3-4073-4AE3-A25C-6798EB2F8C5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6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1092F69-1911-4D5A-8A32-302994B0357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6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31486FA-40CC-406C-8AD5-392556318C2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6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00E4540-7873-47F3-A3A1-4FFE8271D79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6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1B1537D-D746-48BF-9196-2015BE60C5F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6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C737412-CF42-46BE-B72C-4E7A9486D6B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6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83BD499-F1B6-4C14-AE4F-B526F53F622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6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A92B0819-7ECA-4398-9CD4-8BE4B59B50C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6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8BA7921-BD19-4336-A0DD-14B7D63693E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6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BFA8DFD0-AC1F-4198-8ABE-9EAD524949A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6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594784D-B1B6-4659-A641-8273F33DDB0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6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C084397-CE96-4BC5-86F8-A5FA386F82F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6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A3DBB7D5-F10E-41C5-B05C-72893528089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6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54A3D3D6-B794-46A0-92D7-8B77E02416E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2"/>
    <xdr:sp macro="" textlink="">
      <xdr:nvSpPr>
        <xdr:cNvPr id="16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71C8E5E5-32A9-4F17-88C2-6AA9EC4B5BF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2"/>
    <xdr:sp macro="" textlink="">
      <xdr:nvSpPr>
        <xdr:cNvPr id="16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E5F3F02-6CFA-48B1-B3B5-239E63F82CF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2"/>
    <xdr:sp macro="" textlink="">
      <xdr:nvSpPr>
        <xdr:cNvPr id="16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CBAE3FC6-A18B-4B55-A480-A7264171BA8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2"/>
    <xdr:sp macro="" textlink="">
      <xdr:nvSpPr>
        <xdr:cNvPr id="16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0C2B4D3-025B-45DA-80FB-5AB81AB13A7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16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D202ABE-B6EB-40D3-9DB9-9BEF48A91F6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16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5F43EED1-501E-482D-A0B9-AD7DB23882E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16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F7DD199-6C7D-4B87-844E-7E144B958C4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16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2CA4067-39EF-4444-AE78-5D001BC93D5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6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A0664771-C23E-48FA-9939-ACEDE7676AB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6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3CE1D9F-9C0F-40F7-8042-CDBBBC0EC43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6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210C7A5-9D2D-4467-BBD2-9A5B582CAFC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6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40BF5F2-DB41-4B2D-BD20-B50EC6CA570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6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22EECF9-9E5C-482F-8994-0673328FC08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6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E46F8FA-1D58-4BBA-82A1-708F2978855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6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C5AB502-1066-4065-B664-5F796928E07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6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0DFCA98-48C6-4636-B69C-BDE84142E94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0"/>
    <xdr:sp macro="" textlink="">
      <xdr:nvSpPr>
        <xdr:cNvPr id="16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4649F96-7C02-4715-B76D-629038848E8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0"/>
    <xdr:sp macro="" textlink="">
      <xdr:nvSpPr>
        <xdr:cNvPr id="16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6E260AA-4804-4A38-BFC5-E4C62B2FD3C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6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1AB7541-4187-4A15-8D53-5DDCF2B0242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6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F218C253-F516-46DC-96A6-5D5BE05066E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6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976383AD-2C87-437B-9A9F-65FF7263ED0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6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6DAC740-7A3D-4DFD-903C-43C8C9715CE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6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07A08414-D397-4628-8641-C5FF4C260D0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6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D27E913-180A-4386-AE20-348B6D88CFC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6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4758CE9A-0DEF-4D64-B394-E091FD5D3EF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6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6C835DE-1D29-4393-BCFB-858385EB633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6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D7ADD8-53B6-4674-8DAE-42E41EBF42D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6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39ED53F-D43D-4C44-8228-F05B1F61940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6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78661453-9E88-4848-8558-7BE4A01173F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6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65F828D-1117-4D93-8BC3-8ACEEB690C3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6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E8AD1F9-B436-4943-B42E-03ADA1A6844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6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48C49CE-1269-4D09-86DD-9393EA4EE18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6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36BB9020-F12D-4607-9AEF-2E7EE2996D3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6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113FBD9-D61E-498E-907F-F727F3CAC11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2"/>
    <xdr:sp macro="" textlink="">
      <xdr:nvSpPr>
        <xdr:cNvPr id="16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28546E63-20BE-4BE3-A0AF-60236BAFA0D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2"/>
    <xdr:sp macro="" textlink="">
      <xdr:nvSpPr>
        <xdr:cNvPr id="16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CE498EE-B39F-4FC9-B76D-3DAFCB78A67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2"/>
    <xdr:sp macro="" textlink="">
      <xdr:nvSpPr>
        <xdr:cNvPr id="16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40399D93-0E4C-4DBA-B0DF-0973BC03D12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2"/>
    <xdr:sp macro="" textlink="">
      <xdr:nvSpPr>
        <xdr:cNvPr id="16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0CC20BF-2E3F-46A7-88F1-70A69F64761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16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2A106CC-895D-4351-A6B2-4ED3CE7E478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16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5178214-E715-41C6-AFE8-5429AB94B81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16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AC64C14-EE4B-4AB1-848A-CC94F5906BC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16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5508D0-21AC-4BBF-9E08-57C1A77AD94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6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BDACEC52-14E3-4184-A74C-9A8A46C994F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6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C79B1969-E0FC-446F-AA62-82F7A8622F4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6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5E95B49C-A92E-47F5-AD51-4DD3082805F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6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AB46C764-059C-4E03-82DA-67D40D081CB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6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D1F982B-8D6A-44F3-8194-D3478878299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6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591ED53F-6248-4A69-A8C8-DC49593423C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6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F009535-E983-4B93-AAED-FB265AB6433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6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4DD1C2B8-94F1-4A5F-9162-AA202647E86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0"/>
    <xdr:sp macro="" textlink="">
      <xdr:nvSpPr>
        <xdr:cNvPr id="16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0D8F451-9D01-4750-B0DB-8FD24B307FF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0"/>
    <xdr:sp macro="" textlink="">
      <xdr:nvSpPr>
        <xdr:cNvPr id="16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E6016794-A204-44E9-AB85-46315F42220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6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2027333-6B16-49A9-AB21-C24DFB4166A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6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6B4219AC-C041-48AF-B608-E07CA725781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6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DD1131D-7A61-4C3A-88D5-214BBC8AAAF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6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57081E87-BE04-4AC7-95AC-1B1C20449CA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6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9248F94-FB66-4DD9-B071-14535B052E0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6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C66832B-71BE-4826-8E20-8E2972E0DFC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6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AAAD0F5-C3C2-48A4-990C-7DA39649D8B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6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4295A91-5879-4755-A707-94C6799F056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6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181C36CE-8251-4370-B38E-E762EBF15E8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6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F9D085D-3471-43A5-A07D-0C50F407A0A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6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C0A3113C-BBFC-4203-B433-83CDAD18FB4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6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54FAE154-F3BD-4B03-963E-038D5130D82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6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A0B8D07-D821-45FB-AFC8-F1629162B99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6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B88382E7-CEED-48A5-89B3-F45256D3206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6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F203019-9417-4B77-BC14-EE15094DC7A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7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9D4E8967-FE8F-4289-B977-27568010584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2"/>
    <xdr:sp macro="" textlink="">
      <xdr:nvSpPr>
        <xdr:cNvPr id="17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E7BA752-70BD-4962-92D3-0D549F6F466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2"/>
    <xdr:sp macro="" textlink="">
      <xdr:nvSpPr>
        <xdr:cNvPr id="17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FF23A6FD-7BAA-4D58-BF59-805AE2EB76F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2"/>
    <xdr:sp macro="" textlink="">
      <xdr:nvSpPr>
        <xdr:cNvPr id="17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A092B9D-9C70-4E90-B644-9D7A08D70D2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2"/>
    <xdr:sp macro="" textlink="">
      <xdr:nvSpPr>
        <xdr:cNvPr id="17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3E7915A-167B-4B2A-9371-7037FE55028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17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4970386-D023-4A01-9B68-57846577903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17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5C49D90-2894-40DE-941B-6A8FBD37B52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17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DB699D-9200-4C56-802F-1065723DC5C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17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EF30B414-3092-45B8-AC4D-456D72A67EF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7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925C44D-3FA1-479F-A70C-B8DA3657F58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7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E85D78E4-73DC-4FF7-AF14-0D9203BCEF4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7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26CE4C9-6423-4EEE-95E0-2DDDB702745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7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F02FA5FB-6618-427E-BFB0-3F56099A778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7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D0E22B7-1EA1-4AC3-A880-31C56507133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7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B950C60-ED2F-4575-9DBC-73E195CC4C9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7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41D69AB3-2B78-4BF9-B47B-ADBC92F04DB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7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F4F306B-8641-4552-867D-710F0F50116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0"/>
    <xdr:sp macro="" textlink="">
      <xdr:nvSpPr>
        <xdr:cNvPr id="17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29A1BD11-8EDC-4A45-868D-114DB0DECA0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0"/>
    <xdr:sp macro="" textlink="">
      <xdr:nvSpPr>
        <xdr:cNvPr id="17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6740EA17-C8E2-4867-B5EC-31631B4EE09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7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A8EC1D1-C0B9-431E-B763-D5D01A23255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7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D608294-B3BE-49D1-BF8F-B8EC15A7FE7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7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FFDF526-0AE6-4098-846E-973446DD9C6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7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3F5F230-3FB3-43BB-87EE-EEF2ED9CCAA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7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E10C493-9834-4E03-BBC6-99B96CE35A4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7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7712067C-C664-4F83-B90A-8FBF675682D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7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E1E7290-45E2-4CA3-8B50-F065FE636CC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7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CF6E98E5-8AA0-4232-BBDF-20157C365D2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7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5E435AD5-BA73-4855-B954-06967161C54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7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446F4D3-34B5-4B11-8E3A-8E1097FF7DE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7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CF95697-A38B-45CA-84B5-CC8095269CC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7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96E057B-ED3F-4E26-9B88-9612F9DDD57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7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A1742DB9-F320-49A3-9BEE-0C35181EEE3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7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F8CE4B7-B283-41F9-AE01-08DDD9D8657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7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0CBA06CF-CBF5-44E4-948B-333E0098475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7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D409301-8476-4AFC-848B-27A890515D4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2"/>
    <xdr:sp macro="" textlink="">
      <xdr:nvSpPr>
        <xdr:cNvPr id="17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6E619D0-A0B7-48F5-852D-AC6FD032E63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2"/>
    <xdr:sp macro="" textlink="">
      <xdr:nvSpPr>
        <xdr:cNvPr id="17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9F1A7EF-0DD2-4461-ABB9-6A4A5392BF0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2"/>
    <xdr:sp macro="" textlink="">
      <xdr:nvSpPr>
        <xdr:cNvPr id="17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949648C-86A9-4B82-8C9C-F9BCD6AF705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2"/>
    <xdr:sp macro="" textlink="">
      <xdr:nvSpPr>
        <xdr:cNvPr id="17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BB025991-F332-42AF-ACEE-109414520B5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17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40F78405-EEC6-44FB-96CD-15800E3776D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17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DA04886F-8305-411B-A2DD-65D0BA14E37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17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D0F1D7CD-577D-4474-AE72-FB1B184BBA6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17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7EB17CE-7F1E-4A70-87A2-A45542884B5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7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00EE5708-A666-4398-A5A3-3E5F8EA7F59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7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5C8AC16-710D-4546-BFE6-DFFE76C7753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7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52B0CC-4319-4987-BA0B-F238A8D9496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7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F5E9A52-D161-4A8E-9DEC-639F0143BF4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7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EA764F3-3248-4CD0-A810-A02F31FCB40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7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E91571E4-5885-4EDD-8E9F-16E7DC5B5E5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7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B6F6544-A601-4CE5-9ACD-87CB4B2194B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7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08937BB7-22FE-4DF3-A304-46FDAF1F92B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0"/>
    <xdr:sp macro="" textlink="">
      <xdr:nvSpPr>
        <xdr:cNvPr id="17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754DFC-3B5A-46B7-A7D9-0DD14E8C2CA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0"/>
    <xdr:sp macro="" textlink="">
      <xdr:nvSpPr>
        <xdr:cNvPr id="17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7769FE9-9130-49BE-8FA5-E372B5BB4A0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7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9FBE15A3-B147-43D6-849C-8717A2D429D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7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4ADE2D-F5D1-49FF-86D0-8DAD0B26294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7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0B31207-249E-41EC-920B-EAE62314005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7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78CAB6C-55BC-4D83-B59D-77E3FE8D67F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7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60A3085-17B2-466C-9F89-AF2769F7C46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7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A53822AD-E0A1-4706-97D0-14EBF368C12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7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2B0BD14-40C5-48AA-AACD-12EEB787B8A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7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3A9C047E-71AF-4776-AB5B-D5C4DF20BE0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7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7D7CF33-1A9E-4031-8291-20F96AC48AB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7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7BC113D-C3A4-4C6A-9E3F-80B66669DE1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7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978577D-F6B5-405A-94BE-685AD874FF1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7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F50BAFD-0462-4E7C-8344-DF5540B61A6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7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10FF50E-C203-45A2-AB8E-F7496023043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7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FCB9FD9-583D-480E-A74B-79B56A2B012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7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819AB375-2103-4230-A59D-3B70CA1641F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7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EEC1A07E-C9B6-4F04-AEAF-3E9F4A28ECC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2"/>
    <xdr:sp macro="" textlink="">
      <xdr:nvSpPr>
        <xdr:cNvPr id="17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99E81CE-A590-4F11-8AB8-643D5144164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2"/>
    <xdr:sp macro="" textlink="">
      <xdr:nvSpPr>
        <xdr:cNvPr id="17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772E79F-552F-4FE3-A7B0-8ABF4D95265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2"/>
    <xdr:sp macro="" textlink="">
      <xdr:nvSpPr>
        <xdr:cNvPr id="17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8D62A6DF-2939-405C-8014-DA841DEAB66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2"/>
    <xdr:sp macro="" textlink="">
      <xdr:nvSpPr>
        <xdr:cNvPr id="17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52437645-CBDE-45D2-BF18-F621C1572D9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2"/>
    <xdr:sp macro="" textlink="">
      <xdr:nvSpPr>
        <xdr:cNvPr id="17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F162E76-1D6B-4D15-A181-0E3BA99B5C0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2"/>
    <xdr:sp macro="" textlink="">
      <xdr:nvSpPr>
        <xdr:cNvPr id="17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F77EE62-A281-4E5E-B6F8-38DAFAA33C6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2"/>
    <xdr:sp macro="" textlink="">
      <xdr:nvSpPr>
        <xdr:cNvPr id="17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380A4BC-DE7C-4889-BAE5-B7344C5FF36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2"/>
    <xdr:sp macro="" textlink="">
      <xdr:nvSpPr>
        <xdr:cNvPr id="17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4B610E1-5510-4AA8-B5AD-32BB9FE9838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7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B35EFD9-83A1-459B-A920-D1FF1D0BC3F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7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54F2D2F-225B-4857-9021-2A00748CA3F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7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030B1C-2A84-4552-A06C-21C6ADF67AD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7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32C8A41-6347-4791-A2F8-8A22A020F99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7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F51724C-BE42-456B-9676-CFF2D64BF64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7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7CE4D35-6A7A-4DD6-A0EE-32AD8865132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7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6A3D04E6-3FE7-4C3D-956A-FD6B09D7883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7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EF0D3231-4FEC-4B79-B534-6D38E81F1C3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0"/>
    <xdr:sp macro="" textlink="">
      <xdr:nvSpPr>
        <xdr:cNvPr id="17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6827441-220B-43BD-8B7D-73E29915F98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0"/>
    <xdr:sp macro="" textlink="">
      <xdr:nvSpPr>
        <xdr:cNvPr id="17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514387F2-F92E-457E-98FC-BCB458850A0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7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85EF1FC4-AE57-449A-ABE7-091E81F2C38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7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44DC674-6BBF-4996-8B98-C8CB692421F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7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1264483-3646-4ABB-9E74-6FDA012670E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7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2171403C-0DEA-4E4B-9404-9294E7ACE41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7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F04860-4C84-4137-91CC-AAF62916893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7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40A87B2-D82A-4272-99AF-7CA931444B5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7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FFDE596-3C7E-4D75-B82E-94AEC70C192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7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CBF00A2A-65A7-4385-AEE9-F0973EB8980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7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2234EB64-6BE0-4CCD-8B99-6986140166E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7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8AA3163-795E-49DE-947F-5FCDB8B6886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7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C012BF5-FF52-4F87-949D-D8F85864D6B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7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2B246E2-9CD6-4226-B813-F70A06204F1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7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0B09A27-D299-47B7-BA14-64F3FB71430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8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0849AE14-D161-4CF3-98F0-185417D0698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8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2274AEE-CBBA-452D-845B-EBFD2A5E114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8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EC65B2F-EEC5-4C74-A2AF-17E0AB87F0F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2"/>
    <xdr:sp macro="" textlink="">
      <xdr:nvSpPr>
        <xdr:cNvPr id="18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79AF497-2A31-4109-BE36-564808033A3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2"/>
    <xdr:sp macro="" textlink="">
      <xdr:nvSpPr>
        <xdr:cNvPr id="18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52F54A6-81A1-4E32-AD46-247B0E14823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2"/>
    <xdr:sp macro="" textlink="">
      <xdr:nvSpPr>
        <xdr:cNvPr id="18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F56BB52-7394-4254-90BF-4608FD4C0DE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2"/>
    <xdr:sp macro="" textlink="">
      <xdr:nvSpPr>
        <xdr:cNvPr id="18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D9D24024-212B-45F9-9B2E-3B40F1DB26B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2"/>
    <xdr:sp macro="" textlink="">
      <xdr:nvSpPr>
        <xdr:cNvPr id="18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AAF5537B-FDB8-4C78-A1CB-2E5D7BF84E1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2"/>
    <xdr:sp macro="" textlink="">
      <xdr:nvSpPr>
        <xdr:cNvPr id="18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A475AAA0-BC99-4D44-A1E8-D7258F84E6B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2"/>
    <xdr:sp macro="" textlink="">
      <xdr:nvSpPr>
        <xdr:cNvPr id="18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B1AAF5E-1BC0-49BB-9E61-A44242C1768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2"/>
    <xdr:sp macro="" textlink="">
      <xdr:nvSpPr>
        <xdr:cNvPr id="18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0D502D7-AA7E-46D1-BADB-254C1C66A93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8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5E1D15F-3B51-4648-A538-43BB77D6341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8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C83D730-9CC5-4BBE-8602-B520E7C55FB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8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2500958C-3D24-4079-BD14-F40CBA46389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8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E69B22C-1607-4028-BA7D-022C0DE724A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8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238315AE-2204-4CEA-BB2D-4130F24EF56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8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AA359FB9-AFA4-41BE-8E33-D76B728562E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8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8BEF2F1B-74AA-4E70-AA60-26F7F2EC367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8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0D870F0F-648F-4EFB-883B-0237CA7F2FD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0"/>
    <xdr:sp macro="" textlink="">
      <xdr:nvSpPr>
        <xdr:cNvPr id="18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0E5FD21-4FAD-41A9-BE42-A6D448142C8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0"/>
    <xdr:sp macro="" textlink="">
      <xdr:nvSpPr>
        <xdr:cNvPr id="18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2119B159-6876-4849-9B24-7C35E45122E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8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7E2BF3BB-0360-43B9-8665-82B3141915E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8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162C3A4-617C-4E85-9CED-4053905EC74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8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1272CC59-CA21-4AE6-802F-D2DBC68931C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8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BA6E201-BD48-466D-BF4F-0E6FF6008CD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8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26023605-8A88-4683-A4D3-6BE8B2DF6C4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8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DB8736-6A29-4E46-B5A6-751E7FF4662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8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28579B54-B038-4439-BB1A-E8980D08263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8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C11A0EC-AE1E-47F6-8B48-C66CB61848D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8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C88EBA0-6E52-4272-B77A-FAB47C8F274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8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1619F02-47A8-4E63-A3B6-A500AC32EFF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8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96CE3F0-6EA0-4562-83F3-A42DE790F6F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8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03D88A4-9532-4A7A-AF07-B2A774C18AB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8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48E0747-0A14-44B6-B416-A6139369DBC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8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B3C064D-F04E-42C1-AF3C-E63DDE1AFF0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8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8283D8-A008-497A-A03F-2A4DA82C22C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8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C61F1D4B-E90D-49BF-8AE4-0B771E277FF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2"/>
    <xdr:sp macro="" textlink="">
      <xdr:nvSpPr>
        <xdr:cNvPr id="18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FD19328-CFBF-4548-A627-20342793619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2"/>
    <xdr:sp macro="" textlink="">
      <xdr:nvSpPr>
        <xdr:cNvPr id="18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6D2FB264-1B89-4793-A63D-6FEBA44FB1C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2"/>
    <xdr:sp macro="" textlink="">
      <xdr:nvSpPr>
        <xdr:cNvPr id="18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84A4A94-BA55-4DD3-8515-F9EF5047731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2"/>
    <xdr:sp macro="" textlink="">
      <xdr:nvSpPr>
        <xdr:cNvPr id="18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E5B0EC12-D40C-4AD6-81E4-715748EC4A4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2"/>
    <xdr:sp macro="" textlink="">
      <xdr:nvSpPr>
        <xdr:cNvPr id="18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B92FF4C-157C-4C00-BB9D-6676B818D59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2"/>
    <xdr:sp macro="" textlink="">
      <xdr:nvSpPr>
        <xdr:cNvPr id="18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2560366-A11D-4A8F-A9F0-8FFAA01BBF2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2"/>
    <xdr:sp macro="" textlink="">
      <xdr:nvSpPr>
        <xdr:cNvPr id="18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B4A81C9-FFEE-4219-8BD5-4D28924DE04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2"/>
    <xdr:sp macro="" textlink="">
      <xdr:nvSpPr>
        <xdr:cNvPr id="18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E92FAFC-F96E-4B33-B929-C17D989FF3E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8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F3AE048-C39D-4F03-B993-A6A5F38A5E7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8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84CA61-068B-4183-8DE8-19944B6BC91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8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61B7A5B-763C-44DE-92E0-027E0BBB40D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8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EA28205-AB28-4008-9406-56475E28D81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8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9A12F5A-24CE-45E2-91FF-6C64859A3FF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8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5857A09-6468-4363-B1F1-05339238844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8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A394F523-9F94-4E26-A408-2900F91D40F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8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1BB3FA1-EF5F-433D-BBA6-C90CA84283F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0"/>
    <xdr:sp macro="" textlink="">
      <xdr:nvSpPr>
        <xdr:cNvPr id="18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9DCC1BE-E61A-4621-A077-EBB19029448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0"/>
    <xdr:sp macro="" textlink="">
      <xdr:nvSpPr>
        <xdr:cNvPr id="18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CB89D29-36E8-4E2B-9410-BBDCFB57306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8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2F5C9F7D-4CBF-4783-A108-6D169A6EAE7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8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A5DC337-4DA7-480B-9878-73AEFBB887F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8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00A7668-B0E7-4D86-8A2D-5DA0B89539B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8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6634E4A6-7431-4B4B-8A1D-39B5D49E618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8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C62F74F-98B8-40EE-B118-B48D1AED4E9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8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2FFA3220-CBB1-4E6E-9413-4E91419CD41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8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154DE2B-A052-4C2D-8266-494CEAF788D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8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9033208F-2251-42FF-8DE7-8890B7C6300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8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77FDFC27-64FA-412E-ABCB-DFF945109F8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8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70EB032-73CD-4245-8229-999170E16AE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8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053A7B9D-57F0-4F4F-AF6E-208FC4A0E62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8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718F37E-655E-46AB-8785-C5697E5133E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8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9FD52C8-33A5-4AE7-8B67-D37D975C9F7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8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AC104F8B-6F47-416E-B423-FF0EDA1D3F6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8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F91D3B24-C989-44F0-A020-5D67F6AB9B4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8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3ABBECA4-C37E-483D-A2AE-C89B405C739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2"/>
    <xdr:sp macro="" textlink="">
      <xdr:nvSpPr>
        <xdr:cNvPr id="18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ADFEA0AA-3053-432B-A51B-804719E8C28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2"/>
    <xdr:sp macro="" textlink="">
      <xdr:nvSpPr>
        <xdr:cNvPr id="18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F3ACB5B-806B-40B3-9BB5-630EE1CD9FB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2"/>
    <xdr:sp macro="" textlink="">
      <xdr:nvSpPr>
        <xdr:cNvPr id="18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DBA1991-CDE2-4D2F-BA2D-E87DABEB937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2"/>
    <xdr:sp macro="" textlink="">
      <xdr:nvSpPr>
        <xdr:cNvPr id="18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4A6531B-9316-47F6-B1C3-6261F857556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2"/>
    <xdr:sp macro="" textlink="">
      <xdr:nvSpPr>
        <xdr:cNvPr id="18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258F11FD-E03B-437D-A597-57CDBE8AE9E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2"/>
    <xdr:sp macro="" textlink="">
      <xdr:nvSpPr>
        <xdr:cNvPr id="18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7688C15E-3BEE-439C-B7EC-A57507E2A47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2"/>
    <xdr:sp macro="" textlink="">
      <xdr:nvSpPr>
        <xdr:cNvPr id="18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3C98C32-2275-4D2A-82EA-C73905A7C6B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2"/>
    <xdr:sp macro="" textlink="">
      <xdr:nvSpPr>
        <xdr:cNvPr id="18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C6728DF-72C6-4E9F-9883-E99A9DD3398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8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43F3102-0205-4768-BAE8-17F0238E007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8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29E8A45-093C-4176-ADCA-3B171A1F129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8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A39A403-BC05-437C-A2AB-84B024F38EB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8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230D656-A7DF-4B21-94BC-CD27B4CBAC4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8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BED04E99-5655-41B8-B6EC-8635766DC77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8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2780E22-ABFB-4CD1-8CEC-E181AE2E45C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8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D12E4A3-6B3D-4D57-BC45-C327D8D3CBB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8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DA1CA1F-22FB-456E-8FCB-C426F1568DB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6"/>
    <xdr:sp macro="" textlink="">
      <xdr:nvSpPr>
        <xdr:cNvPr id="18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46C2CFD3-634A-4A3B-9AF7-5171A981E6E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8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93CD8A4-25CA-4E7D-8F47-A1D7B2DEE6F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8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2FF4A42-214F-48C3-AD20-2A8181E6A06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8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D38365B-A35E-4F1E-B5C8-1D086752F9A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8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A3CA325-7F7E-4801-90E3-D1BAABD35B7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8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7719A7C-1B60-41FF-8929-4951F395B9C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8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1523EEEE-A38B-49EE-BDA0-ABB7CD87C18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8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3CFD7425-356F-4FA4-8096-3AA72A3C30E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8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E9503FC-9095-4DFA-81EA-195D96DF932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18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7D6ACB69-4579-45C7-AC4F-81B8B151C9B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18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F5E8D05-D2B5-43FA-9333-D6CD92DA90B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18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03CCE352-FC40-4026-B352-13C1BF10BDA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18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4D012B8-F33C-46AC-A765-E2E1D1FD47A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19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09AD4420-B738-440D-B3F8-94CFDE60D4C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19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2E487EE5-4C3D-4938-9907-225262CCAE6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19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FA6427BE-A936-4436-BC9D-0801FA441CC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19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464B049-6A13-4572-BC8B-21C37387B75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19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15AD477-1100-47FB-A58D-A00F3FC2980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19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A0E092-D551-467C-908F-68B5FF3D3AE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19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6A057528-811B-42AD-A733-270F3051C83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19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25C22C0B-D74C-4E38-87C5-8B5D586C977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19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E2527513-67B4-4F9E-81A5-E8F5709710D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19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216FEAB-3515-4C36-9785-97D7B92CA93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19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631CA4B-11E0-4BFC-B77B-98C247F0AC3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19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A94A4B7-19D6-4650-8AB0-80E7A2FD4B3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19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DE707D-B328-4854-AE27-1606BD7B239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19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425BCD9-7FC6-406D-A630-3874960C4C8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19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9ED144B-CC61-423C-A23C-C09F9BC594D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19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CF7754B7-BF37-4C05-BB2B-5218E0AC598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19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B28298D-F5DE-4313-ADA0-671175FEA72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19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861BCA7-0064-41F6-AECE-B208ADCA9FC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19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68C5BE92-89D3-4672-B46B-0D4AAE0CDE2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19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A72FE3A-67D2-45A1-B26D-33AF338E720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6"/>
    <xdr:sp macro="" textlink="">
      <xdr:nvSpPr>
        <xdr:cNvPr id="19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26F07078-302E-4B8B-8043-F345935B639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6"/>
    <xdr:sp macro="" textlink="">
      <xdr:nvSpPr>
        <xdr:cNvPr id="19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A0850D9-1245-42EA-B57D-32F6D140343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9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0BBFC3C-5A56-4EE3-A09E-7AF8E8D97F3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9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84225197-14C3-4FDC-8D2F-4B45D56294F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9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E22B9CC-19B4-4049-AABF-3B55A68A44A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9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9FECFC3-A54C-4AF7-8858-E1D42874350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9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C94F9113-38CE-4BBA-AFFB-F56B7C6E8A1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9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8E5373F-5481-4D1C-8BF0-B3296E08DB3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9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B371E62-EBD6-409E-8461-F4B87322C92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9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24D5D94-BAD0-402E-8ECF-C9BBC2AEDA1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19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BF25EB3-28EA-47E4-8013-B5A275A6B4C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19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4C7A08-A1BA-4CB1-81C0-30D57D58404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19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EECA3990-3466-4035-8A80-243DC707965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19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2155BD2-8D38-498D-A063-5431D2FD797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19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60FDA5B8-FC4B-4F4B-8151-048CEF97E32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19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EF228C02-5F15-409F-81BA-0C886F575AE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19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197484A-19B9-4B0E-9457-DD42FBC6F69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19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2042188-539A-44D9-969B-2A11A9D5986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19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608CD80-3AEA-45CA-B35A-E31E597A364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19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162D06C-A1BA-45D2-91F8-3EA413CAAC1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19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BEE7043-B8D3-4755-9E15-3720B38A5F5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19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74BC34C-9EDB-4513-B505-FB7DCDA8485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19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E4AA7F0-79E8-415B-BBDA-F8C40A7D45C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19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92EF4FF-F6F2-4D62-AD34-627A7CF2E9D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19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8A7767C0-8DE7-46B7-8E61-00F157EE684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19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9D446431-3035-44EF-A852-335AA156FF6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19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DE565BC-5632-43D1-9FC1-6589ED841DD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19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44FC5F2C-AB47-4A0E-93D4-F709CC846A7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19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80EA8E3-30E3-4ABC-8ABB-43401AB13ED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19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445E4E75-FDE5-4BED-B54D-F04E06A89B1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19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2FC210C8-FA5A-4149-B6A6-582D9C905E9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19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A64E14FF-3335-4BAE-A1D4-97F0E65C520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19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E086DEF6-5528-4B75-BE7F-0A464911204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19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6BA5668-174C-4A24-9064-6B3F808C258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6"/>
    <xdr:sp macro="" textlink="">
      <xdr:nvSpPr>
        <xdr:cNvPr id="19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C4C8AD7-290E-40CA-A9DE-E0401C3C4C4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6"/>
    <xdr:sp macro="" textlink="">
      <xdr:nvSpPr>
        <xdr:cNvPr id="19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0F12B53-1314-452A-840B-4B97A757BBF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9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B72D02E-9DC8-4216-A0CB-FE35749C2FC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9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28C9A39-38DD-44EE-B86D-704F848A78A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9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53C79EB-3A5C-4A49-9C5A-99A386BFBB7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9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F523B546-76B5-4198-B2A1-88119182EB5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9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2C441EC-950C-4418-BB71-4A37A2DA3DF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9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E4EB1AE6-04B6-4EC3-B6CD-DBAF73644AD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9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1852F28-AF0E-422A-B194-0BF47A6261E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9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5698C5-BA56-4DA1-9A12-6C52351EB11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19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16DCEB3-6CC0-4932-891E-B3FD9A3A164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19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262348F-474F-49FD-A652-606B3034C26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19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28D815F-6A07-4865-9756-0B5DB3592D3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19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243122E-B0FB-4FAA-A23D-70A47A4B065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19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B94BECEC-35D5-4029-8069-3169EB77D94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19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17D13D4-2156-48CD-BE71-8E77A292529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19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117BC420-A3B0-47FE-B325-B9107F8858D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19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E28626D8-D1AE-4AE0-9979-CB9FFC008D3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19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3943ECB-E015-490D-99F6-9566050C56C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19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80EE8148-F9D8-4D57-B5DD-D8B1A6CAF07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19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8FEE7672-4C50-4B00-A607-450BCA53DB7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19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5AE1CD7-3116-4EC3-8533-2C9D841023C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19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9C774D8-92C8-4F06-B2D4-B58F3EF59B0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19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7D4137C-C0C2-4374-A563-0653D4CD953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19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236D27F-9E3E-401C-9329-1095033F49C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19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D0363A4-95AC-412C-84A0-324828BB7D7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19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F96126D-CED7-4020-A04F-FDA3530ACA4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19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4056315C-6190-4DAA-8A47-DBC51CA1608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19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D5BF0A7-CC2E-462C-B260-3D185C0A3F3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19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E67D4F3-669A-4F22-B531-8722791CDA8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19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37341C1-8AAE-4F46-A040-B5881C5A71F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19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4B392F87-DB42-4CBD-A53B-06961556A65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19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5C2754C-A430-4F3F-A0DB-A98B06039FD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19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5F25E8C7-CCB9-4160-86EC-488D52F2146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6"/>
    <xdr:sp macro="" textlink="">
      <xdr:nvSpPr>
        <xdr:cNvPr id="19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CCB1D58-DB79-405B-BEAE-86778FF59C8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6"/>
    <xdr:sp macro="" textlink="">
      <xdr:nvSpPr>
        <xdr:cNvPr id="19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9DD12D5-60AF-4FB8-87C3-7EC785C131E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9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407EECA-75F4-4BBB-9E8A-17A01730B4B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9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A2D2F30-F6C6-40EF-A706-8582AE1DCA2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9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D9F2398-565C-4C85-8EFA-A2C4A078CFF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9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FA379EB-356B-4C56-9EAE-5DE15CBB782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9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6FD347F8-3819-4E33-BD57-3A7950D417B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9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1AEA425-49B6-4BE0-BCB0-626F04AD4D5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9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4645202E-A047-448E-B108-E1EC3DA4E37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9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FEECE6A-8A78-4799-BF23-83514221ED6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19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B5CF693B-FA18-497F-82D2-CB7531B5AFC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19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2DE97411-2568-4F46-AB84-FE9136FE903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0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D9695AC-C7FB-468B-B466-706B620F057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0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897F9AB1-C1E3-4BDA-B292-C6D1B40F0C3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0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2CE9EF6E-70A5-4C2B-B1A0-2D3F6575668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0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6D894C38-B7B4-471B-A602-7B450782F0C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0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2E2BA90-3268-4769-AA63-7E909AD6694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0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FA93DD66-13C1-476C-BCE0-071B7637928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20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362C80BE-7ECD-4C09-81E3-1105AD7F626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20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AC221B7-107A-44F4-A46E-67FA564C285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20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A47DC99-5475-4781-8C05-3AF816AA408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20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C09CFDE-D33C-45C4-8557-105C264EA89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20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0BF97A3-F30F-4068-ACB3-79EA2D9FA49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20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32ECE95-5E4A-4F2F-B997-770F189B6F4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20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C561F5E-5FBB-492B-84B2-8C5750BED45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20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DCFF03A-6D4B-41FB-AF99-B5E41CDCC45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0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DFB7199-2E26-4F09-8EF3-93EAE86567E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0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839F95-3326-4627-831A-FF530C6DFB3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0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23AC630-6B27-4A58-B355-F4137EDE372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0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1ACE0E6-7831-4DC0-8EA9-0AF37E62BD1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0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B97876E-1C13-48A0-BDA6-EF7D8DE4328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0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14AA632-D652-427A-B6B6-0E6E5531343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0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3C715B05-30C4-4A95-8B3D-3ADAA3DB656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0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05D2A7-891E-47DB-B382-7C8A3B36249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1"/>
    <xdr:sp macro="" textlink="">
      <xdr:nvSpPr>
        <xdr:cNvPr id="20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18B828-970C-40C8-BED0-E6A55061366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1"/>
    <xdr:sp macro="" textlink="">
      <xdr:nvSpPr>
        <xdr:cNvPr id="20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6FF67E73-8BC3-4576-A3DC-8A1BD517446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0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7B03ED4-4251-45A4-B922-41BAB31F062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0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5E180E0-F592-4969-BE7E-391D0A96DA1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0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EE06317-B7F5-4383-BC1C-DB38D4755BD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0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8C14089-8C33-455F-A0A9-60ABAAB9CBC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0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1A9529D-8F2F-4A80-AC3A-1411969FD63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0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6150259-041D-4A51-ADE2-7DACF84983E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0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2A068C6-B5ED-40F1-BDF6-30E588FF584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0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9CF323E-9CFB-46D3-B66D-63D8D6B01D9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0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6672DF8-709D-41A2-85AE-8F702BB75D8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0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26828479-0AE6-410D-8723-7414640738B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0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37286F10-F44A-4B87-B907-476DAD149AE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0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22650E6B-2EC1-4D5A-A728-E2276EBE6DF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0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4F181F53-272A-4EA3-B8C9-D2CF887B221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0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28A1E1E-F78B-4CCC-B113-D546F94CD6C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0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7107427A-C9BF-422C-8170-3618D26F676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0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A0CF160-6FAA-499D-9D4D-89E4277F862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0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156F3015-6096-4AA2-93C6-80DF035C32B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0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BB710A6-37C5-4DC2-ABBE-B87056B9080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0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37556F0-043E-487E-A287-B95ED5363F8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0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1BD121C0-CDDF-4166-B9E3-C78899CB453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0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B5B4AD7-A67C-40DB-A6E5-1F5F0FDE3AD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0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D046F2A-887A-4D79-885A-522867EF782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0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B80B264-45AE-4979-A344-D31C84BE76C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0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42270C67-6F18-45A3-B5C3-C7D5DB33562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0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0AB329E-3702-4BB1-9985-282E611DD7C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0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E057EC3-1BFB-4DAA-A60E-7C8D75A6DFB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0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138D0A1-46AE-426A-842D-CF8C5763677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0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5F1FB5A-4072-4D5E-87EB-E6FA1D1E176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0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9DEC576-F365-40CE-AE9A-C02A500504D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0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8D129BBA-9A75-4703-84A0-DB756D8571B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0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3095D5E2-ECBD-4A82-8836-D71DF77A3DA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0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FEB0242B-22EB-4C22-939A-429969673B3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1"/>
    <xdr:sp macro="" textlink="">
      <xdr:nvSpPr>
        <xdr:cNvPr id="20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A5BB859-65B8-4A71-8F62-BFA7B43E469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1"/>
    <xdr:sp macro="" textlink="">
      <xdr:nvSpPr>
        <xdr:cNvPr id="20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A724BCC-2DDE-4302-BBC3-15B9ED2EE9A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0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AF049E8-FA9F-474A-8223-57BE951870E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0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01F766A-07EA-44DF-9278-F7A75433308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0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7EFC665-38B3-4BDE-B436-323B084EB78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0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AC88CBC-D63D-4189-9B76-1CDCB4975C2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0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13C86CF-86A5-4597-9BFE-EA948CA0482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0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5F329F2-298A-4CA7-AF56-672F805234E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0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E3D84BD-F325-4043-BDFD-479D2BB642F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0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96976F16-9256-47FE-B170-1D26EC09060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0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2E005C4-B6B2-4C16-8DF7-00D40092D7F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0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2ABE8157-FF6F-4518-80F4-073CDF2013F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0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E5DBF7A7-B004-4394-B650-7A73C4FD394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0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8DA1EEF-C8DE-4590-A57C-4D25545824E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0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FB8DBECA-8961-4C2E-BD6E-98A1E1408CE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0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758885AD-EAE7-4428-AF1E-D3F7366CED1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0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BDB23E2-42CB-419F-A808-E362660167D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0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8276116B-AD38-4C2B-A30D-91253F4578F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0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B3D70DA-00AF-4751-A742-E8EBAB2A765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0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2599F51D-CDA2-40BA-ACEB-8DFC2D7FCED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0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7D0ECA-C3D8-4F5D-9B5A-BF3D68F306D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0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A80FE2F0-1332-4094-9ED2-A1DB2C2245C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0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A3F6B31E-6855-41FE-899C-6B743ED2FB6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0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5DC79DC-C6FF-4F15-A282-D2002878422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0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3B96A8E1-958C-4498-A756-A2AC206582C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0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80A374F-9219-46B9-B191-F98345A77A5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0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74CA6AC-DD61-46E5-B973-FA7AC370482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0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1FD53585-0B34-4B9C-AD75-74231C9423B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0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7DD62E3-075F-47EC-8EAE-29D91C0F05D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0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DF1584A-4FF5-479B-A4D3-0FD4F754DB9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0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E7EDD17-D987-456E-B74C-D20C8573870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0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ADC65178-21AE-43BB-8EB6-CB14400EABD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0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0D17446-B783-49CB-BAE4-5D76CCD0139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0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D7EDD01-0208-4E11-93C8-479C3FE7045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1"/>
    <xdr:sp macro="" textlink="">
      <xdr:nvSpPr>
        <xdr:cNvPr id="20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FAC55041-F093-4CA4-A749-9719528F656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1"/>
    <xdr:sp macro="" textlink="">
      <xdr:nvSpPr>
        <xdr:cNvPr id="20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DF8C282-C55C-4A2D-A990-BFD12C75B33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0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9412785B-F65F-4B38-8389-B00D45AFE7A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0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2EE4F023-C196-48A1-B9F7-F5780005C0D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0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3715B047-82B1-47A5-8A72-CF299A6F451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0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CEF6A85-B43B-4D31-AA34-41AD698813C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0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A44672F-C17B-4336-A7BD-3C550DD7D46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0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7BB15DD-B944-4D24-BD9C-D47D8061E26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0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84C125E-2798-457C-A957-D1E112D3616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0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669A075-B9BE-417D-BE85-8A61072340A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1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0790FD4-7765-4058-A49B-D112F32AED9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1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A6F8B671-1B20-4E47-AA64-D2D3D9B7D1C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1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567197D2-CFA4-4A61-8670-9737485E612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1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5FECA3C-2FF7-41F2-BA41-DCB721D89BA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1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80D923D6-7DD2-4F90-A762-25B56C6A977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1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96E2BC29-62FB-4BF7-A22C-1BAFE97C15C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1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E5238E-B993-4D1A-AD28-E126E139529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1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AB802925-424B-4EAE-8237-DACF05C8EC1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1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E2872609-62B4-4E14-BFC7-3DCDA237311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1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E3C6856-CF44-4A2B-95E6-D82CA48A144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1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CB1EEA5-B30A-4568-9804-3F6317149D2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1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F38FDA9-B1AD-49C5-ACFB-98305E61133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1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F480958-B4AC-4AC3-B363-AD54DE7B245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1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A7264E3-5BB1-48AB-98FB-14CF528A017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1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7B7EEED1-23E7-46BE-BE5F-EDD80BEDA46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1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087FE05B-D886-4C53-A7FF-FC79BA4E60A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1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F089258-CFAE-419F-81E9-49B2C58B21B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1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080C850-0D33-4515-8FEF-E0B3B77620F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1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5133193-F1D3-4BBE-9255-4D60BD574FB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1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861B0CF-43F0-4C99-BFB1-0EB7B5508E4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1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96E31A9A-B677-4C2E-8E1A-5508416F41B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1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8FE47C63-2AE6-4064-8BC1-AE623B02AFD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1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A88EECFA-A257-4018-AA48-45A31FD7414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1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B00568-D5D5-4CAF-8670-49D7B868CB3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1"/>
    <xdr:sp macro="" textlink="">
      <xdr:nvSpPr>
        <xdr:cNvPr id="21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6E42C8B9-A57A-41BE-BDF7-1EBFCB6AEDA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1"/>
    <xdr:sp macro="" textlink="">
      <xdr:nvSpPr>
        <xdr:cNvPr id="21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799E8B0-037D-473F-B6B0-A1D9BB4375F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1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9F64B27-67FB-4DA7-AC40-D74E4BAE9B6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1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ABCAB0A-8F0C-4A7C-ABDE-E40A0A9FC03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1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9F557E4-4BB5-4973-94D1-4DA26A7536C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1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91267F2-ACA6-4F83-9B3D-5C93E05631B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1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76DE746-78A7-4DC4-8954-0DE6B35FD67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1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145EBA7-04EE-4852-918E-E899E78EA80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1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23701F7F-1C7E-4A68-B8D8-F2AD19FA518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1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20D203D6-C973-4F2A-BB2B-4C7A96F5CB0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1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7C749BEF-5674-45C6-8D7E-6B47FDD15BA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1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F40A0BC9-E942-4F15-AC4F-C8A30B17A24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1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F6F2BB0-4453-47D9-9357-39B8A48E877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1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BC0FC8E-CBEB-4C29-8469-9B0F10EF46B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1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FD90779-E2A1-42E9-BB8F-BCF21949259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1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49BD5AD4-2620-4BF8-8167-2B087C46427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1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2ACDF90F-FB41-417B-9C07-F5A39C86979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1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EBECC2B3-4340-4E05-8E78-01686A62FBB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1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2EA059E-4282-4CE0-9297-4F1E4B3B9BF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1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AC06742-9810-4BF0-A446-C488EFC58E7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1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E7DB104C-0A1E-4A21-B75B-EEE9AD7CFC8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1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EB07F3BB-5081-4502-94FF-2E789B34FB1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1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451C7F5E-A136-4D59-9DD3-C55E3F96537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1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B924896-B986-4653-BBA2-0DF59747402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1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038A5547-54C0-429E-9C98-C8E0CA8F9F4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1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488827A4-93FE-423C-BCD4-BCA12DAA65C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1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DD9D12EA-12BF-4E7F-A12B-92DE2EE3002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1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12E5651-857F-4419-9713-6CFB12916F5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1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EB62209-F506-4C23-BAF1-069847C1DAA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1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B8109690-8CFD-4256-B0A2-418D968AF12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1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B141471-3F88-428E-A02C-08AD674D96E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1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FD050AB-6FAB-4908-8B9B-9C3C8AE38E7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1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6989C2A-F131-4777-A42B-9920AA80913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1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032324E-E2C3-4BDB-B66F-D4B5DDDC847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1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39813B9-EA7A-4F7D-8FA7-8890937A46B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1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406BC4D4-BF82-4485-B330-40929D251DE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1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0C932EE5-32B3-4719-89BC-667D57A90DF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1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E977E51B-5A87-42B6-BB99-68E738B5A27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1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486C8C8A-560E-448D-A8FD-34C81D237F4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1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2C807726-6D60-49E0-9B20-80094FA0E4E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1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E6F9B361-F13A-4589-8564-114D6C4689C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1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57290FB-3B81-4E7C-A47C-5FEC8F6D96A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1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7B79249-A3E5-4DDE-AC43-4DCC2947D8B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1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3FF631F-5A34-4319-BCC6-0457A6D4191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1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4E08FB71-346E-46E2-9E2B-CCF0C56BCC5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1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5BB0DA4-646C-44FD-B287-F5EF1A7D6BC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1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FD62FDA-DC0C-4641-B4D4-1A58F6157EC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1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7177D192-68A4-492F-9098-9F631D9E3D3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1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B778137-51C8-4376-A3A7-B34996A88FD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1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2506CA2-68F5-49AD-BC63-48A5A839A91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1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38FBC29-71DB-41F4-8587-FE25D6F3F23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1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FA4CAA48-570B-4BB1-94D1-DB7D846FDD6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1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61FC60F-06B0-4280-A119-90DC3F08D33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1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A001947-DC4F-4659-8589-AFAD22C2CB4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1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D72A6C1-701D-47F5-9F3A-7965BA9AC2A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1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6EE58D5-C98A-49C7-AE36-26A8E491375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1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9A2A4A9-98AB-4145-90CA-6D4CAED39F9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1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959592A-8CF5-42C2-BD4F-594D3513797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1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180C2BF-AD58-49B0-A9B8-B9F02C5CFE9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1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02F19A7-4860-471B-A123-06AAF792436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1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0942B99-FA1B-420F-93DE-F563616CC3D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1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4DFB59-1761-487C-B09C-1675B87345C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1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B5C5709-A056-49EB-98AA-49C0C573BB3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1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C087A7E-630D-46CD-8825-509F77095A6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1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BA496639-3FBB-4071-8FC5-5A55E251B7B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5"/>
    <xdr:sp macro="" textlink="">
      <xdr:nvSpPr>
        <xdr:cNvPr id="21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A6F32F1-65D7-45D4-9A83-1CA6B195768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5"/>
    <xdr:sp macro="" textlink="">
      <xdr:nvSpPr>
        <xdr:cNvPr id="21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0EDCF3BC-26AC-4D97-BBD6-45711680194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1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D91517B1-F5D7-4E11-8D1F-C885D142A5E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1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01143A1-022A-43EB-8EDE-86F923D9BB4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1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D26950C-B144-402F-A9D0-EAC3DE13B63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1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10E1F3F-74E1-4566-9261-F48914009FA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1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02594AFC-3362-444B-903D-46DFC552348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1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A8323006-7091-455B-B559-6644A991673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1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4748602D-D509-47AB-88CA-44B7C7F8F32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1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57BBB9AD-2819-422E-B037-8B8EB3F359C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1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CE96EE2-538E-4BB3-BF76-6CF4E071A60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2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AE5EE62-9800-4A0F-AB3E-EF3A1DB7197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2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EB7B21A-C12E-40C5-B32A-37391170998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2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E789C914-A3A5-4080-90AE-AE7BBE03C61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2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1C71C4-48DA-4BB1-8BFE-60042E6D15C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2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B5DC843-37D5-4FB3-AA74-CCAECF4449C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2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C443324-8F41-4D49-A3FE-5F61DA827C5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2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3272FF43-C1CC-49A4-AD73-D7339175697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2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07BDB87-E7B0-4DFB-96B9-D5437F3D225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2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2F5C2B-0DB6-40FD-9127-C2591659172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2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FE0826A-C11F-42CC-93C7-0042E1FA80F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2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75228EF-9734-41F5-A4A0-992FF79515E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2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CD4D325-CDEF-4E19-B3EE-9E7EB200128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2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ECC8C4D8-A282-4B65-ADDD-8D33DAF5351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2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5AB6C9C-D99A-4773-9EFD-548349AEC53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2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62E2D6C1-2655-43AD-852A-60CCAC931EF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2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2AECDBE-D5A4-43ED-9868-B8DB4465548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2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8C4BD18-EBE4-4B15-987B-867CC537607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2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7619D4A-E974-4BD8-8F42-CEDE5F4BA0C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2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E865D752-1397-4B58-858C-C2AEDC0CCD6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2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BE4BD57-FE98-42FC-BBE0-AD196CE1C17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2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2DDB7550-A931-46D2-876B-C501F4ABD65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2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9BF7626-1520-4369-923E-76E4C5B10EA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2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AFD2A7DB-D840-4C7B-9C8F-18C589ACB33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5"/>
    <xdr:sp macro="" textlink="">
      <xdr:nvSpPr>
        <xdr:cNvPr id="22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7EAF747-4591-48D1-AC1B-3507C8B80F7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5"/>
    <xdr:sp macro="" textlink="">
      <xdr:nvSpPr>
        <xdr:cNvPr id="22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8A04CD82-C264-4C9A-81DB-2191169B1AF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2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0AF97C00-7954-43F0-B2EA-91F8D405F16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2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7811CCF-AA12-4CD4-A6E5-473EA26DC56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2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DAD9B1C-3382-4D3A-AF46-F9F9D4B5C25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2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53141651-4185-4689-8CE7-DE8F7E9A445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2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FC4DAF3-4122-41B6-8E4B-937327D8EF1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2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DFA4F3D5-F594-4E44-8C8F-C3079698991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2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790B016-4001-4BF7-A7A1-23C70FE125F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2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1DFB730-4961-4481-BBCB-CD601F2DDE7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2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BFAAD205-9920-42B5-8661-409DE945A96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2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6593A74E-C4F6-4E81-AF01-C160150AECA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2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2E7893A6-F476-4CFE-AAFE-E053A6B648D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2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4D86339-B897-4C48-A987-718BEB6120F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2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2125A705-29A3-4AC7-9770-8799802D9AF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2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4D30E1E9-668F-4A15-8C91-E64E3AEEF7C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2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9D39F7-074F-49FB-813A-84319366CC0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2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2CF4EECC-F94F-4240-AA8B-0D8EB704A44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2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03857FC-3384-48A3-9A2F-C066EE40CDD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2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E47DA729-C0E9-4063-AA8D-DC45238A501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2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86BF86AA-C0F9-4201-8504-C809C3C3CEC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2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9C16C48-3E80-41CD-80EA-925846AAB54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2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BFE8029-622B-4C63-8BB2-621B186E001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2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544D6031-490C-46D9-8660-D2E460D0C13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2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2B2AA889-2E8F-4EAF-A59E-271977B4DEA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2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D90CAE2-D35C-4CD7-8766-A7E251968ED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2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288A1BC7-6DD2-4195-BA45-225CC03A54B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2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80E9A6D-40DA-4047-B1C7-3F74118743C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2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A78869B-5106-4852-A4F5-47CAE04345E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2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17F4818-550D-4008-8A4E-BBCDC139453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2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2D454CAD-4F65-4586-9289-2C016DE61DF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2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D4C80F9-5CDA-46CB-A52E-8E98EDCF26B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2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C762C40-81D2-4A8B-A5ED-7F641F9BD41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2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36AF7723-C97D-4335-8790-9377AC7DF0C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5"/>
    <xdr:sp macro="" textlink="">
      <xdr:nvSpPr>
        <xdr:cNvPr id="22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21FB7589-E3B0-4837-B94B-147B6BB595B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5"/>
    <xdr:sp macro="" textlink="">
      <xdr:nvSpPr>
        <xdr:cNvPr id="22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F088CC8-C34F-4D73-9938-B52DAD46E96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2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F73619E-459C-4005-8E48-0A6DD6E77C0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2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9177A9F-1651-433C-BDD4-C53683AD68F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2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F9832FB-57B8-4E99-AA11-571428B4868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2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A7CE186D-AC7C-4A49-8F54-75FCFE30253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2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7268974-D84C-434B-8641-133A243CEE3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2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798973D-9D39-4E77-8A40-5227D5A8277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2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F4E1952-A489-4E1F-A005-E105259E124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2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F210D50-44CE-47E5-A35F-49337DB0F0D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2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5F1DD24C-855D-455A-9EBE-3E4ED917EDD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2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F05F61A-94F1-49CC-A8BE-21079599DAD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2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22D96FEF-283C-46C1-BDD6-BC65DE2ABE5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2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FA23FE0-0211-4928-96B9-CB0D386B27A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2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CABCB56-85B8-4667-A574-FEA695B4498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2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09C2EB2-8B6F-4282-8070-C5BC3431352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2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CCB7D3F-873B-450D-BA50-089CA9D2E61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2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E9856B5-71F3-42AB-ABDB-5B70F0E1AD7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2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C00C04A0-ED69-4EA4-9C31-B7FB9BBF0A6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2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CA95A558-93A4-4141-8E85-11DE5B4106E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2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2055D23-AECB-41AF-97C4-790EE685F2E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2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D37024C-F9C5-4AD1-AD72-B1C1491C55A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2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2CAD14C-E0BC-4569-A6A0-038BE35BC2C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2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1D9C4C1-0F3C-4EB7-B63D-0A2E86274F5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2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8B411266-4C93-4EED-8C95-C1F95DD23CA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2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E91A4CB-721F-4E8D-8698-DCACFEBC529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2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B387822C-F1A2-4E3B-85A1-35AFD697CDF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2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B6E07F5-3BA5-4142-90C5-F65911C82B2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2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4F2BE0FF-2A49-4FE9-86B5-F83EB57CA37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2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9915A55-6910-4255-807B-49EF2957032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2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4C62D52-590E-4ECB-9968-CFD6EE37D03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2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50112CFA-0F0E-43FE-B189-766FDA4043D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2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F0E6DEC8-5159-4089-9B79-9358EBF99CB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2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14088255-CFDB-4C1D-8B60-EB46C32054A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5"/>
    <xdr:sp macro="" textlink="">
      <xdr:nvSpPr>
        <xdr:cNvPr id="22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D9C4519B-ED1F-4A13-A518-33D61DCF5C0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5"/>
    <xdr:sp macro="" textlink="">
      <xdr:nvSpPr>
        <xdr:cNvPr id="22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EC728437-3836-4D2D-B726-BF885AF81CD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2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6BFB4340-7265-4EEA-B46D-DF9249C9597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2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32715FFE-7AEA-4CAA-8880-98766D08D10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2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D8DED1F-9F62-43F9-B8A3-4C22943DD5E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2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19082A9-1213-477F-B8E1-A0A51A0BDC6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2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4DEBA368-BEDD-40BA-8940-96030C13472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2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5C5A13-1766-4304-9825-74590DC63E0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2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08A4BE7-B5E5-462F-AEF5-A05B5761B6C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3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CAB480B-1731-4B9A-BB5E-BBC792065C8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3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1F95BEA-4D84-4949-93E7-F342E42C425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3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F8B9A471-A4AF-4426-887B-5392F2E8B6D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3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2462ED8B-0ACE-4929-9F52-913B1E0CCBC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3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B1CF995-37A8-490A-B986-FACEED2BCF4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3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2F99E7F-9801-41BA-921B-343F3D50AB0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3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A8E74603-4327-4238-A8C4-61F80F602F6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3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899AA644-508B-4C71-9589-42D3A3D264D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3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AF16C13F-CDF8-4AF3-9525-CCD354364EC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3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F710BF26-8EC2-4178-84ED-8A980611540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3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1CF39415-0C3D-428C-A421-04D2D746159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3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C2FFCD5-281F-44BA-B19A-F674B79CB62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3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7F322CE-F1D7-42D6-AE40-463C9AB46CB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3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C675959-8DB5-4E9D-B184-57A60B66822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3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CBEC312-26AB-4C79-A329-20832A55C99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3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358040B0-9627-4A94-A869-212E0CE27C2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3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586081AD-A342-4D3E-AA19-C4C0E2B8F50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3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54FFF06-0880-496F-B7B4-9074D48D2F0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3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4B7F4057-1CE0-42BB-ACDF-382103689E9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3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D6A6DC7-E896-488A-94D9-EA4D312E41B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3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EF5B4D19-2E6E-4FC9-AB97-D9899660F8A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3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948F5E6-D2EC-4279-9B5D-2D86B7454AF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3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4A7B8E3-177A-4400-9EA0-7C98F1A983E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3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D6A3935-34B6-4700-A87C-CA4F13BFF11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3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E81C1AC8-30B0-4423-AEFD-23D6A8302E2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5"/>
    <xdr:sp macro="" textlink="">
      <xdr:nvSpPr>
        <xdr:cNvPr id="23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90C2CE67-6461-4BCA-B46C-6EA397F6DAB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5"/>
    <xdr:sp macro="" textlink="">
      <xdr:nvSpPr>
        <xdr:cNvPr id="23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151FD81-DA3A-4161-A015-6D3AC60B876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3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1CB835C-DEAE-43E0-AEB9-1AFDFF33148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3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47884DAF-593B-4356-9573-B31133CD662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3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FAC5A06-B2A6-434B-A580-9CE3590B9B0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3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7DDD1A8-3F14-4543-B950-B8F362EAF73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3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6693866-21A9-4B59-B684-B8DE9B1D990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3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58430F0C-9871-447E-B781-133E3D91A9A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3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9D16AC3A-F13F-4F7D-B4A9-6E9C7EABE5C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3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34D0953-E0E3-4A73-9AAD-B9057C52BD8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3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2A59723-196A-4912-84FE-B75997AF7B7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3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A4763E2-C7BC-469F-8359-B82E9F46E09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3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ED61CB2-702C-4613-935E-D94E0347CE9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3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ECE052-A957-4E54-816C-F50A7C1EBE4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3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4C9C57C-088B-4413-80D8-52B7CC4FC36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3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26DAB195-DB4D-45A1-ACED-947A3558856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3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91B0614-2C45-4A5E-8D25-2571AFA410B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3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8C24A6E-8856-4B77-B42C-CA59790134A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3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09E83791-987A-4222-9414-96A8182ADEA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3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E04A4A5-1DD7-4D5A-9E67-5D4ED170B0B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3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9BDBB95-7772-4ADF-9CF4-DA7CA84FBDB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3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D912E35-AADE-4592-9067-F9F71CC64D8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3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7467C19-89EF-48FB-A968-491A22BEFBB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3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EF8960EC-DBD1-4C88-AC05-37634C28DC1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3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AD55FA6-3739-4692-AADA-953B7DDB8F3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3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38E00DA5-D55D-421F-B4AF-C42026A71C2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3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A1B21E5-F94E-4EB9-9EB3-CE32587F2BD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3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22599CA-D5AC-4C59-A599-58A8DC9C770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3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7916A95-4A39-485B-BA0A-3E5FF81EB3A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3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B241814-25B1-4B36-968F-AC21027ECBA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3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EC5883C9-9DDB-4C97-A077-56A739E4F8B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3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62DB89A-E7B6-4ED1-829F-2B3BBDA4978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3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4903C05-B2C6-4018-85EF-3B77A4234D5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3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CBEF0CF-3A6C-45B0-98E8-2F091E7C4C0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5"/>
    <xdr:sp macro="" textlink="">
      <xdr:nvSpPr>
        <xdr:cNvPr id="23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855D86E-84D3-4871-9F15-53637FDA92C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5"/>
    <xdr:sp macro="" textlink="">
      <xdr:nvSpPr>
        <xdr:cNvPr id="23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3BDDC831-5C40-4A51-828C-C5EEB630731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3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89A0C483-2F9E-4BB4-8BD4-A757BB661AD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3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94994B-EAE1-4180-AD87-F46C2319ACA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3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145F56C-2FBB-4BD9-A421-23CB1C91B8C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3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E1D4E0B-A601-4C69-A5F5-FE629667441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3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96C7A313-3077-4F14-8897-4357C2D0D81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3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5C151845-8CC6-497F-9108-90ABA34B30F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3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57B1F237-2EE3-4E68-8026-A62E07D24FD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3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D8B27C-CDCF-4A9A-BBA6-3316C4FCDAC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3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955BE5B-38FA-4464-8468-7DC50E364DA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3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AC5CC93-BC46-44D0-97F3-76BF065E34B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3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937BDAD-E185-4294-84B0-CB42A890518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3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8225AC6-A839-4882-8422-0971E6F9E60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3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8B955436-2000-483C-A1BD-0F8755CBA1F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3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98297A2-3D11-4DC6-B82B-CEADB80AF6F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3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75A07DF-E099-46E7-BC47-11A34223A7C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3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9E0960A-1960-4ED2-BFC3-9F9CF7E5E39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3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D8E6B02-B3ED-464A-B20C-D8A0ABE5CDC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3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E0C273B1-379A-4E8B-83F9-39DC049BE34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3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3A94E8-FF5B-4754-AF72-88766899E45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3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97D5D9EA-656E-403E-9F60-79F51E60A18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3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D32340B2-0022-4EEC-9A62-4126F646206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3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C627383-350E-42E9-8EF1-724108CFC03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3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6A4CCAF9-5773-465B-B9B0-06B9C9D2BE4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3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EBC75FC3-0198-41A6-BCB9-8566619702F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3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33EBA2CC-D845-4A28-85BC-75B0D1C4E2D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3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04FCDB6-901E-4380-A4A4-F3FF5E89991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3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7C4E044-4B6D-4A5C-B888-3228FC0752D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3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53CF1C7-D6A2-4E6C-9F79-726B3A9F019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3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065D54F-1AE3-48E5-A416-8833AD69015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3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3CDCCC3-EBD8-46ED-B17D-A86958CC81B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3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CC907AB-4ABF-436D-89F7-E783A4793FC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3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F3169FF4-D4D4-4B0C-BE83-E0797E42439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5"/>
    <xdr:sp macro="" textlink="">
      <xdr:nvSpPr>
        <xdr:cNvPr id="23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922B69D-FED6-4F7B-B73F-245F5A6C8A7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5"/>
    <xdr:sp macro="" textlink="">
      <xdr:nvSpPr>
        <xdr:cNvPr id="23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492BEFB-0328-45BB-89EE-19F2D79C686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3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F06AC77B-4377-4603-8E5D-320CF6C2D1F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3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541F316A-FF38-4684-B510-D63A20CB362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3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9F197C4-FAB9-4353-92EB-7E154888B79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3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08B2AB2-C8C5-48E7-BA91-B1AEF0B8093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3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9F1DFBE-478D-48F7-AA1F-C20EC6F3438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4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DC399656-9951-428B-9157-71607D0C8F7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4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0C72A83-6C2A-4827-BA59-AC15FA83EF7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4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08DFD9C-D1EE-4005-B09B-21218F8D810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4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7012C39-767C-43BD-9B7A-C7CDF4DE39D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4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EF87B5E2-1F11-4BCF-986F-205C2187BCA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4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B0687EDF-6B74-4366-A4DD-414EC73A7ED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4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D8F17AD6-0675-4F82-A6F6-C6490BEAB09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4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FD5381D-9C36-4E36-8D90-968A6242CE3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4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EC2DB44C-B205-4870-A947-A7AD806C010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4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39B2D0B-1714-43F4-BF1F-DD2DD97C450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4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420F267-31DD-4490-8115-D5F77946CE9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4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40F379F-EFB8-4C6C-BA17-287DA535E05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4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979AEF07-ADAB-4E4A-BB61-A29C920DDE3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4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9829056-413D-4D7D-AED3-1C30ED17EFA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4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FB00608-CB5F-436D-A958-5DEB08C8C66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4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4DD86718-9EAA-43AB-8940-41739BA0336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4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2F0CD81-04B4-4CAB-AA45-E07AAF0D34D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4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4A553450-413A-4CFA-A83D-532AC0B57B2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4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E1034A6-4CC2-488B-9FC6-8F5B7044B77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4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69327B8-5C74-4D51-9428-F54E29B9BCD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4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028838E6-6BB5-4975-944C-F3CF621BF30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4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1A3050D-2DEE-4DC7-A57E-DC3C56023E6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4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AE20B68-EED7-4ADB-A71E-06820482B87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4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72651DA-A4E5-4A32-8FA9-8F16783A721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4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C5EF4314-CDDE-462F-9263-DB93DD3B677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4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4B2198B7-92E3-4F7E-B661-ED97CCDB9AF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6"/>
    <xdr:sp macro="" textlink="">
      <xdr:nvSpPr>
        <xdr:cNvPr id="24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3D8BD3E9-6A83-4DE9-83B2-45E5824A87E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4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5E1E0FCB-F83B-4DC6-8195-74FB0279371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4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E1363F0-FCE5-4574-87AC-DDA992D03D4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4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3BAC123-FC57-4165-A6E9-17D2A67AABF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4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E1255FCB-D24A-4EF1-90B7-1303A14512E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4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105FBE-EF08-43CB-BD69-39582DB0DDB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4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B3FAC7B-CE01-4683-84EF-C3466A00661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4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89EAE5E-DCBC-493F-B288-E493A973C3D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4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D0603BA-1194-45B0-82D7-CF1F88D770D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4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CE7B927-9D18-4F0E-A0B1-0615F5A1453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4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C498D377-8E22-4658-AFB6-5C06C43894C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4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71813C1-AB2B-42A2-85D5-97089138452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4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DEAACA8-E2E0-4D1A-9D59-35B3D25A004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4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48961E-B8EE-4857-BED0-B6A3A12ED4F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4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6656E3-DF43-45CC-95B6-F1DB31E76B6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4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9C23C35-4670-4A57-B79C-CD2D482B079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4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C255A27-43FF-4473-8AB3-E78EAC43E82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24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0FF75CF-577B-41BC-A4DC-11F88F38763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24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0F94E2B-4A93-4B95-8383-402606A8169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24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EE643BCA-F46B-4596-A75D-E9CAABF6D55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24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B5DD884-FB32-46DF-84AE-B6A2FB453F9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24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8F4DE03-4F1E-4D6B-92F4-44CC70B0CDE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24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BF09D285-B91E-4467-ACA9-81D4CE6F864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24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E77CAAC-5BC8-4AF6-97E1-5F0ADC97F13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24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94F6D483-FE1C-4E06-84AF-ED768FD62F4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4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5EB310A-A55C-4A11-9FC9-2ABC0A627CB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4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EB82065-B7AD-4DCE-AD76-F42807EE33A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4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7C17B54-91A6-499F-AA11-69ED5B0A20A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4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85D31BA-0478-43FE-B8D7-5AAC3AC6A9B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4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9F0CD06E-55BF-42D8-909B-AFC062BD631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4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9399309-5084-4579-8347-9BAAA226294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4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A1793266-C17A-4235-8282-9BAE6FA9135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4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EDBBFC6-AA30-46F4-9B55-52DAD943032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6"/>
    <xdr:sp macro="" textlink="">
      <xdr:nvSpPr>
        <xdr:cNvPr id="24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1FA1FDB-474C-4C9D-9CEF-928E76BF0DB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6"/>
    <xdr:sp macro="" textlink="">
      <xdr:nvSpPr>
        <xdr:cNvPr id="24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59EBD23-9482-49CA-BF33-D19DA04AF8B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4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F214E32-3137-4FB0-ACB4-6BA09799F07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4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0B76E62-1D35-4D42-8077-ADE78C210E5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4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688A6BF-986F-471B-BD72-1734914E7D2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4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8C7C2AA5-B29C-4DCD-853E-B4D746CF5D1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4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2086ECC-8DB8-41E6-8136-351B5991F2F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4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30A4932A-4E69-4EBA-8BBB-1A7551BD5BA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4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C055B9B-0245-4686-A5A0-66481141B17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4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9C74F8E-FF0E-4D13-84AF-1048729655B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4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4C68A602-7CEC-46AB-886F-881D2632490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4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1EFC6757-3FA8-426E-8D65-4F5F52878D0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4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4BB24C9C-A121-4238-BB49-42A07BBB978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4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53F0C568-3E60-4C39-8E27-4E71D4100EC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4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C974F7A-EB1B-4F5D-A975-25824AF1719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4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4A46336-D45B-4A80-A3A2-31F2C50ED76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4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AFA5D67-3F38-4460-81B8-3A9EF8E2CF4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4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4B7B802E-08BE-4D75-B433-94272AE31B5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24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F616671-AE33-49F1-9022-D38EC6CB0C5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24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A3EFF54C-3DBB-4F11-9CB1-56A60928449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24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DB1FED3-2826-4DB1-B115-B7BC7BB2323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24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347BDE4-5175-4152-A4CC-191F6E37287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24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510D836-8D08-47CE-87F8-A68A54A5467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24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586428E-F535-4135-8D24-C396D32D06C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24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BDCEDED9-5E29-4859-BC6D-B55EB614BDD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24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CB0C705B-ED7D-45C7-B27A-67C9B354965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4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0F77B12-20D9-4412-9CB9-89268FC511F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4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680048-488D-488F-8BB7-F0233072D2E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4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A2E1654-3C13-403D-AAE8-A97F85D768A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4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0D48CD71-FC60-4C59-9AE6-4113CE505FB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4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19D71E3-58B3-463A-A303-F42AC507DC8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4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848DF09-EC85-4036-B6E0-D0777A58F1E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4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3CF8629-860B-4180-BA52-8D36237A8C8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4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59C8F503-0E0A-4CB6-B2CA-06473E2B422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6"/>
    <xdr:sp macro="" textlink="">
      <xdr:nvSpPr>
        <xdr:cNvPr id="24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E9B98EF-DDD1-418B-9810-33D1E02038E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6"/>
    <xdr:sp macro="" textlink="">
      <xdr:nvSpPr>
        <xdr:cNvPr id="24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E32B60-ABF4-4F93-B53C-0CCCFC10C4E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4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4690FB33-BD31-442C-A456-5DD37904488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4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A8D9E13-0E14-4C1B-9496-8838B8E726D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4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29B4ACC9-0109-487F-B78B-C05320A1DE1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4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E1D20F5-02FA-4554-A9B9-2BEE783E312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4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7655857-CD8E-4B77-B7AD-3220337998A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5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5004CC74-C64D-4CA7-8D27-B92F6969CAA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5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754C938-05F5-49C7-82B1-7D472E63D4A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5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ED13339-DA3A-495C-8F6E-41908A7481B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5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635DB00B-9486-4723-BBDC-A8CCAD32C0A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5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D236B32-F09D-4226-AAF9-EB4DCD80855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5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968BBBB3-260E-44BC-B553-68F29BCC5EE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5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4EF4C474-8348-4881-8CCC-4C815E578E2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5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62B39B5-5D1C-4042-9893-7D157804530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5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BBA7271B-D0AD-4071-9850-56029AAA009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5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E8DB2161-C066-4205-9470-210331222C4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5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44AB641-378E-46EC-802F-208A49E745F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25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490A8DF4-0E63-43D9-B9A4-07B4BDC47F7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25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544DF5C-A16A-4A39-9CFD-A19EF37C5C8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25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6FE73D9-F44F-49CD-96EB-AF681560661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25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1D78D6D-98CD-4C6E-AED0-D846DFC0D06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25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E2FE006-0C18-46E7-8FB5-3B04523AA52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25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CCB9077-B228-4725-9CA8-4229809A58F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25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21E5DDB5-5414-41F0-8CF5-BC6D63A5946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25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EB13FCAC-88DE-4F30-98FB-62174A3CA4F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5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8AA5172-4584-4F76-9BF2-6B49E3B8E04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5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19E2954-30C7-46EF-910A-E178F965802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5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AAF928BF-56C6-436A-B21E-136A56FE300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5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5A64DD9-2A21-4B5F-BFBF-C571E58D305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5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2C2D511-B021-465F-9BE5-A7421934AC4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5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5111127-A75D-41D9-84C6-F5FCBA0E7EC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5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0D2AB8B-8F75-45B9-8B8B-776482B3533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5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CEA3AB0D-9D7F-4795-AF2D-A06DD6273CB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6"/>
    <xdr:sp macro="" textlink="">
      <xdr:nvSpPr>
        <xdr:cNvPr id="25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FCC169C-675E-4E7F-83DF-72FEDD1128F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6"/>
    <xdr:sp macro="" textlink="">
      <xdr:nvSpPr>
        <xdr:cNvPr id="25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BDB6816-CE42-4935-AE08-D0B7D0B4944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5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FDC20AA2-D579-4AD6-9939-DF95863241C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5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5E78A8C-FF20-4915-BB88-1B14F056483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5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8D337C1A-3A7F-485D-B756-75391C74B78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5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9F535C21-9EBB-423E-8FAD-48E943CB2FB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5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2CCB7710-6C3E-418C-974A-D491A1C5583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5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F089E88-D548-4948-8799-C79797C27EE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5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EB6B71B1-2FBA-444B-B971-FCA2E2334A9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5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82D4BCD-5813-4956-945F-7A31162C61B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5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00BFC65-C00A-4011-BA31-F4D3B4B2798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5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7E5EB93-B226-4FCA-A3BB-6EFD28E82A0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5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19896C6-B180-41D1-A007-18D7DD0DC8F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5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87C37BD-0073-45F6-8E76-6F842831B50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5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DFBAD04-D6EB-4B85-BED5-F5F639E73FB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5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6237BAA-53F0-4383-8E5A-67EDD4A05B8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5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2AF4CBD-1FC3-49CB-B3F2-AAE8EC3BF2B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5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9DAEA6-4137-45E3-9C27-2CDCD8BDA9F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25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FBC8D3F-9D75-439A-95AD-825DDEAB1EC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25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3F27670-D1A8-4983-964D-1D1D0A93B2B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25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9D82AC5-AAEC-4023-8F8E-EACBCBE6200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25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ED1DAD5-3013-4D4B-AAC9-F9E03511054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25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46FA98E5-E9B7-4321-868F-3E87E70A522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25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E781F55-4AF5-4ED1-BE6F-BB01FEE8226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25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A8261EB-E3E7-44B6-B71E-D9E7EA6A208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25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7850ABF-DA47-4968-BB67-10F85A67A22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5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A99910-24F2-42F9-B917-2EFE78145AA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5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7C900CF8-D701-41F9-A438-1E47B0841E9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5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0D0879F6-98EE-4474-B4CE-F7FB0D13DE5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5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C946386-90D0-4D7E-8CA7-D237946B7DA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5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A488248-A5C0-4C3B-8952-5F598B3BFBF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5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4872ADA-3559-45FD-90BA-A2772D63978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5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46A91571-D89B-4A27-8112-70605027091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5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5DE989AE-C103-4798-8587-C74CC2CFFD5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1"/>
    <xdr:sp macro="" textlink="">
      <xdr:nvSpPr>
        <xdr:cNvPr id="25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D8566D24-1DC9-4810-8B19-9E4B0B02FB0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1"/>
    <xdr:sp macro="" textlink="">
      <xdr:nvSpPr>
        <xdr:cNvPr id="25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3345F52-BD23-44EC-AE68-312870BC728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5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E09E4BB-739F-4179-B7A5-06438DA0DFB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5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F74D895-8775-47DE-9438-AD0D66B7B5B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5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5A808FD-BFF9-400C-A863-60733AE497F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5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453EAAB-0BD7-4E12-A489-B20678D93B7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5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744D2ED-77A9-4352-AB37-F10ABA7846B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5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6AE14BB-F16C-4811-B1E2-36B76C83433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5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E547634E-CFD8-41D4-951B-B9D6FB0784B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5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71FEA41-0A2F-4163-95E9-86B61411393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5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FE9B0FC-798F-484B-B1FC-333F0D13F94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5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F381417-3FA2-43B9-9E06-F266AD495A1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5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52922A0-7564-49A0-A8A5-ED73288F73A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5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35D3E0B-5D9F-4B66-B043-B1D1D73B1B5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5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4C3D75E8-EC82-4DEE-A876-2521A8594A8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5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4A89F0F-BCAE-4F50-AF0B-DD61BA5A842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5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994D66C-D5E3-4F21-8926-CD86AFE92EE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5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58A21031-39D7-474E-AD2F-DC9C45C8B7E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5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0EED2C7-1863-49BE-A402-CEB146A5507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5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F852291-A217-4993-84A3-5421700C886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5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6B5E66A4-ADB5-4570-A965-79C75D441B5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5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C3EE25B-E56E-47F0-A35B-37295935BE1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5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917D6AD-FF6F-4841-A0C2-8DDE678C63E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5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E9DF477A-C418-4669-9D3F-11A92DAE46A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5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3FD5C7DB-FB83-4CCD-B30F-B53839CC2C9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5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DDC912F-6C56-4517-B187-A8E1EE20E55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5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2B2509C-1B7D-47C2-92CA-29A9E26244F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5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45607F8-0B48-45B0-9E8E-EC9275B7A36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5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A3F6BA2-CB46-4448-9BC6-748010D7839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5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32024307-A083-4584-8367-610C75950BD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5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BB77E33-A55C-4CFE-8CCA-77E322CF7BC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5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C4ACADC-F464-492A-BCE2-D872ABEB29E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5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9C40E13-A2CF-42B1-80AC-F4D4B5B1885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5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59DC4C6-3D4C-48B1-B2EB-24BA4614C1D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1"/>
    <xdr:sp macro="" textlink="">
      <xdr:nvSpPr>
        <xdr:cNvPr id="25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90B27242-8B37-49F3-BF4E-3D0E933CFDD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1"/>
    <xdr:sp macro="" textlink="">
      <xdr:nvSpPr>
        <xdr:cNvPr id="25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55156D8-AF5F-4967-9612-CA476E12E18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5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AF6C3E9-E59E-4FAF-A4A5-5CF969C6277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5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0B60E13-5CC2-4482-BCAA-507B19C89AD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5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0703F06-ED8A-45D0-B0FF-D1684217236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6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2AEEA2E0-FC60-443B-8872-136FC89A4EE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6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ABEC94B1-6835-4C5E-BCAE-CB977410A34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6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42F299A-85D7-4633-9A67-4D4A561DDB1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6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0D80151-DF6B-4A6F-A914-1F4D19ADBB4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6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01ED003-B78E-4757-B132-7C4A3017B67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6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998C3ABC-EDE6-4EFD-B9D3-A1213DA727B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6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4E2F3848-C601-46F4-89BB-B6574DE8FA7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6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35C4370-DB91-4EA9-8D1F-7AB995DA81E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6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5AAC35C-6916-4FD8-AA78-5252E951C72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6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852D360-31C6-4E0D-B994-F03D1D80E29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6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DF8FB10C-4B11-477C-BC04-CDCE32DFDE3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6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64CAF57-A498-406B-A2F6-5C8B20AED89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6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A8CD9B4B-8D56-480C-8389-C949AD0902E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6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7ED401E-33EA-41EA-98F1-0EB01E56555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6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E8E9583-B72B-4A6F-A214-5B53A7311F2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6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32DCF62-7C40-40CD-928C-892187F1751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6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5B03D9EA-34DF-40C7-93F9-852E50C8A15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6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9738AC6-F7D2-4BC9-A108-10FBFFEA3B2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6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647848CB-8A18-4CB8-9B1D-CD90A8D3308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6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6A3E5C7-DB69-4065-AD43-C3C56CD2EFF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6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F0528D91-DC9B-496B-930D-AACCB8A736B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6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CC15DDC-663D-42C8-8AB1-B0C9B7A5EC0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6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2889665C-AF60-40FD-9A8F-3B42409C38B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6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6373B571-41DC-4560-B16E-85AEC70189B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6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779C6E92-CE30-4B3B-BDB4-F590923E3FB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6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A5153D8-C7F1-473C-98DA-F4A16E17689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6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C4DB2FA-38BE-4161-BF80-31AB33FD798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6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2E64702E-8E49-493D-A5EF-C46DCFD6F6C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6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9DC7460-BE7E-44D4-92DF-238A8B5278B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1"/>
    <xdr:sp macro="" textlink="">
      <xdr:nvSpPr>
        <xdr:cNvPr id="26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C7ADE43-7AD2-49FC-86E7-7045A58ECE2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1"/>
    <xdr:sp macro="" textlink="">
      <xdr:nvSpPr>
        <xdr:cNvPr id="26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2310DFE5-54E8-425E-B638-F93F65D7F9B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6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7401117-A9FF-4A43-9715-87C175C5916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6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222C8E44-4432-4EC1-802B-87F419CB42F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6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42643B1-51C9-482C-BD0D-79681BEBA0B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6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8A2F607-C49C-44F8-89F6-2D95A22106D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6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038F740-103A-4730-B26D-707099855E2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6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BCEBA89-2362-49A1-9749-158FF384C3E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6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F86086-9DB7-4067-AA3C-0F2E31F179D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6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17C7D69-3C81-4B8B-A156-190C2315415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6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ED6A0703-5747-4C5A-881C-322ADF5CFEE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6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0339860-3DDA-4272-ADBB-9C6CF190806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6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7BD51E80-2B62-445B-88F6-61EC5EBE249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6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EC3325A-F481-4089-A977-72189EA871F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6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159248E4-FCBA-4A50-8ABA-B4844658FAB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6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1B604AC-C988-4759-B94E-37637A1D21E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6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F0E81F40-F064-40A1-B867-2060BD05300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6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D3A22036-010F-467A-A061-F9B26A221E0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6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E6EF25F-0725-4217-9077-C18B561A099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6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E3E9358-A4C2-4E84-86A6-877257092B6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6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8CCF59A-524C-4B8B-B6A5-2B6393C7225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6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12DDFC7-0B95-4161-B79C-827CC4EA61E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6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853D8B53-12B5-4025-933C-1D9C4FDF3BD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6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CFEEE24-9341-4FDC-BB28-DBC9E745DB1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6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74187A2-338F-4970-8E2D-188C82F6A46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6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372D0E21-2AC9-4319-8DF5-47A9FEB00E9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6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E9E131E-15CF-4F26-8A2C-770A8A8EF3E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6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631FE97-B054-493F-93BC-08FD8D8F1D9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6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4B29B7EC-0F48-4D83-9EB4-74C450BFBE6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6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4086DF61-4EF3-47E7-870A-333DBC376A8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6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E536FB2A-6442-4023-A198-F899F47A1B1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6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E73BA4F-5D34-4BC0-B1E2-7DCAE3F3A76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6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4B123F01-0A65-4716-A4F2-3627BE91529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6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CE19447-7AD2-4B2A-BD6A-B022100CCCF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1"/>
    <xdr:sp macro="" textlink="">
      <xdr:nvSpPr>
        <xdr:cNvPr id="26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BDB6A7CB-3575-4928-86B6-0A68A1BB6D3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1"/>
    <xdr:sp macro="" textlink="">
      <xdr:nvSpPr>
        <xdr:cNvPr id="26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6FE92400-FED3-49E9-8495-16864B3328C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6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22DF7B9-BA32-4BAE-876F-6425007EA79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6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36225F6F-52D4-47D4-A0FA-040B25AF607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6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A81177C-3CBA-4005-AB2C-ABE858E70BA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6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6D113E5-6C43-4969-BC2C-2607596DD80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6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9B88381-F998-4C61-8E37-BE1D7B01FFA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6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CEAECAB-966E-499C-8EEA-E2D2465B54F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6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72FFE066-C2E9-4141-83B1-5764439DB8E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6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CAB4DE6-C2C2-4BC8-9FB6-36F1FDB0060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6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43B7035-D846-44AA-A785-3F18D32354E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6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3DF85E79-5F92-44CF-AB8E-F4D58A36AAA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6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9CFDF5A6-6C98-4980-9CBA-C8414677AC8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6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327380C0-A84B-4239-BEE0-97C14FD994B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6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72C8F0F-81BB-4D3C-97A7-6BF882B9D25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6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BE168CE-5561-4F66-8932-8027E0D5860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6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B92968A-CC32-4EE0-ACA2-B640758F439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6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8E18134-5FA1-49DC-A1B5-B113E5B50D5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6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64B64BF6-FCD9-4E4F-B2D9-3B7D3E661F3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6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72B6827-2CA0-48BD-B28F-4250F753C08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6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670121D-C92C-4204-BF06-589D1D71EDD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6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CCD1F5A6-8C2A-441D-9643-3FCE04EA666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6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B087B37-5581-4F8A-AE9C-4D64F078D02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6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51503C9-65FC-4960-9DA5-EE154A28B83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6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C3BEE0B-7174-49DB-8FC0-7574C52E3C7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6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689A893E-60B6-4A69-B67E-7F97072F7D3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6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6BAAC4C-2FB9-4231-85AB-ADBA25C20EB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6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26D68038-D9C4-468F-B950-7487DE0790D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6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2F2A27CD-CCC8-48CF-B339-C379D17E8F1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6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37E9B88-742B-4CED-9555-FBA2442F942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6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BDC53442-8298-46CD-B9B8-574BF196B4C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6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D6EB6A2-111B-40F1-9C71-0DCD8F438C9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6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3AF14283-0CE9-4656-856C-17F62A7EA58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6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C6F9D8B7-D14E-4C4E-89D8-346FE16D941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6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51C6EF8-B836-4F21-9264-6EB9CF56D57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6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6FCE4F66-C3C5-46ED-AF67-60F72131F0A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6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C7036F9-D084-4F52-8739-E5EE8253DFB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7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41BE425-90E3-48B3-BD06-7C6BD43AEBD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7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172C69D-7D1E-4C7E-917F-A7915583C13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7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41583DF-427E-413E-8CCE-E1C9F8C7AC5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7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59ABEB9-A587-4FD8-9D86-2954E01A190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7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C37F5934-7A62-4494-8902-68E0AB332D7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7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024E373E-A218-4448-9416-1B9902026B2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7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4875E2C-745F-4E81-8614-CCD84CA3417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7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37C8C8-46F1-4937-8511-4F4EF0D1828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7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E42CD76F-7558-4DD5-9F3F-AB95C4242EB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7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7C005CB-9075-487A-A760-C55E5C10309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7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30320D2-B25A-401C-BFC7-4660F0235B0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7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8644A16B-A0D6-4519-9C9E-D75F81B8EEF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7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097BD5-DF48-48BF-840A-EDEEFB36BF6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7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8FB7210A-2A4C-4C31-95E0-4538DAB4FB8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7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052F92F-0B90-49FF-9F0E-D2C625534A2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7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E42897DD-9951-4FC6-A668-400271E7E6F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7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FAE25D8-8E3A-4991-8A5C-4C770DF5F0D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7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869F99A0-3C0A-4BAB-9308-8C9380DAC80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7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0A3931B-FCAE-4636-8743-2E88AB745D1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7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2916AC3-B842-47FB-8181-4A18FB71C56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7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57506201-FFA0-4609-BEB2-13A8219805D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7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AB78053C-3A46-43D9-A9A4-2B7D93DEF25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7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B86A5FA-AADF-43EA-A94E-A60DD0B3F73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7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669C56B-0D09-47FB-AC65-FC025366914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7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6A5477A9-C69B-404A-80E3-692E20DE671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7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CED88F4-CEC9-429D-87FD-940ABB449FA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7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4852326F-24A5-4F34-AB9C-A3B02C6D244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7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8C44320-744F-4914-8CE8-ECE54A2347A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5"/>
    <xdr:sp macro="" textlink="">
      <xdr:nvSpPr>
        <xdr:cNvPr id="27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EB182273-E230-4188-B360-B8E099EFAD6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5"/>
    <xdr:sp macro="" textlink="">
      <xdr:nvSpPr>
        <xdr:cNvPr id="27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2FFD25DC-FB66-4998-A507-42D96714AF5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7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13B61A1E-9A81-4DFE-BB83-8C755912472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7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97C2375-B913-4F55-9651-4313D87989B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7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C533962-FA4E-4965-9A37-BCCF38FB2F9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7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90AD7F55-3D65-4C41-8F07-F3231EDEF5D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7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196F8DA-09E5-4E1A-BE39-E0DBE1552AC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7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B912261-7D0F-4C79-BFFF-9EF663CBD03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7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0BF18C6-0C43-4989-A88D-BE461960396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7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AE05B3C-49ED-4604-9289-70C1447D0EE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7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BC8D02BD-F313-416E-B94E-5B97443DEBD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7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897BC72-5FF1-40FF-8070-0F431E46708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7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034A41C-C659-4DDA-B93E-0E5B33C3494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7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389CA08-4A8C-4963-B08C-CFFB52B6C15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7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E2B52013-0133-4507-A1EA-A38E382F371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7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ACF5D1E-34AF-4322-9340-46D8D991166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7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87F7142-5B03-4869-A6E3-898988ABCAD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7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8FCE1F1-CDDA-43F0-8972-BB6E3B9B24C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7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DEF849B2-F6B4-4E7F-AD7C-1B7A90B8B1E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7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EB6F125-D4F0-4F12-B6F4-5DC7FE6A158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7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A8F0035F-37F6-4F9A-BD0B-B1D05DE45E6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7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B005CB4-E05C-4C58-8817-0EBA61053AA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7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3B8FE2C-575D-4613-8827-AD2941A26ED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7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7021C765-8984-4D48-A653-2108DC0172C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7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6355DE7-B994-4B55-A78F-B946DCD7E12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7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8931F2DC-CF66-4CFB-B2D9-C1DF7094E18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7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3DA5BC0-13EE-4FE1-A96F-5068FCC040E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7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4CB6ECE3-F939-4D34-8C80-E529618EFCB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7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9965378-02C2-4F62-87F3-D64C8D7C9E3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7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44643A14-6899-4B91-9BD7-B6B84558234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7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05339A5-FF9D-42E3-B68D-3C628C232F4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7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99A5974-BCA6-4058-8FB4-B803EDF0B5C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7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E5C6AE02-72BD-46ED-9D3F-8356DF085D4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7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63D9950B-A94D-42B3-BCA5-9A870A3C911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5"/>
    <xdr:sp macro="" textlink="">
      <xdr:nvSpPr>
        <xdr:cNvPr id="27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BD922A9-D3AC-47E6-BE96-9369144F0FA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5"/>
    <xdr:sp macro="" textlink="">
      <xdr:nvSpPr>
        <xdr:cNvPr id="27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8E77A39E-33D1-4797-A98C-C02B4600827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7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EF0ED82A-9A52-43AF-A70C-687C48A5C5C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7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1F9B83-1A4D-4762-90C7-E687FB8C84E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7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5B703BD7-A040-4C57-88B4-A433F1E1BFC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7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AD001B7-7D7D-4ECB-8B3A-032399EF16E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7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4B6A71EA-2B19-4600-92C7-CA199D97B57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7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33BD275-C628-41F7-86FC-55499B7C57A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7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5B7DD420-0970-4C54-BEF2-20FB59F3B5A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7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C6B3B37-7514-4739-86EB-F997C0E2784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7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04017D1-F695-4EF0-8CA0-E5FF539AAAB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7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1CA3A1A-DDB4-4425-A689-27C3859DC2C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7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D54A347-969B-4C70-AE4D-91E29DB9991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7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FC003AE-F8AC-4C7C-A6F3-AFD319AE8F7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7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316BA08F-385B-4CE2-9D5E-43F803A1225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7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851E392-3FA4-46A2-ACA3-C5AA2ECA69C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7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4174A36-661A-4A14-B856-BD5347AA186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7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8D23EAB-05E4-4832-A3D4-333089E1161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7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14FD3413-D3B2-46D6-A20C-186D326CB49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7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CE6E9B-57F1-45EC-84ED-54F676F1FDB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7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9B62116-2218-45F5-81AE-432E889C7AA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7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104A0026-93AF-4221-B720-1C5252DA4D4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7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E2CFA45-DDE7-4735-92DE-B60254C4FFE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7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9B068FD9-BFB9-4DEB-989B-5D4AA7202FA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7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57BA9799-2FC9-43C1-8B9A-5083E9A22DC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7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6DDE584-AA6D-49E8-A343-0E9AEEF3492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7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4E5EA35-F1D3-4270-839B-C4FA79E17F1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7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710B496-C011-426A-8BF4-95ABAB8E39F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7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2BC36B8F-A4E4-41E1-AFFD-D9B112C2055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7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309A9C8-F21E-49DD-A496-A1EB61A4497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7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2D3E8E3E-1EB2-49E1-AD29-31675F5B7A9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7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9EFFB28D-D1EC-4D74-A4DF-763074E6A61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7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5677D86-FDD3-4CA1-9756-1236C23E94B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7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2D4F7FB-2A52-4CEB-82A9-E49B638526E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5"/>
    <xdr:sp macro="" textlink="">
      <xdr:nvSpPr>
        <xdr:cNvPr id="27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40DCC40E-96F7-4407-8535-5922445817E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5"/>
    <xdr:sp macro="" textlink="">
      <xdr:nvSpPr>
        <xdr:cNvPr id="27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D39B91D-C7B3-4210-941E-2F094263319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7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E2D1E8E-2A4A-41A2-B0F5-F876983C9D4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7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B20DAFB-9C30-4035-A4D4-2A37D633846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8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DFAB6F63-EB2C-4E53-98A3-3F4F54690FD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8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78A327-30BD-4B58-880A-CF72041C58D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8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FB46717-1332-4719-9170-BE6AD1E7D40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8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273158F5-6EA8-49AD-9302-7140AD281C4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8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7E1AB60-438F-4158-AEBD-69B89DD3E8A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8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530D134-8CD0-4E02-9959-A679654873D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8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DD9421A1-4425-419E-B91D-37858681607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8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5F97D5C2-C763-463A-8C38-43606EBD441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8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58003F78-502E-49C3-B122-4C15CAF9A6F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8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2C4DF297-FD47-492E-A5FC-FD870D381A4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8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F87ADF-B627-4E82-A5F8-5786BC258B3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8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3B9B588-2E7B-44C4-BDA1-74B41568C77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8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6C96787-3826-4293-AFC5-4282ABC3EBA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8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5095D46-B22C-42E9-801F-DBC3E2F6AEB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8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6C6CA5-5C30-4B94-A02C-FE1466077AB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8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23E2E5D3-C93E-445E-8270-92470C2E528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8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BA839CE-D7FD-413F-AAD0-0775E9AAB44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8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35BDF89-99FB-4A46-9821-63008CED2E7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8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1CE6940-8311-4A6B-8FBA-319F79870A4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8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BE476FC-837F-4057-99D7-924415FDF51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8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DF89CA23-ABF5-45CE-A15E-A4D034A6FA1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8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DDE5B7AD-CE09-4DCD-AFD7-70A2802E59E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8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E80BFCE2-E25C-413E-A2B4-A4FEB57D615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8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034689B-DC37-43ED-85DB-76E23F95534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8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0050D39-95DF-4922-BC2B-23B6391128D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8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1395C3D-E9A6-459A-97AE-89A3D5B03ED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8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27CEB98-4769-4C6E-9841-63775FD1871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8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1213B12-4EC1-4544-99B7-20B2DFFC0D3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8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B0F8B21-03B4-4B5D-8003-3C04DE88A2B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8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230F8F3-D7EC-41A1-AF54-48BC102C64B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5"/>
    <xdr:sp macro="" textlink="">
      <xdr:nvSpPr>
        <xdr:cNvPr id="28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D1C55C21-3F50-4D12-A689-9D62C659E71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5"/>
    <xdr:sp macro="" textlink="">
      <xdr:nvSpPr>
        <xdr:cNvPr id="28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319072A-E72B-4F12-B150-1E34864AD03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8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D39AFD6-F7F4-4103-94EF-EEDB2C2F572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8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ADB1C8A-5A2C-413C-99FC-7657B8CFD9A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8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F3FA8D9-3311-4356-8A64-080D4409282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8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F9DD9BE-EB62-4CBA-AEBA-8C3F28236F2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8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71E2753-DF81-4AB4-99AC-F84F8290765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8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AE76788-B69E-403E-9357-18603D580F2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8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5F83004-B9D9-49C2-A812-8FCBA6ED0A8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8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9BF4D15-EFC6-41DA-9F8D-F454B36F592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8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B1DFBAA-CBF9-45FA-8799-08660FF0A8D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8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2EBC90A7-68C0-4992-A93C-3D1D4423183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8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F0996C26-741A-4CAE-8C74-EC5745D8C32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8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B0EFDA1-55D6-4522-ADB7-CD978165A0F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8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120B597-7A24-4825-8F6D-CE054E08D40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8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C5C9B29-BBF8-4C43-9851-30F7BF85972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8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76A7CAC4-E54C-43C6-A3D9-2112F4B9227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8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96AEDA3-3816-42BD-A9CA-767C8AAD2D0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8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0FB7C80B-73F5-4227-9BE9-7FC973563F9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8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8E36B8E-9C0E-4A8B-A95D-219DD2E3844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8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0F73AA32-D8A0-48AF-9F17-15DA763DB13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8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7CB24FEF-753F-4AAB-A879-71E52571B1C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8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EC2EF74F-7B1C-4770-B4F0-7B6FC701C35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8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19621E8-3D07-4C4B-8958-A6D2373EF8A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8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6E147A81-D06C-4F34-951C-C6A5C306B94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8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20FD8AB-64C5-4B26-9A6F-58E5FAA2C34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8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C329EDA-5353-43DA-9B50-2B105DCF597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8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87F38B7E-A550-49A7-B567-9730D0F4DAC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8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B46CE29E-8CB4-47E4-B874-A5DD75B27EF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8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310DE47-2367-4D84-AD54-A5EF178BB72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8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1A004BF-12BD-425D-A2FD-50F6AA8456F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8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69EBF64-5D5A-47DE-9E09-6608D918144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8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AA843C4-B349-4581-8E9F-3DE42F30EEC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8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60327DC-9CFD-4A50-B7A8-BDB1BAED8B0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5"/>
    <xdr:sp macro="" textlink="">
      <xdr:nvSpPr>
        <xdr:cNvPr id="28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E3BC144-FBBD-4CCB-8840-18F6CD63B60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5"/>
    <xdr:sp macro="" textlink="">
      <xdr:nvSpPr>
        <xdr:cNvPr id="28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088B3215-A15E-407F-9375-EE8C940A840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8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A973A62E-FA2B-43BE-962F-1F58D50244A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8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A0CB0BB-6495-4A7A-B6DE-A912EAA2537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8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74CB2AF-D44F-4DD5-93B0-38EE8002C5B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8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E250A754-EA09-4EF1-B246-3F2A9151176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8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97E1D8D3-1CCF-4B07-A70A-D276389953B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8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A3E10B92-FCDA-46C0-94A3-3CF99F72161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8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A1EE3147-1DE1-48C2-BF95-C5197607C33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8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3B9A96F-C0A8-4602-9A74-EDB3516F20C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8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8F3718A-7161-4297-B19D-441000E1432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8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F3C18BB-0CA5-4865-BA60-D8EA5DB718E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8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D470D3A5-B697-4DFD-827B-3454E58944D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8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DBEC8BE-4063-4AD1-967E-5322273212E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8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70ADC51E-46F7-4A06-9FAF-2B94F141F4D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8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36D3F76-9EFE-4099-956C-801FB4852B0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8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DF2BE0BF-5E81-4816-9009-5AA07A20515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8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98400FE-E984-478E-B211-A337F8611CC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8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4E3C0681-D227-4827-9892-FA9B0DA914E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8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9B12F2D5-5262-4716-ADD3-DDFBC953A9F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8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30844DF9-2B06-4D8A-AC0D-AB291763CFA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8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3E87B07-C140-4591-BC0E-1A8A2869E88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8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431AA806-F13A-4570-8077-D08614E95C3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8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ED2D24B-5105-4103-907E-E8EBFDA8FCF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8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08FDF3E-1EE8-49A7-9281-83BD03E6478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8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B2889CD-DAB3-4B0E-AFFE-A9F57B52984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8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DD388AD2-C52F-4BE9-9937-5F98E27F1EE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8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E15A4C48-3150-440C-BE2F-C736B2F5E32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8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22E454E-6356-41F5-9BB4-EF44D8AF2FB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8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27169010-B1C2-4171-9B58-84C435ED12E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8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E62A70C6-AC4D-4F5C-8FCB-B85222A998D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8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740E562-6055-47D9-982B-37137B02DD6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8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8568A19-9021-4B58-9A56-D040F20DC35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8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3AFF75F-8399-4D3F-AF8D-9969808452E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5"/>
    <xdr:sp macro="" textlink="">
      <xdr:nvSpPr>
        <xdr:cNvPr id="28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940D64F-6D0E-4DE8-85BA-D816D2B5548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5"/>
    <xdr:sp macro="" textlink="">
      <xdr:nvSpPr>
        <xdr:cNvPr id="28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2EB09A07-5AE1-4E10-A7B2-05AFC3CBE16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9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EA64A6-1EE1-4D9D-9154-C66D6D671CE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9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50642C5-AD5C-4555-A88F-C2364172E9F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9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4618AD12-2A49-4A66-9A30-8DD61765CE5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9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3FF7C87-E189-4D8F-818D-6F04722BDA5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9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6381412-E2C8-46FC-AD65-FD47157C461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9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EA52A735-0E1F-4EB5-B06E-0EB5A53E2C0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9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4AF3E022-0ABC-4F37-9109-432B52F30F2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9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9134C81-BA69-4F66-96E7-EE6E55CAA7C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9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22E8E17-06C8-45A6-B245-B82BCBF3E91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9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5BBE26F-2AC4-4D58-9227-372734357E6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9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202FD19-D174-4C19-85FC-A0CADFC5C6E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9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A7B7F5F8-06F4-4DB1-973C-E6DF2E62800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9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A040903C-5A5A-466C-9774-C4C5C178C03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9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8EF00EDF-CE36-4D25-88DC-6133939AAEC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9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892F3E-AC19-4622-B493-17F25D72C45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9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96C8715-EB0F-4630-9726-E4CA59CE2EF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9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60AFFD9F-92C6-4E18-A3FD-978FD0979BE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9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44D9C8A-F5B9-4A65-9BA2-83F9DCEF757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9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F24D9A9-FE61-48B2-A52F-057B057D947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9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4C66BA42-2C50-4673-94A0-D7098D97868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9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946ECC82-D95D-4C76-A345-FB2B77A17AB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9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8FE4D8F4-39A8-4134-91F2-B647975AE2F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9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B5D5108-7E16-4CDC-B4BD-4CEDBB1641F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9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81B83233-A5E7-4B8A-AEEE-64CE0C2D188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9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17935BD-D0D1-41A7-8132-33E80E4B2DB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9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9CAA4F6C-02B5-465E-825F-44015935DF4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9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77BCFC9-43ED-47A4-9E1A-5DB117AAB31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9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A4F7DB7-E1E6-4C61-8169-2E731A2BB58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9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CE3A655-6BBB-46AF-BBB0-82914BD3D23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9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1D65D73-0CE4-4978-AD89-6B30406C71E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9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0EEAB596-2F0A-441F-B680-6CC11457464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9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ED71D987-D18E-4490-9B0C-D4124305712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5"/>
    <xdr:sp macro="" textlink="">
      <xdr:nvSpPr>
        <xdr:cNvPr id="29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F44363D-A25C-43CA-BD6E-F81D90B3B90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5"/>
    <xdr:sp macro="" textlink="">
      <xdr:nvSpPr>
        <xdr:cNvPr id="29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7B3E66F9-863B-4AD0-A33D-E0032D116B5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9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D0C16A8-24B3-4E12-9039-83ADA924965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9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B6E40B5C-540A-4FDC-BAE0-BF7DF5C3571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9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C6F30D0A-1106-4F6A-97AA-6A8651E37FD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9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A756E497-D7FF-42CD-A5F6-C6B8FC5CF6B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9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0C1974D-1C87-4B6F-9D22-810BD23FC8B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9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4ED320A-1A49-4DC8-8740-97741F2E31A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9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AEF5F3C-7BCC-45B6-9EA7-1EC353F7438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9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2F36D2F-F57A-41AF-BAD2-A0A115B5ADC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9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B246DB9-B864-4B74-BD15-6882F54DE74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9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796FA227-8419-4883-8BBF-0C90BF9954C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9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5C005A2-32C4-43EF-A002-EE1888A946E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9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25ABEDC6-F300-46D9-8358-5E2FBEF437C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9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DD0E43B-A379-467A-A06E-53E7F3B3C86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9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46AC36-399A-4C23-8956-8E21997F0B6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9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54DE0B9B-775F-4589-A656-8FCDE345A95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9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14315E1-547A-4129-AEA5-334EA3E6AE9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9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9482425-A749-45B0-BCA8-6B50C232837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9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DAABCE9C-5D07-4061-997D-449BB901209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9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1E7E0AB-F414-4F69-A8F0-32189D95152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9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79006564-7E8C-4E7F-BE1E-CCFA9DB9F8F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9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C2B3EB6-FBFA-4AA5-80D1-B732E556873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9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E526B5A-44E1-47EA-862F-59A6C287800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9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D886AC0-26B9-4EA2-818E-8411B95C66D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9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107043F-A2CC-4BEA-BE1F-D32C1C67CB2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9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A369359C-0F77-4543-948D-A810E30D7AC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9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7936CA-9E3F-42E9-A2A1-72FEB5918C7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9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3D82702-E2CF-4D0F-96DE-2113BC9EC84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9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EA0441C-72F7-49A3-A1E2-1710D5DD493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9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FFA2A92-0AB6-4C66-B1F1-8B9B8837191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9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98997727-9984-4E40-8AF8-E566591FDF2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9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B6BBDC8-1900-4CF2-9743-707B3FE11D5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29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0C51FE12-BA6B-482C-A191-EF32A86AA11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29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6F474877-54E6-445B-A67F-6B72B4E4160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29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8FAFA85-C9ED-4D06-AD3F-AD707055A61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29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62238DC9-8F77-449E-AA5D-96DDF63B113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29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C3A0F62-BFD2-4A06-8A90-F29C8839B15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29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1754B97-6B9F-4EAF-B707-3939D53005C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29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4ED68A7F-C206-4830-B179-996A6C54053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29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9E45DCE-3B8B-4E55-B553-B09D81F5F26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29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1EB44A05-CAF6-435F-A983-5F8636EDAE5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29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C069133F-C6F7-4D8C-A51A-68EE8B0D60E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29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9B930A84-4C6F-49B8-AAE3-385CCA81365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29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BBEBF7C-FDA2-4E4C-BDFF-73A83620D29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29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9BF1BA6-3296-4365-9F6C-E4D963D6352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29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49EB1438-5345-4489-A3A7-23012639499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29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0E7AD94-0FAD-48EA-B258-3E0204B5D8A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1"/>
    <xdr:sp macro="" textlink="">
      <xdr:nvSpPr>
        <xdr:cNvPr id="29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715F4BD-9BBF-488E-98F0-EB025AD654F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1"/>
    <xdr:sp macro="" textlink="">
      <xdr:nvSpPr>
        <xdr:cNvPr id="29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EBF08D1-AA96-4898-B35F-1EE3550D433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1"/>
    <xdr:sp macro="" textlink="">
      <xdr:nvSpPr>
        <xdr:cNvPr id="29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53871E0-D497-4EB3-9715-104EA4B85D8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1"/>
    <xdr:sp macro="" textlink="">
      <xdr:nvSpPr>
        <xdr:cNvPr id="29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14F8227-847E-4C13-A123-8ED3466D23A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6"/>
    <xdr:sp macro="" textlink="">
      <xdr:nvSpPr>
        <xdr:cNvPr id="29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3ACAA07-C2C5-4438-8970-FAC1D3752DA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6"/>
    <xdr:sp macro="" textlink="">
      <xdr:nvSpPr>
        <xdr:cNvPr id="29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BC400162-1268-4835-8498-288E4BCF1E6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6"/>
    <xdr:sp macro="" textlink="">
      <xdr:nvSpPr>
        <xdr:cNvPr id="29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1E0CD75-9A71-48B8-8E60-ACC3858A322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6"/>
    <xdr:sp macro="" textlink="">
      <xdr:nvSpPr>
        <xdr:cNvPr id="29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25D31B54-6347-46FD-B31D-6AB2B6C330D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29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BA2A96B7-FD05-4DAF-B15A-395094A2F3B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29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9583583-893B-496E-BE61-F4760542D0B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29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06C9E646-2EB3-467E-9D4C-81499D35E74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29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A470CFE4-FD5B-4FCF-92FB-C3DB62A06F0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29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F18B540D-9D0A-418F-BCA9-9152E0A716E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29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048CC84-0A84-42C4-A1EA-73C71B32489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29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B1A088D-D8A7-498C-B2C7-408D801FD23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29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42BAB96-3AFD-492E-AE4D-6BE13952E40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19"/>
    <xdr:sp macro="" textlink="">
      <xdr:nvSpPr>
        <xdr:cNvPr id="29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91DFDDC-956F-48B9-9C5F-9B136DBBCA5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1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19"/>
    <xdr:sp macro="" textlink="">
      <xdr:nvSpPr>
        <xdr:cNvPr id="29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727E170-0D05-40D6-B3A1-A28B5C9EC97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1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29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75210C-3295-4743-B072-1A59C4B5761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29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84D437A-D388-4FD4-A2DE-BC056295A96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30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E979EE09-2AB9-4EF7-9C58-B1D138C3807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30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6A176B9-4498-45E3-91F0-7DA366E32A9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30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A669F723-FFBA-486D-B6FD-1675AA7FD4A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30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BA8CEF33-D268-4963-ADD4-9CECAE5F408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30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9F44B0-7E2D-42CE-99D9-CAD68B36E45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30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C59389F4-DC8F-45FA-8045-80EFF22C6CA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30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602B607-4AAC-4122-987D-C753D4D3755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30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CC7B4E8-5756-487E-AEBD-E76CC2B3901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30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55B49562-F562-4670-9438-31215AC9ED2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30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4839CF8-F137-41FD-BF04-5F56EA9C74F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30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9F5D803-EB29-4806-BBD9-223A00C2F2A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30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70392E6C-F72C-47EF-B6BF-A1E4E068B9F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30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566B1D6-2DE0-480A-A999-73095DFD924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30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6D07C58D-B973-4997-99CF-364679DA382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1"/>
    <xdr:sp macro="" textlink="">
      <xdr:nvSpPr>
        <xdr:cNvPr id="30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EACFC47B-F791-4769-9DC3-71F11B6D8D9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1"/>
    <xdr:sp macro="" textlink="">
      <xdr:nvSpPr>
        <xdr:cNvPr id="30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5F6B9B5-9873-4211-8921-DA5D2D84DE2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1"/>
    <xdr:sp macro="" textlink="">
      <xdr:nvSpPr>
        <xdr:cNvPr id="30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C6FB71E-F734-4AB0-81CD-5662D213BE3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1"/>
    <xdr:sp macro="" textlink="">
      <xdr:nvSpPr>
        <xdr:cNvPr id="30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3986801-4FCE-4B0F-8119-FC5BC4A3AD6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6"/>
    <xdr:sp macro="" textlink="">
      <xdr:nvSpPr>
        <xdr:cNvPr id="30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58BBA573-1336-4473-A631-60AD48B4D42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6"/>
    <xdr:sp macro="" textlink="">
      <xdr:nvSpPr>
        <xdr:cNvPr id="30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0564A5C-7C15-4701-9E43-67479C32C06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6"/>
    <xdr:sp macro="" textlink="">
      <xdr:nvSpPr>
        <xdr:cNvPr id="30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DADCD2C-7915-4816-87A7-6ED82F297D8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6"/>
    <xdr:sp macro="" textlink="">
      <xdr:nvSpPr>
        <xdr:cNvPr id="30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7B038A0C-8DF7-4C43-B885-B8BB4E3D73F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30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4659EA6-EC3E-44AE-BB11-F238276A39E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30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01F64D2-3DDB-41D7-9C59-B5FBCB415CA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30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7342589F-5665-40AC-A8DD-9C383205CDC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30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4AB256EE-A269-4966-BD74-A456EDE2F33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30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A8F1DD3-9A16-4C5F-859C-28BB0DB4A5B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30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CEBBCA-13D4-4B94-924F-EEB1FAEAAA9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30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EB15984E-6959-48E1-878F-F24338DC417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30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97EBB65-F4B2-41AE-BA9D-FA8AA0DD82A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19"/>
    <xdr:sp macro="" textlink="">
      <xdr:nvSpPr>
        <xdr:cNvPr id="30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0927E6A0-694E-403D-9653-CECE6E29556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1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19"/>
    <xdr:sp macro="" textlink="">
      <xdr:nvSpPr>
        <xdr:cNvPr id="30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E7635C5C-AC89-48CC-8ABF-A7C2DDE918C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1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30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67A90A-B975-4740-8291-646E5B27B83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30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667B0411-6CD6-4ED4-9D35-CFA76FDC533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30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81A5F1E-0152-4C4E-B2DC-1CAB1E65BFA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30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407FA5C4-04DA-4076-8541-C5E2B2ED09E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30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6F205575-AAEE-4FE1-9658-3EF9B450758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30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5B1AF55-4E16-4118-8B4F-89CACA6B8AC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30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518AB9B4-BB46-40C2-9A15-F07E29DB395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30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3590A38-5DCF-4ADA-8A0F-A0D1B7A181B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30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D14AC55-563D-463C-A1BE-F921B07031F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30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20EB4F6-A793-4A47-8D5A-05837149597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30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2784F71C-344A-4A66-B2B9-E60F15DE5EC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30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048D77F-9A27-4E1F-87BB-EA74FF62A52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30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66B4FFCE-B3A0-430B-83F6-932C622BFD3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30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2BD42C76-11B6-4378-B72E-28D2A31BCAE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30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7050CD1-1F04-4EEA-B86E-597D9025270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30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1460145-F9F2-44A5-B388-692FD7960D1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1"/>
    <xdr:sp macro="" textlink="">
      <xdr:nvSpPr>
        <xdr:cNvPr id="30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FD8D7D-EACD-44B4-8A2F-397F07E6CF2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1"/>
    <xdr:sp macro="" textlink="">
      <xdr:nvSpPr>
        <xdr:cNvPr id="30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8FADE5B-1674-4B7A-850E-E246B955519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1"/>
    <xdr:sp macro="" textlink="">
      <xdr:nvSpPr>
        <xdr:cNvPr id="30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402A36B-558D-43F2-B70D-E318E41F993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1"/>
    <xdr:sp macro="" textlink="">
      <xdr:nvSpPr>
        <xdr:cNvPr id="30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6D5A186-65F1-4356-808B-3195486CA50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6"/>
    <xdr:sp macro="" textlink="">
      <xdr:nvSpPr>
        <xdr:cNvPr id="30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DFF5CC3-9DF3-405F-8751-C17F3B56DC8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6"/>
    <xdr:sp macro="" textlink="">
      <xdr:nvSpPr>
        <xdr:cNvPr id="30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20EE650-528A-4E51-9BB4-787AED91FE5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6"/>
    <xdr:sp macro="" textlink="">
      <xdr:nvSpPr>
        <xdr:cNvPr id="30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69139B71-3D9C-49B6-B084-E1ADD8D5B81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6"/>
    <xdr:sp macro="" textlink="">
      <xdr:nvSpPr>
        <xdr:cNvPr id="30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FC366E9-A4A6-4EF1-BC0E-3DA8A591439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30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65892B0-5672-49A6-8DFE-D071201C676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30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B0D2EA8-B7D7-4094-9106-E9B15020332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30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49C9FEF7-260C-4F06-8AAB-E945ABD2666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30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8D9B27B-23E7-4A19-9544-F5E796EFA45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30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D8588FF-B546-4607-8C6F-8EB0CDD2E35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30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DE00E21-A5D5-41B5-A897-93E20440D3B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30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4353781D-5C5C-4680-B3C4-103826DBE45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30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45A5153-39C6-4B81-BCF1-3B3C4DA749E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19"/>
    <xdr:sp macro="" textlink="">
      <xdr:nvSpPr>
        <xdr:cNvPr id="30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70A20DAB-6CA7-42DB-8D56-06E5A5C76A9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1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19"/>
    <xdr:sp macro="" textlink="">
      <xdr:nvSpPr>
        <xdr:cNvPr id="30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E67B9E78-B4EB-455B-B674-DEC65E5A92F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1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30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30A6E1D0-4C1A-44A9-9F45-D338EB2787A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30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7EBF9F6-EF79-4E58-9786-476FF61302E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30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AD58A2A-B36A-4429-9A43-B58036C06A5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30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CB8B892-15A1-4800-A0EC-E10040DB77A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30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B5153BE-C0F2-479F-B4C6-C550DC99CCE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30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82B572D-A672-4E6C-B535-40759DCA32F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30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4F8B5E1-F71B-42D0-BB6A-0BB5AF2C38A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30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095B46E5-4C7A-4D1D-B813-394F5B4045E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30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335D27A6-CF39-4406-9FFB-7EA668252D3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30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06A962D9-91D1-44BE-B044-B093B753FB7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30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DDE3B5-44BF-4676-9E63-4C0F7F78A1B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30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D61EF62-FBA8-4592-B29D-BCF03D4EC74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30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985F2F2-CD58-4ED1-9223-90555B7DEB4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30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8C86C18-6574-42A1-8166-D04FC2056D3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30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1245CCE-16EA-403B-8DDD-E57F4F0DEF3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30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2878E25-E4A1-4A3F-9C14-6CD1176DEFF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1"/>
    <xdr:sp macro="" textlink="">
      <xdr:nvSpPr>
        <xdr:cNvPr id="30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D44F4C7-466D-4B9A-9D0F-F3463A4AD02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1"/>
    <xdr:sp macro="" textlink="">
      <xdr:nvSpPr>
        <xdr:cNvPr id="30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B7E163C-A72E-422C-BA8B-C05E3FCCE70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1"/>
    <xdr:sp macro="" textlink="">
      <xdr:nvSpPr>
        <xdr:cNvPr id="30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0A48356-A1B6-4269-B84A-257D2D38063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1"/>
    <xdr:sp macro="" textlink="">
      <xdr:nvSpPr>
        <xdr:cNvPr id="30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41B1C591-DBC7-4789-B69D-ADCA7839990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6"/>
    <xdr:sp macro="" textlink="">
      <xdr:nvSpPr>
        <xdr:cNvPr id="30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68D3BC0-1B5D-4E00-8498-CCBC308B4B8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6"/>
    <xdr:sp macro="" textlink="">
      <xdr:nvSpPr>
        <xdr:cNvPr id="30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59C180B-8EF1-4741-9797-03658545369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6"/>
    <xdr:sp macro="" textlink="">
      <xdr:nvSpPr>
        <xdr:cNvPr id="30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417DAA34-5C81-443E-BCF7-6CD2509B9BA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6"/>
    <xdr:sp macro="" textlink="">
      <xdr:nvSpPr>
        <xdr:cNvPr id="30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E047699-6611-49AD-B827-6B034546F3F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30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688D6D5-8170-49C4-B8DE-94FE4D8CADC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30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75749607-0039-4F6D-A7C7-C147866E348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30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F7C8EE0B-0FDC-437E-8F4F-399FF1B9BA9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30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75D6FB5-ABBB-48A6-9DCC-ABCE3DA03DD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30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015E30A-E462-4AF2-96A5-E210FE6D473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30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E8BCF72-483A-43B5-8780-191B9B051E2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30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0287767-86E1-44B5-8A74-C6B303FADB1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30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B8D70FC-3425-4467-A1D7-445F2417C45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69"/>
    <xdr:sp macro="" textlink="">
      <xdr:nvSpPr>
        <xdr:cNvPr id="30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AB060D2-D164-4C71-A4A3-67D390FB339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6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69"/>
    <xdr:sp macro="" textlink="">
      <xdr:nvSpPr>
        <xdr:cNvPr id="30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0CCAE41-9F73-4D5B-8D68-FAA88CDCF36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6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1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08EC0643-53F4-4702-B816-6B4497354C2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1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F3549FA-0FAE-47B8-9258-6F8CD31C8AD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1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237D4AFC-3749-4C7C-9B8F-1879F889F1D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1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BDB762C-1E5E-46D8-851D-153EDE5E579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1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660F892-9A62-488A-9FDE-EA62B760168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1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2F1A279-4E0E-415A-8358-0758835757B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1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71BCF7A9-FBCE-415C-AAE8-9C94E323EEC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1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4D5272C-253A-4BC5-9AE3-82B5CFF304E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1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D8B2850-8882-49E6-9382-BCD1BB5B758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1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7FAE730-1CA8-48C6-AC9B-F246E9CBE55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1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E9E91C8-D4EB-4379-8A6D-1678F1C5891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1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21E8456-5297-4672-B999-4B05EBAFEA5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1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B8AD1C8-30D6-4231-8782-7306CD7CB23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1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73DB9893-FA23-4239-B000-C6B1A147469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1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C09E6CC0-7FA8-416B-8B69-3367B5D560B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1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45824A1-28EB-4E05-8017-4B58B3BE358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1"/>
    <xdr:sp macro="" textlink="">
      <xdr:nvSpPr>
        <xdr:cNvPr id="31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4162D41-AC45-47A7-B441-5BB9712E468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1"/>
    <xdr:sp macro="" textlink="">
      <xdr:nvSpPr>
        <xdr:cNvPr id="31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40F03D3-849D-4EE0-8BA1-E7907FC6C57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1"/>
    <xdr:sp macro="" textlink="">
      <xdr:nvSpPr>
        <xdr:cNvPr id="31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AE0A7A9E-B1DE-44C5-A61B-50BE7432E63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1"/>
    <xdr:sp macro="" textlink="">
      <xdr:nvSpPr>
        <xdr:cNvPr id="31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570781A-626A-4D74-8295-45E4519FFDC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1"/>
    <xdr:sp macro="" textlink="">
      <xdr:nvSpPr>
        <xdr:cNvPr id="31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EC6570D-6652-4C3C-B1E4-1D128366F2C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1"/>
    <xdr:sp macro="" textlink="">
      <xdr:nvSpPr>
        <xdr:cNvPr id="31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4D4A89B1-C7D7-4E86-A517-B986C85D259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1"/>
    <xdr:sp macro="" textlink="">
      <xdr:nvSpPr>
        <xdr:cNvPr id="31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58AA568D-BFA7-4B14-BE70-C45BA5218A7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1"/>
    <xdr:sp macro="" textlink="">
      <xdr:nvSpPr>
        <xdr:cNvPr id="31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00D70AA6-41B7-44ED-AA8F-AFDCCED537A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1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3D6C5993-CAE4-43C6-9459-D54CCD81511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1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37E5CDAA-CD1E-4B20-B5BB-F8E63063F29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1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239D407-35C4-493B-8AD3-412E5AF67DD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1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11F42D5-282B-427C-90C2-F7AC1CF9172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1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6C3D486-5392-4B02-8459-86A9EBE35D1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1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8FB7309-9374-4239-AFDD-434EA2B793D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1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04F609B3-D3B8-4720-8EDF-472A70D3B0B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1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78E3427-7D30-4963-AA75-A0E09F2BD89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69"/>
    <xdr:sp macro="" textlink="">
      <xdr:nvSpPr>
        <xdr:cNvPr id="31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962AF49-89B2-4ECC-BDC4-D82C597C022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6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69"/>
    <xdr:sp macro="" textlink="">
      <xdr:nvSpPr>
        <xdr:cNvPr id="31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2D130358-7054-43D4-B0AA-FF8359793E9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6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1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E4BDC6E9-2A42-4289-BBE3-BB48692E061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1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B77BB2-195F-4306-98DC-7D46CAFB1AC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1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9E1C90C-8E2C-4B24-80C5-D47D64CBEBA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1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0EF3C06-0736-4C2E-95CA-D47A9139F6D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1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03279D26-5C6F-403C-A57F-E8F3E8CE558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1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F15F015-F37F-4CE4-88AC-CF908DDB243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1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C70B1B3-7DE8-4ABD-9FD2-1D793DD0DBC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1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DABEEF59-6EFC-4AD0-BB54-DE969FD5D84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1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4AC3E7A7-4B58-4E80-9A49-061AA2B5BB4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1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9298DE4A-9C07-4086-AC39-C55BFAD317D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1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A92B393-D447-479D-B285-CAFFA79F32A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1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3962D3-7234-4867-BF03-1704B33940D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1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6296AE5-E027-4DA6-AD30-013A9A9863D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1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A5CC890E-91B4-4CF5-91C9-C5AF7D04853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1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D0A2E54-3F08-4C3C-8C3B-120AAD98979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1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2D2A4EC-FC29-400E-8B5A-56CC31244BA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1"/>
    <xdr:sp macro="" textlink="">
      <xdr:nvSpPr>
        <xdr:cNvPr id="31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072A03C4-200E-4DD4-89CE-C6072A1E3AA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1"/>
    <xdr:sp macro="" textlink="">
      <xdr:nvSpPr>
        <xdr:cNvPr id="31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E2646FBA-FB8A-4436-97FA-0A5D35C7D4B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1"/>
    <xdr:sp macro="" textlink="">
      <xdr:nvSpPr>
        <xdr:cNvPr id="31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46AD81E-AF02-47C9-8BD6-B61356D96DD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1"/>
    <xdr:sp macro="" textlink="">
      <xdr:nvSpPr>
        <xdr:cNvPr id="31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2F471CC3-2E45-414F-9F6D-F805B46EC2D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1"/>
    <xdr:sp macro="" textlink="">
      <xdr:nvSpPr>
        <xdr:cNvPr id="31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E12259AF-88A1-45A1-A498-FD4CBACA9AE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1"/>
    <xdr:sp macro="" textlink="">
      <xdr:nvSpPr>
        <xdr:cNvPr id="31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4C4ED631-A498-42E7-B596-6D7AF67CF5A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1"/>
    <xdr:sp macro="" textlink="">
      <xdr:nvSpPr>
        <xdr:cNvPr id="31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2539AE1-3D14-4B78-AFD8-582D021CEE9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1"/>
    <xdr:sp macro="" textlink="">
      <xdr:nvSpPr>
        <xdr:cNvPr id="31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6742BDF-7196-4033-88E3-D5FD93B3420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1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75D00AE-A04C-4514-850B-4A13DAC181F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1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707227B-86E7-4417-B68E-E4565C53CEA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1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9553AD-CECC-4EE0-A028-491E0B6AEC4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1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039139F-CFB6-4BCF-8D7C-917E73E493D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1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AD68065C-1840-46C4-A7F7-F2A9FEE2572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1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D58BACA-6D31-4F73-9B20-4F7ED5EE753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1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EEB7D92C-BC6E-4255-9129-74D66994C56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1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FDD2B68-096A-4DDA-91C0-097A331F509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69"/>
    <xdr:sp macro="" textlink="">
      <xdr:nvSpPr>
        <xdr:cNvPr id="31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2D39448-8B29-4AC0-8A01-3455D8C6D8A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6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69"/>
    <xdr:sp macro="" textlink="">
      <xdr:nvSpPr>
        <xdr:cNvPr id="31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869C137A-1D0E-4E0C-9825-24174C4E659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6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1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E17ADF8-7A24-4CF6-A3B7-AA10DC3BF5C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1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D3BA786-CAD5-44BF-9CD0-15238E6F86C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1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A2DC2E-0583-42A4-9FF7-E6309D1170D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1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D16432D9-8D44-43C4-8AC7-573CEA38277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1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091B47C-37AE-4B31-8541-773D70A5EA6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1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0B96B94-2D5B-4B9D-B5C3-AE8D79B9302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1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E84BDA3C-D2EF-49BD-A586-07C3FBB95A9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1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FE9B3970-5590-4A01-A201-7F3E878128F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1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DB4D15D9-65A3-4468-9778-C5F6B00F87C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1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FEFDAC3-16A0-428B-B825-AB10CA6A569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1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6DB5F7D2-BE74-4CD8-BEB6-9051604A761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1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25A4CFC-C64B-4C53-A4EB-3EDD4D00565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1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9513803-389C-4E7D-BD63-639DAE36835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1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EE3B9472-F289-44A1-BD0D-E6E28096312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1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FAF3E32-A00C-4E10-91EE-04C33CED0DD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1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C276C85-1906-484D-805E-726A1B654B1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1"/>
    <xdr:sp macro="" textlink="">
      <xdr:nvSpPr>
        <xdr:cNvPr id="31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82B8968-485F-40F8-A0FD-CD6F5F1EBF0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1"/>
    <xdr:sp macro="" textlink="">
      <xdr:nvSpPr>
        <xdr:cNvPr id="31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D3C1EDD-DA30-458A-82B3-EC99F68FDE2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1"/>
    <xdr:sp macro="" textlink="">
      <xdr:nvSpPr>
        <xdr:cNvPr id="31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A97BD056-DCF6-4D2E-8272-346C220E7F8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1"/>
    <xdr:sp macro="" textlink="">
      <xdr:nvSpPr>
        <xdr:cNvPr id="31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5B6C4491-9A28-4328-B7CB-E3EC157766E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1"/>
    <xdr:sp macro="" textlink="">
      <xdr:nvSpPr>
        <xdr:cNvPr id="31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A259850-D838-4F90-AC32-2ECF3C76A38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1"/>
    <xdr:sp macro="" textlink="">
      <xdr:nvSpPr>
        <xdr:cNvPr id="31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FA77A85-6BF1-463F-990E-5FDFAEEF6FC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1"/>
    <xdr:sp macro="" textlink="">
      <xdr:nvSpPr>
        <xdr:cNvPr id="31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3C6C8F23-75DC-4E8B-847F-570143A216F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1"/>
    <xdr:sp macro="" textlink="">
      <xdr:nvSpPr>
        <xdr:cNvPr id="31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D507FE4-1FAE-49AF-B6EA-1244705894D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1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2612A813-42D9-464E-81B0-A40632F4301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1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34AB81C-071D-4DB6-8B2F-6617ACAD3EA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1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723E394F-D38B-4B4D-9BE4-49771BC42A3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1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750183A-3C39-4922-850D-A5937602DA0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1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2061C29-CBF6-499F-A07F-A52E949F91F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1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8BD22854-EEB5-46D3-9666-44542EF75D5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1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AE005E28-E040-4593-B760-762F9003264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1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A72894F-142B-4427-A0F0-FD7B5A4CF44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69"/>
    <xdr:sp macro="" textlink="">
      <xdr:nvSpPr>
        <xdr:cNvPr id="32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21E2765E-CC3C-4AA5-BFC3-0ABFEB98F35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6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69"/>
    <xdr:sp macro="" textlink="">
      <xdr:nvSpPr>
        <xdr:cNvPr id="32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7541508-66DA-4DAC-96AF-0A5005EC9BC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6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2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98997233-A7E7-428F-811F-13DEBD65D07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2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18A0E50-AB50-4BB7-B277-F64EFB5A164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2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2CEA74C-5974-4A90-9FF1-EAAB7D2AE30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2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92F789DA-EBC3-4675-BE25-5696B6BEB89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2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78D772C-297B-46E2-9DF2-B0A479E6601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2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77353D9-28AF-4D2B-BE0A-295998AF87A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2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7192A39E-C8AC-469A-9527-384C3E6B000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2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4D7C6D9D-AF08-4899-81C3-2223812D16B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2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271224B-6EB0-49C3-BEB8-11734C9CEAB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2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543D45F-309D-42A9-B0E1-DC37B229F3E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2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F6BE8965-E698-4B8F-9B1F-EC090D5DBDA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2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874CCB4-A4C5-4879-BA59-EC43324B424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2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E8B2429-37E2-4DE0-9122-F1BDC26D335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2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CA5334B-F719-4172-9830-60E84BDE948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2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EB27FBB-1C1C-42CD-8B9B-2C84CC8811D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2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576F029B-D37E-4E70-99EC-28884B51C09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1"/>
    <xdr:sp macro="" textlink="">
      <xdr:nvSpPr>
        <xdr:cNvPr id="32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4723DD8-081C-4828-8308-5217678F939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1"/>
    <xdr:sp macro="" textlink="">
      <xdr:nvSpPr>
        <xdr:cNvPr id="32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4DF2C12-E3A4-4A3F-82EE-172E50CCE4A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1"/>
    <xdr:sp macro="" textlink="">
      <xdr:nvSpPr>
        <xdr:cNvPr id="32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E27FF510-E183-4F62-A5AB-620112EAFAF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1"/>
    <xdr:sp macro="" textlink="">
      <xdr:nvSpPr>
        <xdr:cNvPr id="32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8EE9E3B-6FDB-4EC1-87B6-7A8703D99F9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1"/>
    <xdr:sp macro="" textlink="">
      <xdr:nvSpPr>
        <xdr:cNvPr id="32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D87B281-094A-4008-8B83-900BDA2FF94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1"/>
    <xdr:sp macro="" textlink="">
      <xdr:nvSpPr>
        <xdr:cNvPr id="32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1ACB8DF-E7DA-4597-A054-5F60858481F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1"/>
    <xdr:sp macro="" textlink="">
      <xdr:nvSpPr>
        <xdr:cNvPr id="32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377F364E-7DE7-4EC1-9229-1AC7B2C851D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1"/>
    <xdr:sp macro="" textlink="">
      <xdr:nvSpPr>
        <xdr:cNvPr id="32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3CEC6A29-3AD9-457D-B80F-BF995FE4D0C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2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B82BA0B-1E52-4BEE-99BC-AC1B0BA3599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2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133F15F-16FB-4B55-ABC4-5D243457B3A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2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73F2790F-9AEB-4048-B539-550E165A781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2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1EA2A28-5DB1-4131-8733-1544F99E5F0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2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06161FC5-3DA1-41C3-A105-121BE294DFD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2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45059243-F403-4BCC-A5F6-79D46B06BD1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2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F8BFD8B-4707-41C0-A3ED-B805E205793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2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2C8E3869-FC97-419C-A284-04E5E8D2CC6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2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8CDE98B-E480-48F8-BC3E-8C1B1F43D47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2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BC9B613-0282-4F81-ACD6-967ADA79FEE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2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3642AFAF-1CC4-4856-8A57-5DC8372F134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2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B2A61E9-C1A9-4CA9-90DD-15C60B8A5A4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2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2C44731-156D-4FEB-8450-1C8E40065DE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2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A10B1C1-EF98-4EB5-8284-50E18EC140B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2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DBE771E2-2EEE-4ABC-A777-924B1C391E9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2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1544238-F4C5-46B2-9890-D4F8527FCF2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2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AAF12490-502F-4C2C-944B-7D9AE441E0E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2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8CD0FCA8-5CAA-4B4E-A740-193C4F17379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2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C582F6E8-37A7-46E6-945A-C5003FAE2C2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2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31A25E5-3524-4959-9636-1D60EF7067A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2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3D1F9F55-C3D4-4689-9E61-AED091B1883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2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F19BECE-5F50-4AFC-82FD-7F9BF973FF0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2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E9EEAE1-C91A-4E79-8D35-1229BCBC30D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2"/>
    <xdr:sp macro="" textlink="">
      <xdr:nvSpPr>
        <xdr:cNvPr id="32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7540359-3E67-4874-8C48-6A65369C007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2"/>
    <xdr:sp macro="" textlink="">
      <xdr:nvSpPr>
        <xdr:cNvPr id="32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0A31AB44-29D5-4770-AE70-51071D8A926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2"/>
    <xdr:sp macro="" textlink="">
      <xdr:nvSpPr>
        <xdr:cNvPr id="32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5056EC3-1A88-4020-8F24-B72F61A1FA0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2"/>
    <xdr:sp macro="" textlink="">
      <xdr:nvSpPr>
        <xdr:cNvPr id="32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A57C7A62-E759-46D5-8BBE-AC4CA5BE5DA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32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F1E1D4B-601A-442B-8806-1EA2113BD7D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32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65615441-2D03-47CA-AC82-57FAA8FFD53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32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11E2AB7-A121-4293-94BA-EB4DB65BA8E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32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FC0AD85-EE03-4B00-8C72-1972EB2A2CB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2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2038471-0F38-45D7-AF6B-F8C2A2C7F56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2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8C5E402-1B25-4117-A6A9-3C7D697B7E3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2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BEEFEFB-086D-4FD6-8DCE-600F46D5303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2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CC638E-AC24-422A-85E7-C2BDCD4F742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2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4FE17AA-9978-443F-A379-41E10DD0628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2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A951D90-CB2B-4B47-8076-708D6EA0D2D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2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E67FC08-AEE3-4205-AE89-C121C072649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2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B5E0192-247E-4DB3-B317-C63F46BE365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0"/>
    <xdr:sp macro="" textlink="">
      <xdr:nvSpPr>
        <xdr:cNvPr id="32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FE97AF0-2331-400F-AE8B-ECF5D2FEC84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0"/>
    <xdr:sp macro="" textlink="">
      <xdr:nvSpPr>
        <xdr:cNvPr id="32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3E553A6-1203-4423-B8A3-AAA30460802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2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BDFFBD-955F-4FA4-ADE1-A2D2C64FEED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2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1DAFCDC-98BA-42F6-9A96-1B34C7F5596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2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241B9B20-F802-424E-B300-96DFBFB17AD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2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95716886-DA6E-4CE4-B8C5-7A7D36D5287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2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8AC08F0-D225-4EDB-AC5D-6E9407D9554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2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C5A3464-6605-4ABD-9C68-12B7AB726F1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2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C909A28-34E1-4161-9AD8-96628233E12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2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5254D71-A21C-43A2-A5AB-074E410E778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2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47239B-D938-4103-8E27-86C6D31F68A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2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5C9CEE11-69B4-4406-AA7E-E9910DA3431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2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B3ED5C0-CFFD-42B4-8C96-E55B0056C0B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2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7F3F7A6-8F69-4F64-8BC4-DC47A443A1C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2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11871D2-23AD-43FC-90EC-EA2F1DE9ECB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2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97AA248D-713B-4D38-98F5-FA7AC7D30FD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2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D777F50-181E-42F2-9246-A8770D89864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2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7A397E0-4B6F-406D-B7C8-3C4E31B4A45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2"/>
    <xdr:sp macro="" textlink="">
      <xdr:nvSpPr>
        <xdr:cNvPr id="32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68AA4EF-3FC5-4FB2-B29B-B6000B93B3B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2"/>
    <xdr:sp macro="" textlink="">
      <xdr:nvSpPr>
        <xdr:cNvPr id="32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92A5664-D8FE-43DA-9036-8ACA0A9E1C3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2"/>
    <xdr:sp macro="" textlink="">
      <xdr:nvSpPr>
        <xdr:cNvPr id="32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179A76A-390C-447C-A50D-E8CE8E2F6AD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2"/>
    <xdr:sp macro="" textlink="">
      <xdr:nvSpPr>
        <xdr:cNvPr id="32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B9ED487-14CB-476B-89AF-0DF3BF89FBD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32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7DBEE3D-B215-4416-877A-3E37340C0B4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32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EF830C5-8830-4FEF-9286-ABB5CAF7010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32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A96B676-AC2E-409D-8806-7A35B0C8D7E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32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3FCF90EE-A0C0-494D-B50A-6C7AD879481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2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F7CA549-ADC9-4C51-9AC9-A8DF08C4BDA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2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C84DBA5-8FC1-46B7-AFFD-EAD630E0B9A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2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6B16728F-2317-42F2-BDB6-970317CEF4B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2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1233212-67CE-453C-8DA5-B17EC62733A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2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FD7A820-72B2-4329-9B39-3D77D217483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2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60890A-5057-46F9-811F-61CDBDBD2CB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2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6DF84F1-502F-465F-937C-B30A387D5CC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2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EC1646E-A2B7-4F6F-BFA9-3BA39AE592F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0"/>
    <xdr:sp macro="" textlink="">
      <xdr:nvSpPr>
        <xdr:cNvPr id="32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EF16631-8054-4773-99FC-18EEEF2FD45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0"/>
    <xdr:sp macro="" textlink="">
      <xdr:nvSpPr>
        <xdr:cNvPr id="33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3535E64-9880-40EA-9BC4-A759AABF2C1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3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F531637-6D4F-43EB-8AE0-5F595268268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3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FF119D2-99ED-4BB6-B628-56CB41FD390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3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0A2A6FAF-CB82-41D3-83F4-977C00B7D79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3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712175D3-6BDB-46F9-BDFB-CBCDB983C17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3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0C55DB5-4E97-487A-ADE0-797A3DA350A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3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FACADB0-431F-4998-A949-06C7D5C2F31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3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28D4EB0A-0504-4B77-815C-9D7A751D419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3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AB6789A-4C6B-481C-8BAF-DB05278BD9C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3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2C2266C-CD57-46C1-A456-E962DEAC879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3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990BF4E4-69F6-4FEB-B9AC-842EEB1441D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3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AAF666C-50C0-4192-AA8F-78731921B0D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3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DA79DAB-1355-403F-8683-7FB109BCFA1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3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9364F294-6A01-4179-8A8A-DD2637847BD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3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45FF449-F314-4C60-8A83-245970C8095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3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15277D8-6027-4609-8A4A-45FF270BDDC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3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3FD43008-3341-45C5-A8E7-F4ECEF5BB34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2"/>
    <xdr:sp macro="" textlink="">
      <xdr:nvSpPr>
        <xdr:cNvPr id="33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BB1386F-0675-46D0-88F2-60863783D47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2"/>
    <xdr:sp macro="" textlink="">
      <xdr:nvSpPr>
        <xdr:cNvPr id="33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44FE99E7-BBF1-4387-A837-BE923A5EB65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2"/>
    <xdr:sp macro="" textlink="">
      <xdr:nvSpPr>
        <xdr:cNvPr id="33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2260852-DF54-465D-B6C2-5929B0552E2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2"/>
    <xdr:sp macro="" textlink="">
      <xdr:nvSpPr>
        <xdr:cNvPr id="33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2CF58D23-7AA0-4B8B-8477-1530462B58F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33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D090E492-967A-42CE-A03E-1F30CEB1E33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33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0EEC672-AD7B-4240-8536-D3D4E1C5F97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33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B523F8ED-BAF3-4BF4-8E95-66DAD8A4DF1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33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FCB302C-4525-4E93-845B-DE685087B3E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3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E61665A-0DB0-41D2-9116-C7578E92213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3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0FF8092-587E-42D2-B52A-E41D03E4008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3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4901D556-B224-4D4E-B5FF-2D3F5D401D8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3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5EE1DDD-B3FF-41A6-AF4C-6A4B769538F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3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64E1F44-75AA-4DA8-BB30-1D2510B88E2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3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1B01D1D1-E5AD-4536-9B3E-39A2BC0A8CB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3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66DC28E0-D529-4EFB-A393-2FD859E2E51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3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93547AB2-3993-466A-86D2-4E285FB8B49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0"/>
    <xdr:sp macro="" textlink="">
      <xdr:nvSpPr>
        <xdr:cNvPr id="33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2CEB472-8315-45F0-9FE7-7A17C4A09FF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0"/>
    <xdr:sp macro="" textlink="">
      <xdr:nvSpPr>
        <xdr:cNvPr id="33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48B9E77-4AAD-4DF8-81CC-A359A299D3D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3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26F0A23-0C6C-466D-AC1A-AD9FB5086B6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3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11424C7-2A43-42E9-B995-9DBEC8C5523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3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A86D383-749C-4977-BF49-AE7DF1419AB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3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104F016-5E67-46F8-98CD-AEA74A7DC39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3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1A7BCCB-FBC5-420E-932B-9AE23AE4863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3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138EA66-F3F4-452F-A165-C8C924E7BDD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3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671F02B6-1966-4C74-999D-53D9A1238D9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3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D23D2CF-DAF1-45D9-BF30-82836722481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3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78FEB7B5-010D-4330-AF65-9A2EC18D07D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3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CD486EB-B06A-4D7C-8FCB-0C3C4571D33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3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25A7D40-2A0C-4EFF-9A16-61F7A73E320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3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FF719C0-F14A-4B08-BB2E-9EBB6065024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3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DAEB97D-9181-48FA-96D3-7BAEE25A092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3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E28A4B6-1B2B-4793-BA75-3132A65BAA0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3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2ACF96B4-005A-44B1-B187-3A2DA5E5B75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3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A3053C3-9E1D-488E-8C13-5A48D3B2341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2"/>
    <xdr:sp macro="" textlink="">
      <xdr:nvSpPr>
        <xdr:cNvPr id="33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E1778FB-6365-48A0-A687-3695EF6A4EF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2"/>
    <xdr:sp macro="" textlink="">
      <xdr:nvSpPr>
        <xdr:cNvPr id="33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2002301-0CDF-476B-ADA7-076198061B9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2"/>
    <xdr:sp macro="" textlink="">
      <xdr:nvSpPr>
        <xdr:cNvPr id="33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38D4E97-D913-4F02-8548-AFAA1849F40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2"/>
    <xdr:sp macro="" textlink="">
      <xdr:nvSpPr>
        <xdr:cNvPr id="33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3B5693C1-B01E-48C1-ADE6-F4F0B13BDA7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33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BE858DC-4B69-4D9D-B18C-7D5FB58CC32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33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5BEBFD8-EF41-4037-A2CF-57AD220E405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33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F875D0F-5CD1-4C12-BA81-597FB6CEEBA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33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A356EB0E-9C05-4561-AEAA-472F3662810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3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C9A0336-1C3C-4FA5-A712-EC39E9DDEEA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3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871E2F8-3BF2-4813-81DD-D2F4518D27E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3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A22C19C3-EAD8-4E6F-807F-6C148A4C8D0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3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9FCE2F50-A8F4-4665-990B-F33CDA8567F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3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8191F85-6C66-49B8-858C-FE230E52BB1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3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3BD3E3A-DB8F-41BC-8435-8B8A331A1BD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3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7B7FB86-A6C2-4B8B-9781-EA706665FD6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3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945AD62-6E8F-4DE4-AF8B-75668CDF9F8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0"/>
    <xdr:sp macro="" textlink="">
      <xdr:nvSpPr>
        <xdr:cNvPr id="33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8D38782-FF98-4D78-8BE7-B069DA18D21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0"/>
    <xdr:sp macro="" textlink="">
      <xdr:nvSpPr>
        <xdr:cNvPr id="33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7F950984-127A-4658-A1A4-776FB060B9E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3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F6D45BBA-4F8A-4511-95AC-54ED1E263E5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3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1E82DA7-0820-479E-BFF2-CF1960F787D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3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5E1C1D0-5DDC-4F7B-BEFF-1E8365847FA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3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D1EADC9-A23D-4D74-8C8B-D1A45F22118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3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05DB120-B790-4A2A-9187-33BECE33EA8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3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87DDA87A-B5B3-472A-98C2-197A516D6CF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3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B7DC287E-B0E6-4EC1-B6FF-9CB21646B59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3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6C1330D7-F349-462F-9D66-A248F167FDC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3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344262F-3937-4EAE-8D7D-1985A157C03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3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DD578EF-64FA-4DB9-BC3B-B6C62C70805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3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FF0761EF-7176-4EFA-9F5A-509E11F44D5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3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3731B14-0011-434C-A30A-21A964BEA81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3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EF309EE6-626C-4C60-A7DC-E0EF18867DE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3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AC824D04-34F1-4C2C-895F-7D946973814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3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B818FB46-8B53-42F9-ADD8-A49C9DAE3F4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3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AB3CA11-0856-4E5A-965C-29547B5E865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2"/>
    <xdr:sp macro="" textlink="">
      <xdr:nvSpPr>
        <xdr:cNvPr id="33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B720807-BEB1-479D-B688-2286E5D047E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2"/>
    <xdr:sp macro="" textlink="">
      <xdr:nvSpPr>
        <xdr:cNvPr id="33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DEEF5DE-8CB5-41FA-9DE6-154A632AF41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2"/>
    <xdr:sp macro="" textlink="">
      <xdr:nvSpPr>
        <xdr:cNvPr id="33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38C9097-E573-4D5F-BC56-5690C7F82D7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2"/>
    <xdr:sp macro="" textlink="">
      <xdr:nvSpPr>
        <xdr:cNvPr id="33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A5DC2C5-55B4-4BD2-BCB2-519DBDEF3B9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2"/>
    <xdr:sp macro="" textlink="">
      <xdr:nvSpPr>
        <xdr:cNvPr id="33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E1F81E44-47E8-4845-BC75-23463969D89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2"/>
    <xdr:sp macro="" textlink="">
      <xdr:nvSpPr>
        <xdr:cNvPr id="33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59FC499-91BC-433E-9176-9E899098CF9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2"/>
    <xdr:sp macro="" textlink="">
      <xdr:nvSpPr>
        <xdr:cNvPr id="33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2722FD3F-2DB3-4663-8CE8-7069622BBF4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2"/>
    <xdr:sp macro="" textlink="">
      <xdr:nvSpPr>
        <xdr:cNvPr id="33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C495110-22D4-400F-AFC2-B2A95219B7C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3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2FAC3B1-63DC-4EDF-95F7-954A35F6B56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3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E836B25-D198-4D2F-AD34-937BB8304F5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3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96708305-AC46-4107-B489-C1AD195B9C2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3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5B55D07-F135-45E6-8ED1-12CB25EAD73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3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C5DEA30-C87C-4035-A03C-553E3BA7A44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3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765AA590-C304-429E-B8C6-20539F6823F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3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4C84B46-096B-4679-AABA-EA9263FFD6E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4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95DDB7F5-D2FD-4EF4-9D29-B58996CEA7A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0"/>
    <xdr:sp macro="" textlink="">
      <xdr:nvSpPr>
        <xdr:cNvPr id="34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81D0FB3B-E20F-445E-B74F-B6D3396B356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0"/>
    <xdr:sp macro="" textlink="">
      <xdr:nvSpPr>
        <xdr:cNvPr id="34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2D40E2DF-FB90-4A78-B0A5-1187046F214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4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72698EE-A89D-4C24-9D24-8BDFE5B64B3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4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39CD788D-0345-4DB3-A942-C148A8826F3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4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941E9DA1-CBF0-4AA4-9D87-E976FC765E1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4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52477219-0169-4AA3-B1A8-A67C40AC1D4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4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994C465-27B1-4E36-A8F5-383726C6DF0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4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D58B8AF-9C0F-4639-BF85-FAE47285241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4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1DADCE4-716D-4F41-AA74-917ED51D5C0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4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7678A8C-71BF-4208-960E-55C87134151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4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B03CA7C-E511-47FD-8735-ED4E997FE3C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4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528AF18-7420-4C1F-9B89-C1BD6D8EC37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4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C3C5697-E664-400C-8B74-49E640DCE0A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4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D322222-0E8C-4E87-B3FF-48308BB3C55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4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F4C1F13A-F7D2-4830-ADCB-8BB7396F5CA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4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63105188-4386-41EE-B22B-36D92836092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4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AFCE2AD4-965D-409B-97F9-860A1D2F387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4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C7C731D-CD84-4051-8F05-6E99CF697ED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2"/>
    <xdr:sp macro="" textlink="">
      <xdr:nvSpPr>
        <xdr:cNvPr id="34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1C0BE3F-1E03-44C4-8F71-1B00793C037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2"/>
    <xdr:sp macro="" textlink="">
      <xdr:nvSpPr>
        <xdr:cNvPr id="34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D398FCC7-60E5-45BC-93D5-27BFFFCFA2A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2"/>
    <xdr:sp macro="" textlink="">
      <xdr:nvSpPr>
        <xdr:cNvPr id="34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931D671-1151-45D0-9D84-1EABC3C7C02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2"/>
    <xdr:sp macro="" textlink="">
      <xdr:nvSpPr>
        <xdr:cNvPr id="34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8B57498-F6B7-4E6C-9D69-EEE7A17DC99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2"/>
    <xdr:sp macro="" textlink="">
      <xdr:nvSpPr>
        <xdr:cNvPr id="34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89815B57-484C-4DA6-A6B6-1CC4A7592D1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2"/>
    <xdr:sp macro="" textlink="">
      <xdr:nvSpPr>
        <xdr:cNvPr id="34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308FEA8-58A5-471E-B70E-0C1493C5568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2"/>
    <xdr:sp macro="" textlink="">
      <xdr:nvSpPr>
        <xdr:cNvPr id="34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5844C20-109F-4730-A033-9C2D7291198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2"/>
    <xdr:sp macro="" textlink="">
      <xdr:nvSpPr>
        <xdr:cNvPr id="34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E91BF50-8B47-4E35-A072-9AC92893101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4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396A34B-22BE-40F8-B774-339A553E859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4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071D5933-4631-4D37-B21D-A7B4537370F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4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31A053A-A8D3-4E40-AD26-A59FA8DE828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4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9C867F4D-DFB0-42EE-B24E-6B8EB1A1E5A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4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D2401F2A-D72F-40CC-B4C0-06A1B8F6E09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4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75B4985-B68A-45B9-9DD8-6C7F1276201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4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4673DDE-6D4A-4987-9DF2-E9320A82353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4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CB61FD44-C0A5-4138-B3A2-671901EE7BF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0"/>
    <xdr:sp macro="" textlink="">
      <xdr:nvSpPr>
        <xdr:cNvPr id="34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EA761A14-C011-4F55-814D-5645C5F1EC4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0"/>
    <xdr:sp macro="" textlink="">
      <xdr:nvSpPr>
        <xdr:cNvPr id="34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0BF605-7718-44A3-91DE-303AB71C0AC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4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F41BDD7-D8B8-49EF-9C05-A95658800BD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4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889976C-07C5-40AE-9599-55AFD6CCB5A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4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279BBC-91AA-403A-9692-DF15AEF919D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4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596034EE-4E6C-4E0F-8759-145DC71AB30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4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338450-B795-483C-8112-8DDD6A9EBE7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4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EA8EFF6-28C0-4F0C-9F39-92A9C2F5D97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4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223A5CE-4D6E-47F9-83C0-02157AADBC6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4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4D354A0-70A5-4082-B202-DB9749C50DE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4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38F0C8BF-3B5B-4FC9-8924-CF34ED5622F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4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51048E29-4A41-4E5A-A98E-3173F2D32D4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4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875F5868-60EB-4D0F-A68D-46D97DD7879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4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0C4F3C8E-A00D-47BE-904B-6CEB74D8A36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4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7F117A6-111B-444F-B93F-4CF61F48068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4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83A5E2-B309-4E17-A3CA-535E0E7A743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4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7CE6268-CD1F-43DC-A99A-525668DBA8C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4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2889BC2-26F7-4717-8EB6-9BEF29417A8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2"/>
    <xdr:sp macro="" textlink="">
      <xdr:nvSpPr>
        <xdr:cNvPr id="34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A71FCD3-BC66-4CC7-A482-7938F79C4D2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2"/>
    <xdr:sp macro="" textlink="">
      <xdr:nvSpPr>
        <xdr:cNvPr id="34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64E6A55C-6B04-49F3-B628-F3BB326F7BB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2"/>
    <xdr:sp macro="" textlink="">
      <xdr:nvSpPr>
        <xdr:cNvPr id="34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2871D6C-ECFC-44B9-83BD-081FDD493C4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2"/>
    <xdr:sp macro="" textlink="">
      <xdr:nvSpPr>
        <xdr:cNvPr id="34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DDD586A-227A-44EF-9607-EE4DBFFDCA1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2"/>
    <xdr:sp macro="" textlink="">
      <xdr:nvSpPr>
        <xdr:cNvPr id="34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2F3FD22-3EB5-4A51-952A-3C653A5E04B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2"/>
    <xdr:sp macro="" textlink="">
      <xdr:nvSpPr>
        <xdr:cNvPr id="34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D03D0D8-6089-433B-ADE0-2E13652975A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2"/>
    <xdr:sp macro="" textlink="">
      <xdr:nvSpPr>
        <xdr:cNvPr id="34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DAC494B-D079-4903-91A5-B79AAC32D5F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2"/>
    <xdr:sp macro="" textlink="">
      <xdr:nvSpPr>
        <xdr:cNvPr id="34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E0F84642-1B4D-464A-A8AA-5592967F50B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4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7841FFA5-D199-4A86-808D-887208D7157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4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2B75D953-236B-4CAC-A86A-EDEC14E6DA5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4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20D7CFBB-CA00-4275-AF6C-48C68D1C673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4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64B51F56-E9BE-4F54-9BD2-1E686BBD690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4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758BEA1-3096-45EA-AE6B-FD475DE04C6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4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7D33EA57-89D9-4B09-A2A5-505356214B9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4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8C780C67-BA4B-47A8-BD60-CB7C52278FE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4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786826B-65B4-4519-94D9-1B45ABB2BE8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0"/>
    <xdr:sp macro="" textlink="">
      <xdr:nvSpPr>
        <xdr:cNvPr id="34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20402D25-B58A-4FBD-BFD9-D4B94AD0941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0"/>
    <xdr:sp macro="" textlink="">
      <xdr:nvSpPr>
        <xdr:cNvPr id="34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5B36842-CBBD-4885-B0EF-C539DB7C914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4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41A1E7D-3C77-4827-867C-C4A83C64319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4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43A94FF4-C244-4D41-903C-62719488259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4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77C28C9D-598B-428F-9173-31460CDF9F8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4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7CD1720-6916-45B6-BB86-7FA34535767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4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908EC02-802F-4464-8619-778890C5E7A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4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757976A6-D528-4E0B-B716-ACB03D2B543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4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888A956C-42BF-4FF3-8E85-F869FCC28CE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4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B74A75E-C574-4008-B88C-A66603EB204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4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333F16F-47AD-4E56-9130-6A72BD9B55D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4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CA931BF-10FF-4B1C-B94A-397C84D9695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4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81104D2C-B3D8-489D-8874-07AE02FC759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4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E75DD689-80C2-4F64-AB3F-37AFC846AE9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4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6EE0B52D-5064-402B-A00C-61D95BFA7AF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4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1A19F5D-40E5-4C08-93BF-4987F976B4C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4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45BC64DF-7FEB-4E50-A50B-52763F7FD69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4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3B6EE5C4-9B34-4D7E-9E49-BA354FFB40B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2"/>
    <xdr:sp macro="" textlink="">
      <xdr:nvSpPr>
        <xdr:cNvPr id="34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A8DCCC3-DADA-47A2-80F3-B7F092D556E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2"/>
    <xdr:sp macro="" textlink="">
      <xdr:nvSpPr>
        <xdr:cNvPr id="34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35ED933-083B-43AF-AEFA-3920F5CFA3C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2"/>
    <xdr:sp macro="" textlink="">
      <xdr:nvSpPr>
        <xdr:cNvPr id="34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EA08CA4-7371-4566-9C40-BB326060E10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2"/>
    <xdr:sp macro="" textlink="">
      <xdr:nvSpPr>
        <xdr:cNvPr id="34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BC7DD39-D607-4491-BEB7-14A3C12151A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2"/>
    <xdr:sp macro="" textlink="">
      <xdr:nvSpPr>
        <xdr:cNvPr id="34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1155DE2-051D-40B0-AD9C-0EA1357EB67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2"/>
    <xdr:sp macro="" textlink="">
      <xdr:nvSpPr>
        <xdr:cNvPr id="34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2DC58C92-CCF8-4A8F-BE9A-7FBCC6978AA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2"/>
    <xdr:sp macro="" textlink="">
      <xdr:nvSpPr>
        <xdr:cNvPr id="34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20D2504A-F9BA-444D-9796-CE7CD0A64C6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2"/>
    <xdr:sp macro="" textlink="">
      <xdr:nvSpPr>
        <xdr:cNvPr id="34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6961D48-BD52-45C3-860A-BFA3BF3C0F7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4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EACE75F4-3DE9-46C9-84E5-D4E1F0685B3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4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8637DF6-9666-4E13-A0F8-F838AF30CC6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4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200DFBCC-B006-4CCB-B303-BBBD48163D4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4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9C5BBC1-EEDC-4C2B-B9DC-F30754FBA11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4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FB64A33-A933-4EA0-BC05-61E025196A1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5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569EB14-A89C-4874-AE47-78CB869FC37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5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6DD30981-58C0-4274-8575-94F118A1522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5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9FBD848-DD8F-4A77-A42D-2A7F424C894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6"/>
    <xdr:sp macro="" textlink="">
      <xdr:nvSpPr>
        <xdr:cNvPr id="35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9814D164-F811-4267-9CEB-597AA968BA5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5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95B222-DD87-4B29-A918-2901A7D6BD5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5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D28C671-580D-4C5F-9AE4-D8FEAF997AA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5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571B85-CC92-4D4C-AB0D-035C72509B8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5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BDB75AA-5604-4ED1-97C5-3841C429C29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5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682923C-E3C5-4AE9-BBC8-2CEC6D0107F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5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D6DB168-DC2A-4E80-8B7D-302869FC54B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5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E9B973E9-B62E-463D-80EA-B8F923F3993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5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74E3D1-B93A-4CF1-8D3F-108903701DE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5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DDD8CBE-F8D8-4003-AF3F-DD496B46068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5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BF246E07-FEFA-445E-9FA0-805A8350EB3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5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38EDEFA8-D397-4144-A4EA-CE90716030F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5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C968D849-C50B-4DEA-8255-D93C6211E44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5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C2AC9B34-24EC-408D-A8EE-1B12E7E65E3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5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4294C88-9E32-44C1-B178-1D5C7915A4A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5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64B5B72-02EE-4A13-8D86-50052220CEC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5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1CF897D-237A-412F-8408-89A7DE70ECF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35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0249C422-6A3A-46A5-B35C-FFE5D5B1D26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35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7621709A-B2BE-45F9-B964-E89FD0273E7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35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E8A1EB6B-A599-4AE2-A5E7-ACFFD447896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35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6D895001-A981-4B95-9522-2F244A15FB9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35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BA1BCC0-5DEF-496F-89B2-034DA4EF06B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35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CF46E14-125F-4338-BC04-A0EEADD4D99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35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15C82E-36E0-4B00-BAED-7A1FDC6CF5E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35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21A949B-01AD-4047-A7BA-426AC68D13C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5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556CA8CA-BFEB-4319-AD0F-EC2AF7E30FD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5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939FA41-5492-4BFE-9F4C-35ECC269913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5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EA9BC6FD-0008-489B-933D-1D429895CC0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5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72963E3-183F-46A4-B963-ED811B18AFE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5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92C9814-86E1-4AAE-B618-433D879A460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5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81E81740-B675-461B-A17C-339EF3C71EE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5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863908F-F0F4-4544-AB97-5D5F2D7B128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5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214D4ACE-082A-4340-BEAB-917799F1469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6"/>
    <xdr:sp macro="" textlink="">
      <xdr:nvSpPr>
        <xdr:cNvPr id="35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660F784B-E21E-486D-902A-82A55F1239E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6"/>
    <xdr:sp macro="" textlink="">
      <xdr:nvSpPr>
        <xdr:cNvPr id="35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C0611EC-46F8-43C1-9214-E1D5064F499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5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63A191B-5147-46EF-96E8-F33ADBAE965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5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033C9B2-7F7B-42F3-8063-B1EEB3F8B88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5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23003461-C51C-4FEE-8C6F-1135FF03110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5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DECECD3A-EAC9-42CE-98A8-71370054167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5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25DBFEEA-A4B5-49D5-A379-7C1D2DC3C4A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5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8AB8AA10-A40C-4CF5-91AE-CC7B00D246A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5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3B47B7CB-30DC-441E-9C86-D194F79683C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5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41216A0-9EE7-448E-B320-1C003FA4DCE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5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0F41213-A1BB-4A62-B174-052F76C6116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5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A542E34E-C618-413C-8FA3-79713B915B7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5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27ED3B6-C354-42F4-B41F-88A40DF68C4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5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F8C37E7-0DD5-4DB9-9DB5-1FCE2535601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5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5E0320A5-F0DE-495B-837C-DE0B05A674C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5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7D89F19-5245-4ADF-9841-AE2272C61EA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5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E7A25AB4-0D8C-4C01-9E96-DEF786F119A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5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129DD579-053B-4CD3-B7C1-1B8FA0E4AB5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35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33983B3E-34A6-4CA5-A738-AC046AF3294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35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E231780-FBFB-46E9-8812-182D4A9C11E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35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CC24FF20-EAC6-45DD-912D-DC272A4F3A8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35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CD0D899-37D2-4D8E-AE9A-50B9430A516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35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5A39A2C4-8510-4439-ACC0-045DAF6A533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35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6F6F734-0928-4997-A6BA-400D79A157E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35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62C1228-64B2-4E86-8ED2-C3A916B507A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35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2EB1BD9-9A2B-49A2-87F4-A0C6EA03B69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5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88E0900-7FD2-4EAD-9E5B-C50DE905689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5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9BD7B95-D5FC-41D3-9330-EB10EE3B0A5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5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4300A9A-6434-422A-9711-F901BF86945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5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9005FCF-C194-4BC8-925D-F6996AA72D0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5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C0C1DB6-4B81-46C0-B236-F12DCBADE82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5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ED402E7-8633-4C5E-AA1A-0B009AE494A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5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AB9AACF-218F-49AB-BF73-580645C3014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5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7E5FB6-B4F6-4B31-BE10-6EEF62C61E5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6"/>
    <xdr:sp macro="" textlink="">
      <xdr:nvSpPr>
        <xdr:cNvPr id="35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9FA16CE6-F94D-4CC4-8E1D-BA6A5BFDB6C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6"/>
    <xdr:sp macro="" textlink="">
      <xdr:nvSpPr>
        <xdr:cNvPr id="35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D432EA-A2BC-430E-B9F8-0ABA21C2123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5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F4DCB0B8-85A8-41CF-8CC4-392CA55A23A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5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96698D6-6CA8-4131-8A53-31E1043B489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5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32FB27A-4A73-40DA-A91A-572289988BF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5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309B9C28-B9D1-4C7A-ACFE-7639199CF4A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5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310E4AAC-0D74-4787-BA72-539BB5EBC19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5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82A0E71-7891-4794-AC68-4C2930FAB71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5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56D9C055-650E-41ED-B24E-D16B91FB8C9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5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2508DD47-3112-48CB-A49C-BC302F7148F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5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14CC41F-C41F-4086-9D94-C391DA65355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5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2F3BF498-F0CC-42B6-8573-57D0AD0FB3B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5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4C872A5E-7A1B-4CE7-9A57-858F2533E6B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5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93E54913-DFFE-4BAF-A29E-9DA3BF1C081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5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C43CE91-8344-420F-87E3-1D6348260A7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5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C7F785F4-CE6E-4A6E-A2C8-D76458970EB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5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616FC8FA-77FA-4F0C-8D19-D73CBE6F6E7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5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C603C67-9A87-41D6-80BA-11B5A7F597D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35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45EB4FF-C20E-436B-A56F-8EA80C5C9F6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35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D42E855-51AE-4F0E-9CB1-FD401038E2B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35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BB9C67-EEB8-4CC8-B2D8-1D746CF4E16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35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3853E04-B9A5-4670-95F9-DC7BEC816D3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35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52FEB057-CB9A-45A5-B52E-F995A0B28B6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35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853133F-C6B1-42EC-9883-09E4F45D5B3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35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1445AFB-BA59-4188-8354-C9FBCCEDDFB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35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91A091DE-9916-4B57-AC40-4DB7B721AFE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5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A116B715-4222-4748-9DB6-637F945909B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5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51B60389-AE66-4F50-8019-827E30F23C9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5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0C5686D-CDC9-4381-AF1D-8A76C97FB58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5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19DFCEA-21F2-4145-B621-C3324DF783C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6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23F8891-D9BF-4D13-ADD6-9CB8433A647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6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E582A2F5-F70B-4534-89C1-28ED85413B7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6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FBDA884F-C9A6-4891-A703-B9371FFB4F2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6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DA3BD60-E22A-463C-AE64-02470C599BD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6"/>
    <xdr:sp macro="" textlink="">
      <xdr:nvSpPr>
        <xdr:cNvPr id="36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8D7762AD-BC1A-45C9-BAD5-2ABCA4DD0C9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6"/>
    <xdr:sp macro="" textlink="">
      <xdr:nvSpPr>
        <xdr:cNvPr id="36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8A34A64-4A17-4C83-8D46-1FD56C65061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6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58EA5C8-73A8-4A5F-8C47-974CEF9BC2A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6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804885DB-CB33-42BD-A09C-1CA643B73A4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6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B924F94-D7F1-4AD8-A49F-3EE4B3FE180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6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99D98CD-0865-47B6-B247-8A310829F5F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6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1642F97-87C8-44D5-A2F3-0EA62EFAA5A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6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EED10329-70A0-4A80-9B6C-BDC55B34D5B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6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918C3A95-3653-4F04-AEBA-17F211D8F35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6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239DB4-D61B-4188-9F5D-0C92FD09B5B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6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31A8DED-C68E-48EA-9256-CB414C6BF47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6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61C5AE7-E84E-4001-A25E-0C9F7D4759F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6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C2725E9-CF83-459E-9AB2-3396DD09E6D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6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D7171F8-8207-4B17-927B-5328928FFD5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6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47C1C802-BA0E-481A-A1BC-AEA575D7D2B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6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10D928E-029A-4B8D-9EB0-35AAC6B628C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6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5704AC1-39E6-450E-95F4-DDEA87E78E1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6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8CCB3BE-958C-489D-8CC9-137D9627312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36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F07D2C1-490E-491C-8AC9-1ED51E0DE84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36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60F2E5-2463-4846-BC14-FD22FDB8A1B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36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C0CE3A0A-C5FB-4D63-B54C-95A816F6521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36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2466324-E0A3-4F89-869C-9BDF165D24F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36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B40299E-5631-4110-BCF2-EB276A30145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36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2FDDD8FD-0C38-492F-9EC5-DD74BB8E058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36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6030E8D-F32E-4350-80C3-469D2122A91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36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A20D39F-FC5C-41D6-9862-6BB4E49C274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6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8E68174-13EB-4F96-BBCC-5ECEA597F0C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6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458C94C3-A5F2-4A59-88A3-C1C4BA0B459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6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BE61623-7354-4D6B-8EB5-0F477E070A4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6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E70D5AC-AF72-4365-9809-D8A9848CA3B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6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B9CC714-E828-4D8B-8BD4-B6EE6A57CE2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6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9C0E4C8-3562-420A-8143-056CA59BBF4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6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D3F7CE96-1CF5-43FA-8274-E76E0D21593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6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F5A3DCC-DE3B-41E8-9E8C-B6414007ACD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1"/>
    <xdr:sp macro="" textlink="">
      <xdr:nvSpPr>
        <xdr:cNvPr id="36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2C86A1A-35AE-4222-AEDA-8F6716DAB03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1"/>
    <xdr:sp macro="" textlink="">
      <xdr:nvSpPr>
        <xdr:cNvPr id="36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96869FE-FBFB-475A-B1B6-46DE3953955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6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EF2FD8C-F7E4-4294-A582-1AE93DE25C9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6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9E5F884-6943-4259-BCED-B1A9AC78C6B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6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F33B66D8-B15F-46C9-8B7E-97F7E3C25BF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6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2B3716F-7CFB-4216-B8AD-785F9981543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6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F929DDA-468E-4C18-A611-415C9B1B253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6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8319C6E-3C87-4974-8E9C-13708462162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6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EEF890C-A9EB-4270-AEC8-461FE8A201E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6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0CC257B-824D-4E01-AFBA-59495EB371B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6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95B3F37-E1A1-414F-AE91-213115FC610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6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618B22D-33AC-447B-A958-1F260EF9EFF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6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045C9C0A-E872-472F-ACF1-38521E36699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6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69D7D82-F324-4356-90F3-670F1C25009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6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546D4356-59C0-4B11-A976-1A473AD767D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6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60725872-F343-4FF6-B6F2-B0C47DB8B42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6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C27CA87D-B26C-4FE0-A1A6-34FAB9FAC38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6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D9ADDE-D2DB-4E08-AE00-01330297563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36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C17ACB52-366C-4686-82B8-D882C3569FA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36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8B92209-115E-40D4-A3D4-A552FB65115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36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7295C51A-F837-4556-8A9C-199756DDF4C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36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AD10DB1-B799-4B25-8A01-31C65280FEE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36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D2FFC798-AF3E-4999-959E-53A0E143567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36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1AA06AF-A3E7-4B12-9898-BE3FB718AB8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36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46AD9BEB-6608-471B-B104-E39BE7FD598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36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6CA652E-7A87-44D1-932B-550EC8C5AE4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6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ED1B7E1B-D322-48D0-B4A0-41547852800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6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B3B9AE80-A46F-4648-AD80-5E642B911B2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6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A1D267D6-738A-4DC2-950B-A2CE2460426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6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4DDDB4A-FD3E-4223-B29E-AB1FD2FC034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6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FCB1A4C-6329-4DF7-8C3A-F848D29AFAB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6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13D9DCB-71E2-4B65-AD9E-8ACBBC46270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6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FBF1BE57-CCBB-4616-BFD4-5DC48C7FBC7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6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27969A1-E87D-4F92-ACC5-3CAC87D0646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1"/>
    <xdr:sp macro="" textlink="">
      <xdr:nvSpPr>
        <xdr:cNvPr id="36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7665B95-8201-4320-B37F-B36D14B8851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1"/>
    <xdr:sp macro="" textlink="">
      <xdr:nvSpPr>
        <xdr:cNvPr id="36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691D1507-263F-4761-A771-58B73D260AE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6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E7A78EE7-1271-4819-83A1-D84BF8555BC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6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E615C2E-9F4E-467C-AE08-537EBC7DA18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6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25276E3-C812-4165-B273-0DAE7FB196C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6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8E37154-37E9-4817-877E-C207FD22C13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6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8271F6C-3B89-4E2F-96E9-7A1B8BF7E24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6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08AD4F4-F850-4C4A-8DDA-75E3B7D01D7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6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6B307D1-CFFF-41BA-B2F1-EA62FB8A209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6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E041B00-8434-4721-9EAB-4CC13F5BB37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6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AB7B39-CDF2-4D00-BF26-A409D356DEA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6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C7FAEB7-65B7-4F69-BF2F-B727B18715C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6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8898219-80B5-4A81-83BA-F61E99F01AA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6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3389800-D899-4CBD-A31C-D7E4830A906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6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A093E34-B1D9-4195-BB92-91071DF21AA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6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C67043F-861B-4DC2-BAAB-47DB9F00EFA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6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85B80C5-B59E-40B9-A922-51E66E470B7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6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79C3B47-E88D-4A90-A34E-716A5C0E260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36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588EB321-6779-4ED0-A4EB-4F7A00465D3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36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B3D545E-CDA8-40F1-A6DB-1E7C7F7CB79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36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E6BB4DC-9583-4111-AF94-15DE94966A7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36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69C24C0-1421-43FA-8BFD-85BE7B84808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36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18C2390-C094-4CED-A79A-B5D4764567B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36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7C5AFDB-1999-4AFE-B725-7E365A99C22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36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CB0BDE2-0CBD-47B6-999C-F74FF60066C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36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9C29A1B-9E86-430C-8B80-E7B9A0FD630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6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684BF43D-E199-47E6-B79A-5FCD2DD3C92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6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CD0E438-6566-42A2-AE07-0CEA9BD8474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7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680AA8F-D994-416F-B510-D7E787605FB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7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2F697D4-73AD-4D70-9CC3-6F8DBCCD866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7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6441A52-EC02-4292-9DAB-D6EA074186A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7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503A0F0-D234-4E4F-9A70-2EFDCFAD8C1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7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3089795-BB6A-4CE9-BE2C-4395F24231D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7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DC34FE5-72ED-45AF-87D8-FC16A33EFCB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1"/>
    <xdr:sp macro="" textlink="">
      <xdr:nvSpPr>
        <xdr:cNvPr id="37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15EF245-F9DC-4087-A1B5-EBEBDFFD414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1"/>
    <xdr:sp macro="" textlink="">
      <xdr:nvSpPr>
        <xdr:cNvPr id="37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580F9F3A-5CF3-42F8-AE00-61C9E280CA7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7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FCC724F-9125-4491-9A08-5DAD16D2EEC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7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4949D2FC-A44E-4A2C-AA74-E5F74B963DF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7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A444BC9-1D2A-4168-BA3A-34EB20A3C4A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7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042AAF4-BD00-4D90-8CE6-5F2B6E1FFA1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7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EB3FB863-6023-45B3-83B2-5A531B8079F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7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67C7698-6DB2-4A46-81C1-38A124F48BB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7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20E256D-2577-444F-90F7-3E0165BCFCF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7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0972F225-23BB-4F50-8B0E-6EFD31A1D6D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7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5BA68E57-63AD-4E60-A19B-971E223DBD8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7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5DDB63D1-A607-4BF1-B5B6-AC94B9C904A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7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45386DA-2CC6-4756-AD5D-CEF1D1912E8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7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03E8474-7BD6-4ECB-9841-1D403E41C61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7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0FB308F1-EC6C-4F3D-924D-1BF0C692CF0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7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97B8D69-216A-48CB-AE06-1849F0C1C5C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7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F12E5FB4-1131-489D-B6B1-AB9ABB0058A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7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2AFA8BB-37E5-4DF6-88F7-0A51711A7B0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37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057BB3A-0E5B-43CB-A181-59D766B14ED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37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D142971-070B-45B7-94E6-B114B2F36C8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37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A44067F3-632C-4440-B02F-AD2CFB1BBFC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37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8CB956AA-7428-4A2C-A2EA-CC4CF1EDD85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37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474D5D2F-56BF-482B-828E-15D609D458E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37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3EE7C6F-2054-480A-B49F-9C4E160F2A3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37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58732B93-4A3C-41AB-B35B-CB31C2DA8B7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37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793257B-5CFD-4E11-93F4-E3FFC237202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7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D6CCD2F-296E-44E3-8AAA-CF115ABA902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7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8E8796A3-8FE3-4773-A0EB-B2B0D03C17F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7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3F06C303-6BA3-48F2-934D-0752464973E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7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E33815E-A0F0-4403-8671-82CA0A79BF8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7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A57C362-878D-4575-8C8E-AFFCE55FBD9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7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6472FA4-6499-49F7-8D84-E0D28AE23AD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7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EC0780-0D23-4856-BC57-E1003FF8CDC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7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1174117-9AF2-4217-B378-7F000D0F3E6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1"/>
    <xdr:sp macro="" textlink="">
      <xdr:nvSpPr>
        <xdr:cNvPr id="37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7C55A8F-6E8C-4587-A2D4-05FEEB75D04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1"/>
    <xdr:sp macro="" textlink="">
      <xdr:nvSpPr>
        <xdr:cNvPr id="37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4B78C8A1-A71B-484E-8D05-7CD67F9CB55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7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BD8A7A3-F658-470A-90AD-B0B8085367B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7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716C1A0E-9A06-477C-9554-C6961AE442D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7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E2AD6BC-EF28-4ED1-B5CB-0FD6F6A7B4D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7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251EAF16-2AAF-493E-9F6A-B1FBD114ED9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7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F62264A-44F3-4D99-88F8-FFD5E57412A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7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2D2A191-0CCE-4D38-8769-2F133F63444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7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0A24489B-2610-44D0-9690-4137E5DCD8A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7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6F1D938-2911-47D0-AC9B-54B25A21294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7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59B3550-6D47-4F9A-9F22-75718C2DE39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7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738C524-45B5-469C-80DE-6DEA7918123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7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1118627-D161-4327-A4C7-65A54897C37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7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175FFA62-4455-49B4-BAA0-AA0F20C4556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7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32532416-CC8E-4D7E-B6FC-F0296C7D00F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7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3397D99F-6D8C-4226-9A4D-08121926EE4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7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498183F-37D9-4CCA-A453-F79527A24C1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7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BB2C69B-BF35-401F-B117-04D349127BB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37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50C7D6E-92CA-4C30-BF20-85D91CBF0C9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37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9EC8418-10A2-42A2-B514-9F5672DE04C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37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59599D3D-9C98-4C37-865D-DD280554AF2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37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3097F01-108E-4A0D-8F7E-45629472CDE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37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6FC86F5-1E5B-49FD-A067-64FBAF09C67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37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5F58A06-B910-4C24-A80A-7D7CD7BF23F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37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75B4607-0997-498E-8584-E7DAC3CEBF8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37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4AE3F27-4679-47A8-BF05-761DD169E9A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7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2D4AA4-7495-46B2-8DBA-794BE51F194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7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2836825F-EA9B-4B3D-8A24-66ABEDD74C9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7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67DEB7C-D7D6-4010-8666-5A339E8CC93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7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CB44917-B47B-4943-AD13-23A3C4692B5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7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A7721BE-3659-494C-86C1-935EF80798E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7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E6BFE297-935F-482D-8984-4ECA9137577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7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402B5983-882B-4857-98FD-A1EFCB59109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7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5DCFD01-85E8-4E22-9CF2-D86EDA68CC5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7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80769B9-D29E-45D8-A734-4B41C14F953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7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3019ED0-4F1D-4E17-A4AA-AA813EAC0BB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7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A534CBA4-A6D1-432F-AA88-AFE36D7E3BE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7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7DD23A7-C97F-434A-83C5-FB2CD8876E5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7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E44A181C-329C-46B9-B54D-DA1D27F9C11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7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E6F401BC-4AF6-4747-8D82-D8D13172F42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7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299B9AD-862A-4770-914C-061DDCCE81F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7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A80C7493-B1B4-414D-9FBE-7F997008650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7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FE0BBABE-FA68-4AC9-823F-37888072DFD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7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7F76A713-32CF-48E5-9266-62796E8D8A3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7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70B27E5A-FC3F-4AD4-9EAA-9725F7239C3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7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4759C852-165D-435F-90C4-977D2A4E6FB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7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CB3977C-141F-42D9-9702-B2DBAE1B4EE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7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C89790-B914-4C68-AF08-A3827EBB880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7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4437C31-6FE4-47CB-B37F-581A43A6815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37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8BFA46C-0560-4B7D-B16E-8EE98F826EF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37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383F6F93-D4B4-41B9-A097-6B3AE41EEB5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37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DFE30325-9487-45A4-ADDB-B2292CB14AC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37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07931A5-80AD-43D7-8F5F-2E23CF5AC01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37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CC4944E-06D7-4B45-A469-D7A18C613A7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37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88A78BC3-373C-4765-B083-8A99459045E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37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0DC67D72-242B-4CFC-87DC-981742DD631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37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4BEAB6BC-D306-4489-B820-72058E5CB26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7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F498208-A33F-4BAF-8A34-66A44358E4B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7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AEB6CE2F-C690-4C11-881D-E1A8502C51F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7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7F004A-3FB5-480D-A38E-D54477E29DD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8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D6D3FAF7-8913-456E-AE15-951B03793EC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8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0E12ACA-FA5E-4C17-A82A-2D9F8344D12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8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97134E29-FA8B-41E1-979F-907CD8F5C84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8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07779D76-FD7A-448F-8AE1-34D8ED0D050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8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682EA3A-C817-416B-BC6E-562C0D2B981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5"/>
    <xdr:sp macro="" textlink="">
      <xdr:nvSpPr>
        <xdr:cNvPr id="38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F1B7872-12C2-48F3-93B8-8EE5E4AD86D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5"/>
    <xdr:sp macro="" textlink="">
      <xdr:nvSpPr>
        <xdr:cNvPr id="38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33ED2C26-F8EC-4F80-B244-50EBBE9597A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8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5884999-F8D6-4CC8-8375-610E9CF6FAC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8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470B13-F543-4B7E-8E53-BB3DF42CBF2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8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4D44BFE5-82CC-4DB5-9D34-4A8CEC28122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8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FB8711C-1C56-47AD-8A13-3AE555E7E30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8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29F6F0B-6CD0-475B-8A6F-9C453EEE53C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8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6EEA1EF-E27D-4DE9-8962-163DCE6D186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8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BA56AB1-1434-4C3E-8F9E-0EDAA41C80A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8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8E8F511D-2EE9-4986-A30D-86D19E7624F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8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F7B5C0FA-8DA2-47F3-A2E3-43C814A108B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8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BA59211-A7DE-4D23-A0CF-643F3047636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8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75D1C13-412C-447B-BBDE-21752973B68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8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0A1A152-FDDF-4BFA-BA23-1CBA294F2B1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8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C2BBD47-FD4E-4876-A1D8-15EC9CCF0A4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8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EE8D425C-739F-4073-9A17-72F3B781685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8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6FB35F01-358C-4373-98EB-2AF5E9E8235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8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5D6494EB-6F8E-4FB6-B57C-6C3C2B7349A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38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0FDD3FE-1B1D-4C85-8805-2C1292A9B7D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38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0122133-B342-4A28-8AE7-53A5CFFBD6A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38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32B6BEB-683D-4E26-95BF-E68AF2E923F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38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472E6EF-97CD-46D8-8863-016E9829AFA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38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2E1A38E4-E507-43E2-A3F0-8DB195BDFF8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38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AF10078-D745-4D57-B216-64569438950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38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E1B2D9E6-5DAC-4006-8A25-505568BA35F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38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47A6169-1135-4706-BDBB-D879C725DDF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8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693A45DB-F055-405C-929A-81CB495CD34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8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FB98173-7278-4564-ACDF-73151EE22CA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8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2EE71BDD-2FB4-4F96-A632-5DDA026EFC2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8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070FC43-F860-44D8-B273-9EF44A45A88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8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BED1DF0-12EC-4009-A601-D6EAE6F1598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8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4B37989-AF0E-4285-9B56-E25D790D552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8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BBFD3D2-1CF4-49CA-953A-7604CDF3261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8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49236FA1-C222-4477-AF6A-69C61055FD2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5"/>
    <xdr:sp macro="" textlink="">
      <xdr:nvSpPr>
        <xdr:cNvPr id="38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1FCA72E-A297-4234-89C9-77976DC882C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5"/>
    <xdr:sp macro="" textlink="">
      <xdr:nvSpPr>
        <xdr:cNvPr id="38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55B27548-E03E-40BC-9691-4F8B48B22E2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8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2D15F776-95F4-4801-AD32-10004036922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8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620655D-CA6A-4DC3-868D-360B4FAE8F9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8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3D9D69E-35A2-4629-964E-5EBC63F9429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8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EC3E4A2-BE7D-4BB4-8FB3-D65B6C8C0B6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8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087A1B-E542-4D34-87AF-FAC2561412E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8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688A5E85-BF08-45EA-B210-B24436F2041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8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25BFD451-6D3A-45E8-A84F-AC74A957EB5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8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58CECD76-38B6-4C93-901C-B062A594D02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8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22FA5FC1-6287-45E9-9157-C1D89592209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8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FEC5073F-0B85-4CD3-8F72-FDE6703AF5F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8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7A0AF983-9180-4748-8E05-74059B606EC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8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F54D876-AB57-4B8E-93AC-E15EF8DEC6C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8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6C93759-A6D7-4A18-84B8-15EEAADD5A4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8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B8BF75A-C6C3-410F-8FAC-25ED980F730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8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9AFC187D-50D8-4495-82B9-36AAFEBEFA2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8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CFE7313B-1BEC-4073-ACC9-3383CF69F09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38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7B6C3D0-3558-4096-BEF2-3467B608485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38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A3B2FC99-11D8-4E07-89BB-A3CEA6304FA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38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C1570D4-16D7-489F-A510-08A3F260BED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38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245349A6-FDC6-4149-942F-9869F2499B8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38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388D54-BF67-44B5-939F-996E68AF929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38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3D7A3AE-D490-4EAC-9186-4F22472C09F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38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FBFE2BC-11E5-4FCB-A7D2-A70410CBABE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38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2030495-C834-4238-A7BA-A47B91EC41C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8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1A0A013-4F76-4467-8DBF-737E2FDEBC5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8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443ECAEE-F618-49CA-BBA8-28827487CCC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8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ADB35AF3-3391-4669-8D05-EEA83C325EC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8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CB858B7-E884-4780-9024-32682C7F5E1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8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DFFF1E3-B746-4D17-8492-9BBD1023EBF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8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FAF25E5-E48E-4219-89CC-D7E72E6B768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8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6B966164-D8DD-4599-80CC-08149AB77A5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8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5ADCC401-2DE1-4AE4-B97A-11B72E59E28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5"/>
    <xdr:sp macro="" textlink="">
      <xdr:nvSpPr>
        <xdr:cNvPr id="38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7F4F322-CA13-4E72-A6FB-872962A4056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5"/>
    <xdr:sp macro="" textlink="">
      <xdr:nvSpPr>
        <xdr:cNvPr id="38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5D6E8E9-B2BD-4C41-87B4-89ED9493019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8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03E7A48-2D5B-479C-AD23-38146BF3727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8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61AD8ADF-5B9C-46B2-A179-5D00C02DD3A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8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26A0A803-17EF-4914-8EE2-C0C1098B583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8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1C959FB-0689-488D-BA95-DE49B295562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8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2409981-6FBC-40FD-9DF0-85776F6C8F3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8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15F07BC-7E06-4457-9E9C-B3CAA62FA40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8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427646C-C5C3-4AAD-A544-0B26E83DE57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8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E2DDC3B4-9CFC-48C8-82F8-95AD142DC5F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8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80873F1F-16CA-4502-831D-89ECA82F32F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8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876794BB-E67E-4CFE-880E-5D11A6E5814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8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E7873FC-0445-44BA-87B5-89D9F71D7EF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8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2009B2D-AD34-4EAE-9228-820A57B7F67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8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34EC079-9C37-4268-AB19-DD8BA52366C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8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4C4BBD4-D48A-4269-8C21-EA551CAD37A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8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E4C94234-426A-42A7-AFF9-CE94348FFEE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8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C6F950A-6DE3-483D-A1E8-1976EF8AA89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38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4B8D6B9-C51E-4042-A90D-2802CFB3E89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38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2CA48019-FCFC-46F7-85A5-B113C4E7F5C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38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DC0EC57-2197-4FAE-8665-33E16E7AC89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38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7DDB54C-C503-4A59-8391-9E72ADCEE45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38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891A323-42DE-47FA-8A22-588EB7E295C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38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54C5E878-0332-4719-B56D-85DDCD8E38D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38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7CE29D4-9BB2-4097-AE71-6429CB2DB02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38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E1D1DCA-EF46-49C6-99ED-05B77685149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8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1B01C3E-A156-469D-9884-FCCADD639BB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9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F1E3F239-9062-4F83-AA18-F12C2D03688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9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E04D163-A067-40A7-B3B5-1328BDC0E30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9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213C2D7C-E6AE-4CBD-A733-E7C3526C8D7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9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8AC853C-127E-467E-9C4B-3AD6582CA92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9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E05216F-BF77-4AF0-9B40-01B652F2D15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9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771D56E-BF59-4829-8A7E-B0F70F39BC4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9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06EA26F-DBBA-47AA-AE97-437CB52A85F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5"/>
    <xdr:sp macro="" textlink="">
      <xdr:nvSpPr>
        <xdr:cNvPr id="39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2827CB1-AC9A-4F31-BD52-7D5BC4DE760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5"/>
    <xdr:sp macro="" textlink="">
      <xdr:nvSpPr>
        <xdr:cNvPr id="39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42DCA3E-BC57-4B0A-9243-5B6910D0E8B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9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6635705-2B77-4395-AD33-7412F539D0D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9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CD9587C-6B74-48BE-B5E4-051249FBAC6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9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B087AA2-2045-40F6-9D91-0DD02A0AE2E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9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7C04EE3-648D-47B4-8D0A-D7A99437017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9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B65E5633-4B86-4E8E-875B-1643BB503AA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9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2E526BC-4268-4DC3-A916-02C264B5C00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9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034F7373-DF5F-4B68-B874-3DF0483049D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9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79801E2A-38AF-4748-999C-1E3790C6B87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39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BAA1FE4-BFB5-44F9-8358-C31AFD6CB18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39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07B802F-F3AB-45B6-A016-0F880AFB512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39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6852D10-A6DD-452B-81B8-CFD819DE221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39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BF079E-1AB6-4928-86C6-894FF646BA8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9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DFA6A9CE-CF4D-4A8C-8865-56DBCE4BA17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9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F24495A4-26E3-4B1B-A667-D86B026589B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9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973D9BF-A52E-4D90-9F33-459B050E154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9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624DDE69-9169-406F-A939-EE80278A014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39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B67FEED5-FB7F-446F-995E-7E3CBBB0080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39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73ADE64C-82EB-497F-B128-286B10914E9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39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A02194A-614B-49EF-A992-84DF573DDAB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39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C6B826B-FCA4-4EF1-A9E1-1ECDAF2F50B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39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061F8DA-DE15-4293-83AF-FF8F8BAFDED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39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9D0AFA89-930F-48F2-9174-FC1A2631245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39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85DC4537-8006-4543-9ABB-9077C330C9A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39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CABC1A2-49BA-45B0-BC73-3A648AEC355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39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2D57C831-5403-4D5D-9602-CCB43E80A04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39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985A56E-A8DF-44CD-9239-3C3EC970121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39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2066A314-7200-4D12-AA1C-A1AFEDBA120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39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6F0E9830-4B5A-4686-9594-B2850C6EA65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9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8BC9F8D-7FE2-4D65-8E70-AD411F149B7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9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37EBA08-E231-4948-84D5-D25CDD13286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9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E4FC15B-91A1-497A-BC78-47DBAAD6639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9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3220914D-4EE5-447F-9DD4-5AEE3589866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5"/>
    <xdr:sp macro="" textlink="">
      <xdr:nvSpPr>
        <xdr:cNvPr id="39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B79677A-A757-45EC-ACF4-BD5A6C3D2DC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5"/>
    <xdr:sp macro="" textlink="">
      <xdr:nvSpPr>
        <xdr:cNvPr id="39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58148D3-85C4-4056-862C-2F7804B9DE8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9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42D3911-C23E-4295-92FA-89601065B0A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9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C5BED028-38B9-466D-AE00-3248EF6C88E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9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B5F4C3D0-985E-4BA2-8C61-43D0403FF10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9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E912576-4D7B-4FFB-A08E-6C534412BDB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9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2D72338-99E9-4E33-8345-5C21C22E975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9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D350F36-421B-403B-BA4C-B469774E08C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9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7F3995D-5CB1-4CDB-8EDF-F25959F3D6A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9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8574755-B465-4B9A-8EB9-9C5EEA06D2D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39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C976BEC-32F0-499F-975C-1F2F75928B5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39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2D98FE-0B53-4C54-90A5-C3E05DAC618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39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F392F5B-6471-429B-A014-C42CFD28779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39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CEC47DD-0FAA-43E8-8DA9-FFABCCE53A4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9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3EA6F3B-E4B9-4E78-AC2E-47AB2450C28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9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47B6D8B8-5B57-4A65-8A7C-35770E2751F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9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CB778A3-78E2-442F-A086-DF324369C7D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9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E330B09-5EAA-4ED2-8C18-0E81E823E2A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39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1DFEDD7-1FD4-40B6-8FA6-2426C303453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39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F3EEF422-D9AD-4EA2-86D6-47A9E00FF98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39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2351B472-A008-4047-BC9D-A622FF07316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39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AF9A53E6-6B69-4FCF-8E02-5A66701FFA0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39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04316143-99D1-4E62-80C4-DAE29A7A18B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39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3D3B899F-9EEC-4D09-BAB4-CC6540066A4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39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C1374440-D134-4B17-A14D-69B9D5F455D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39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643A3E1-3B9A-460E-A6D8-E5677718F18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39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522BA4B1-FB1F-4706-B51C-FE9A4C2F7D4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39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9CA5001-3A7F-454D-9D8B-6924E308544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39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9C01FC3-8746-46F3-8EFF-A9EA7D152BA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39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1A17939D-FEBE-4F5A-B7EC-149B60F895E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9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DF85D155-8926-4ACB-B1E9-9F263E48714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9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D106806-8C1A-417F-A418-9FF5E37F8E5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9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28A268BE-C5F2-4159-9BDC-F8712809C0E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9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DF163D6-709A-4FDD-AEFC-962071C3574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5"/>
    <xdr:sp macro="" textlink="">
      <xdr:nvSpPr>
        <xdr:cNvPr id="39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BAA9534-F99D-4686-AC9D-37DCA06A263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5"/>
    <xdr:sp macro="" textlink="">
      <xdr:nvSpPr>
        <xdr:cNvPr id="39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8BAADAE-8F0F-432F-9763-70BD10DDFC0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9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B03033A-16B1-4E87-90B3-099233DD7B7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9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A1BEA7B-8AA3-4CCA-B22F-27C4CC82FE5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9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461F82A-FB63-478B-9D6E-548ED0332AB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9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EC6E7E3F-9A69-4475-8A8A-8F3489143E8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9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B43EC51-B9C3-4D62-877F-60FDEDDB04C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9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29362AB-9ADB-4C16-9777-D793FF03B7D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9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C055C8C-B1D0-4F8B-AF70-AFBF6E0223C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9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A9BEBC0-9671-40D4-B1CA-CFDCCE805CB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39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C0CDDF99-0F32-4B7B-BDAA-A3B591F440B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39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64305769-65F1-4CE9-A577-21E1B2943E9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39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50845741-3B6B-4BFF-9F1E-38F5D310015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39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A819D5D-5B97-45B0-9355-4F70C383480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9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71FABB0-81BB-4C27-9A34-F05C8064533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9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95A1D80-A4AE-4462-95A9-1B05FC2F8B4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9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D9BAA780-8368-46B1-97F9-28BDEBBEEF3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9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B308208-A3BB-4F2F-BFDA-78AD18D2298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39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1FE1FBA-78F8-41FE-9068-BCC0713390B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39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4DAED33-158D-48EF-A588-64D88858CED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39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42B14CCD-3D37-4AA0-BC8C-459A9DEBF8A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39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37432D49-6A76-417F-8103-B7347403434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39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17DB04D-4322-44D5-B847-66B2D471EB3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39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F24F283-FD6C-4ABE-95BB-B37F5C98EEC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39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7001DCA-8089-4076-8E38-767F40B9DB9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40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34F05C1-0082-49FC-BB7B-F7DC67623A1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0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3E9F899-ED40-4236-98E2-714697982D3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0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7D56798-50FC-497E-8FAD-2FB5D556E86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0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EDDF3D4-509D-4C03-AF08-85E20A1E785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0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F702B00-3E66-4472-A2D2-E472E8C7417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0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66625E7-73BB-4BF9-BD69-55E88857261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0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C0269E23-88E7-498B-93BD-D13BE720438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0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AA57441-9D3D-44A2-B447-A86A7FDEAAD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0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0C9F0CC5-59D0-467E-AED4-9129622EED9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5"/>
    <xdr:sp macro="" textlink="">
      <xdr:nvSpPr>
        <xdr:cNvPr id="40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2BB19928-1F83-4875-BEE4-3ED7F65583F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5"/>
    <xdr:sp macro="" textlink="">
      <xdr:nvSpPr>
        <xdr:cNvPr id="40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65BF48B-A88F-45E4-B8DD-C7C69343EC2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0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14EF79A-A357-48C4-9D46-C43A3E7354F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0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95994CDB-9608-4C42-BD81-35997D63CEA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0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CE23217-3911-419E-A84B-4B190196D96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0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123CCC4-4858-4599-8D3F-B47136D7E7A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0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FAE93FD4-371D-4D34-9F09-5AC5768ECB6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0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36AD059-360D-4B81-AD0F-67C1CCDA294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0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165AB19-3A4A-4B22-A34F-9F5BBB52FB9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0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6654D416-6CFC-42B5-B079-AD6E923E005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0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AC70AEA-617B-4E2B-86BF-EF52065A1CE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0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17048280-8307-4077-9A58-0C05A2D5660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0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0FCDB65-C86E-4A69-8FB4-478690A8486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0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0E9CDE2-573C-459F-B648-4A9A86FD7BC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0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0748CF9D-4C12-4D99-9705-E43AC1CD909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0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EF1D64B-A86E-4C52-8D12-2C047E715B7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0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F2BC836-55C2-43DA-A866-907F2804B27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0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5F5D1E0-6B16-4DCD-9EC1-92F125342E3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40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8E6731EF-9E7E-4A1C-A537-C6B11FA667A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40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0BE55ECC-E865-4047-920A-FC30DA20B06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40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2B44E8BF-6512-4B4A-ACDB-CB0F6F74E53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40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5D6EA6B-01EE-4B2F-80CA-133CDF21200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40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05A1B45-7CC3-4624-828E-AA0FBA40181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40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5199D857-0397-4C49-ADB1-427AA3E8933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40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08E0EC8-04FF-4962-8262-D8E6558137D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40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6D0C9DB-3CAB-45CF-B9EE-39FAC2AB461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0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9D19EB12-64F3-48E0-BB0A-29F7FAF6F09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0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56CAAC8-EC8C-462F-BFF6-83F504CFDC5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0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11C1949-D487-48A0-AAF5-CAF85B2D7F8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0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1B6B93A-1EC6-403E-B12F-D5885E12C2A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0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EA5FAA50-C832-4F31-AAA8-676FE3FCF6F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0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4619503-488C-4A5B-8534-AB1F422ADA3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0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2989DF1-BE12-491B-BD81-7860784C2B9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6"/>
    <xdr:sp macro="" textlink="">
      <xdr:nvSpPr>
        <xdr:cNvPr id="40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96FBB602-4A3C-4BED-921A-3B546AD2B31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0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57839B7-96E4-4D6E-8D05-5B748FD9748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0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8715022A-2219-4DD2-97BE-16190E75136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0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0865A216-57EC-440A-A44A-2A5E87A569C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0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D64C45B0-47D7-4D96-84F8-21C70F35E64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0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258984D-4864-4F16-A06E-3AC3DBBC05E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0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EA102A1-DC9A-4F18-9899-E2871A47255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0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7074DC3-7BD4-4513-B641-5D3DD566B97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0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5DF31A70-4C6F-4AF4-9E68-57D6C97DB8B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0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E7A55B74-AB94-4AD0-B074-7D6CBEC8ECE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0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210317EA-0BA5-4ED1-B605-005DE923660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0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11A5D23-D31B-428E-9932-757D170ED3A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0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54420F2-6974-4D1B-88F9-B2623063987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0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07AA418-EB95-4AA9-BF69-452598EFDAE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0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3F01D4F-3689-4005-9C75-2F98D9CBF91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0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6678684-DC80-4C40-B7E4-9FE674C4B10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0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72465477-91AE-4617-A26C-790D8F981E2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40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5AAD0CF-5CBA-4F95-8DC3-3539722ED5C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40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F8C88C9B-9325-45FF-8203-3470EDCEFFB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40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609199F8-AA80-468D-A465-8B4557F31A2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40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6C3EF4F-1A45-4E40-8AC3-22C4BA671AF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40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1698639B-9B75-4E4E-9A89-2953BFCC21F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40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35FC73A2-05E8-492D-B65C-398AFBF7C63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40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8D688B5-2676-4629-9D9F-170D760DD76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40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83F2C79-384B-4C39-A398-776CA7E3212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0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8957A91-3DD1-4723-97E6-FD916C5CEFA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0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B8583905-A918-43FC-BECF-8D233786918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0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364C83E-B3AA-43C5-82F7-5135B519BD2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0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C424B7D-FA66-448D-AB59-3B26B40124A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0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511B26E-5CB4-424D-B5F0-BDC6C59704B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0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191F842-58DC-42BD-82A6-C046B0207E8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0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25B8551-D1A8-44EE-B425-9F1F520BA1A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0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C2DF24B5-6491-4EC4-B80D-35F4FFCCFE0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6"/>
    <xdr:sp macro="" textlink="">
      <xdr:nvSpPr>
        <xdr:cNvPr id="40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225C1F8-F39A-4009-BF54-4043C14FE89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6"/>
    <xdr:sp macro="" textlink="">
      <xdr:nvSpPr>
        <xdr:cNvPr id="40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A2A7D2E8-72D0-4341-B752-DCBBECAD2AE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0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202BA87-ED3B-4B3C-8489-FCE734794C9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0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B930709-64D7-4139-8033-9209950E79A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0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2F532C01-3497-424F-8457-0B86C12D05E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0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1F214427-C26F-474C-A141-F67B66D29B5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0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EE8D2338-F998-41F2-A769-DC03004B950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0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5FA9442D-1DA7-4C84-A931-3E60CB172FC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0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6529DEDF-C5A2-46F6-90A8-3739D1037CE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0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9EA26DD-0E72-48E9-95A1-D681780A2D3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0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9916B69-1410-45F5-8507-F75F7853708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0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E7C919A-CC8C-4613-AC2E-9FB8AD7D548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0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C7AAEA7-D77D-4DF1-AE6A-4CFA198736C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0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15F99C0-99DB-402C-9465-A5562551E0A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0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EAC73982-0E6D-4B31-874D-226CCD3D004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0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18A9F444-65FE-4BFD-A665-1795CD3141B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0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2BCDAF4-E904-4087-AFB9-3F156FA05EA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0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42DACDDA-7059-4E1B-AA48-4361E02C5D3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40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B8C67FF-5347-464C-861D-C6571A15973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40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86825015-F176-49FD-BA07-E67418848AD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40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593F4D6-890B-45B7-9791-0F003905F5A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40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85D81C5-8E8C-4A45-A502-4E5EFF36A40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40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7B84D62-9C00-4478-849F-E3C890DF232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40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5FEC0243-8673-47E4-B7E9-ED70F6AB30E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40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A7CCAFC-43D5-489E-B8BA-C3748371E40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41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FD0259CF-FDA8-4617-B5A5-6E295641D27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1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A3316CD7-C4A4-4925-B327-4D086BA184D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1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A3299D70-A514-46C5-99A5-4B41C7949D9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1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55754EC-78A4-42F6-A720-3E7641E9C22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1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D5540E7-1E0B-4E55-A9B9-CA8654A7CD3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1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097204EF-1234-4E21-8426-3A32E3BF9A9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1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C5832575-A2C6-43B3-9A4F-AFFCC7C6A50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1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21DD66FE-FBFA-4797-A85F-4056BF88185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1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4F96F972-2E56-4B91-9486-179244B9352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6"/>
    <xdr:sp macro="" textlink="">
      <xdr:nvSpPr>
        <xdr:cNvPr id="41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4618F3D-7D35-4ECA-A739-251A3B3D177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6"/>
    <xdr:sp macro="" textlink="">
      <xdr:nvSpPr>
        <xdr:cNvPr id="41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00CB497-343D-4B29-BCAC-CDEB57D6CBF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1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00DEBEC-6613-4DFE-84AB-28222E85617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1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AFB86D7-0AAE-4261-9866-701AAB7BF99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1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407B850-F8AD-4303-85E5-156BDDD72CE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1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EED9A031-8A2C-493A-9B5B-F2FA534D238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1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8346298-D3AC-4359-B0EE-0E76989A296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1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627352A1-3396-46AF-8A30-13A054CBD14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1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AEFDE04-E0B2-4036-9932-21CAB1A1D55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1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ACA749F-DCC5-412F-B785-BFE9E04BD31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1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6D13D4C-A95E-43B8-801F-4558743F1E4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1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8C9A8E9-230A-4B7B-BF77-15DE67B2F37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1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DB1D987-E09D-43CA-94DD-CD3B4C53F28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1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A38413C2-7A6C-4C1C-981C-A3768FDC493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1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C225C5B-E66F-4453-883E-E42486B390C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1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7F35423-1CDE-4AF6-9ADD-B6BE7F6EE77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1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4BD68772-E32C-40EA-A996-9588ABE1B66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1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4D03E65-A44A-4E97-A5ED-DD2DB559AE5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41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CE7B6D0-062A-4227-B1D5-75F447B31DC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41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E0740FE8-057E-413B-9001-BA5C6379A9E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41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FD08BAD-ECE8-4F34-B5AD-F66973810D7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41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680838-89C2-4F8D-A71C-221F390310F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41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068D7A7-F24D-4C6B-BE9B-139744A52F2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41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9CF1ABB5-17EC-443F-A54B-0621B9F0110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41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907781A4-CA91-46E9-969E-413622E74FE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41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D9419B7-1684-485B-8D06-96C48CA594A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1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735804C-BBD0-42DD-84B1-3E5E0587DD8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1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6BC1C726-AE11-4454-B373-B6D1BD41B5F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1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4C1E831B-908A-457C-9260-2EE67703929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1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A5D12C-D56C-4BF0-AE9F-E96EB7EB234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1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056BDEE-1A80-480B-BDD8-A707847425D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1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07DAB5F8-088F-4FA6-8F08-889BB77F7FC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1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A7C2FFD-DF41-434B-B71E-D2759057B97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1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FB03D4FF-1478-466E-BA55-8E065968E74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6"/>
    <xdr:sp macro="" textlink="">
      <xdr:nvSpPr>
        <xdr:cNvPr id="41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1E2F1427-B81C-446B-9A1B-0B2531D3D75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6"/>
    <xdr:sp macro="" textlink="">
      <xdr:nvSpPr>
        <xdr:cNvPr id="41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C23B799-D274-45F1-AA39-D1933F7B0FE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1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A878E05-7AEE-49E0-8D35-08A55F84FB1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1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9D1D89F-DAAA-4FDA-8B15-9ADE81658D6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1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49E3E764-75B1-420F-A3BD-4A10B636260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1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B1E02D7A-46F1-4C60-BE32-9D95AF9ED20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1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8E854BC-E33B-4581-9E71-4C3AE72FE9C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1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CFDFD52-5E1B-470F-8DB8-AEDE666F682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1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D2FBD31-F221-45D8-B963-37B12419FD0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1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A7138927-3944-4F45-9FE1-220916B2302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1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756E9C6C-652D-462B-9C3E-A6134DE31CC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1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23F2527-457D-4D90-9AEA-451119631DB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1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C4D66B3C-A7CB-4154-9349-84DC77BF222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1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E5079A2-EB8B-43E5-BD61-4611097A321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1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1A483D1-3950-4C13-91CB-01371700E3E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1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7C6A1C76-6EE8-4684-B835-CA5185307A5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1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65948B5-5215-4486-9732-F3FA19CB4C2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1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426B897-0E1D-4F9C-8FEC-5E6D466D5EB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41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B55EEB8-9C6E-4A1A-82C2-DC1BF019599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41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4D509CA-516C-407D-9C70-F6DE86AFE4F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41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2A46BA4A-2FE3-4E00-9501-A92A089A07C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41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8C0EAD8-3615-4D8B-A7EF-9678654E5D6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41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BB5DCCD5-CF75-44B7-B101-950ACE5BE6B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41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D1C25D4-53D9-41A6-87AA-062E5FE88DE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41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9F636C-5B78-4BE9-8DA0-027E7045D1B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41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D4D9256-6500-4E2B-9F0E-7A35E4981DA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1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EDC35395-A066-47B9-86D7-9FF19493279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1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03CEFEB-7E25-44DE-B8BF-A302905291F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1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C95C02C-C05F-4411-8891-4ED51B7C7A2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1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AFF34A7-ACAE-4A97-B1C3-61C7333DAE3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1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71712D6A-07B2-47C3-8116-633DF7111A2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1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8006DB5-2C00-46F8-8560-9CE99E12432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1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837A6FA-1143-4FDF-92BF-08A42BBB938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1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AD7A029-2DA8-41ED-893C-FB6067F64D0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1"/>
    <xdr:sp macro="" textlink="">
      <xdr:nvSpPr>
        <xdr:cNvPr id="41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1CFC849-1F59-4FE6-959A-B6633073BD9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1"/>
    <xdr:sp macro="" textlink="">
      <xdr:nvSpPr>
        <xdr:cNvPr id="41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33B9EB2-E7AC-4DFC-85A7-8A044FBC663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1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10C96C5-18BA-48A0-8131-347E5B7E75F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1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30C74F72-A380-4F75-8DAA-691A0FA6D6E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1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E94287E-74E1-4A6A-94C3-D32B54995CA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1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659336E-2EEA-499A-8119-98A77BF4C54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1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72D075D3-6233-4B56-A67A-4836FBFD22B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1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FDEB3E1-E5BF-4E76-8C72-68D2DB4D1DB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1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A8B7E16-3D3C-4FCE-8E9E-EF408D8785B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1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37BE244-DEBF-4468-B1EA-1B738601F1D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1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8BD14B83-8DA6-4DEF-8402-61B55F73ADC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1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ECBE429-F132-469D-A19E-943880C9200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1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2053D73F-127F-4ACB-8B81-C93D68A7F67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1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959BC7B6-4FBA-4CB7-B635-B25CB1A1DF0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1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05ADFA2-3474-4768-BF7A-4D4AB683419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1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272A3BCE-3D25-489D-95AC-C11A783B2B3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1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78B184E-68C1-4AC5-88BF-686AA357FB1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1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8474CAD-AA69-4875-9260-FDA67F7D6BF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41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34190F4D-B1C0-4AFA-A321-5704B8984B6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41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3EADFEE-AF5F-4DF8-B3A8-D6F4FB1176E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41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47F9849-FAA7-46EC-A4FF-903222263ED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41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5197FD6A-F8CB-4C0B-9C11-2A62FDF7857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41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EB2E0E9-A69C-42B5-8606-67B251A9D3D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42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F3BB1B9-216F-40C6-B5EF-C5D5603AC98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42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3E9D412-DC51-46F5-8AA9-2980F3BCF3F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42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535E91A-2AA1-4E60-AB5A-6B29910B086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2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AB76EAC-DB2B-483C-BAE8-1807D40EE0C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2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BC83588-F54D-49A9-AC51-CA7D1A4F76B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2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D0B6BD9-C23D-4C00-9D7B-00D16515821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2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5193428F-4692-4AAD-9D60-7DB56CD456E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2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533F97A7-8B49-4B14-9D96-C6381A5F7DD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2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625FDE1-5DF0-4351-B814-17AEF221BDF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2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07F1117-65D5-4EE4-BF78-7D89D6EC65D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2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10CECB5A-DB13-4E38-85E2-4BC9A436701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1"/>
    <xdr:sp macro="" textlink="">
      <xdr:nvSpPr>
        <xdr:cNvPr id="42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283C8C8A-D5FA-4595-A551-BAA153AC53C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1"/>
    <xdr:sp macro="" textlink="">
      <xdr:nvSpPr>
        <xdr:cNvPr id="42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94ED716-0899-4F29-8EA9-5A7D844836C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2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1D6F8C24-8784-4AA9-824F-C7C33D5EF50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2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C44C4BB-8D00-40EA-A082-EC84EDCCEA8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2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09087906-F6C2-4E4A-867D-E097FB4D331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2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714E2186-AAE8-40DA-8013-42976FAA947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2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C566B58-5D9A-4F29-8345-1ADA3FBA026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2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43E4812-DEB4-44E7-8390-4AA8271AF28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2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27CD1CA6-310D-47CE-A1AF-6B8FEFC4944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2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2340F88B-15DF-49D0-A998-CE03DDE0F9E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2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9212D0B-9020-4E2F-A21C-C60FED40E23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2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F354801-D09C-41D7-AB3F-BF9A755361A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2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F4559DD-88AB-409B-B551-A66319F4C2F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2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CABB0D1-A651-47D2-9252-12FB9DDDFF9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2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BBB4C59-CB7E-438A-BD2E-6B72D8270E9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2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1CB00AC-72E8-4E33-8476-73012E866B5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2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65B9190-391C-412A-B9AF-8A048A5CEA5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2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3AC80D3-41B6-4739-A3B9-3A2F160BDF5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42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40290032-75B8-4518-868D-A4B50242331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42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3DE4E0F9-3FA3-4E25-B142-2A9014BD185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42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1064384-320F-4ECC-A691-964B2A819B0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42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1CEDC4B-0274-4A2E-A728-15403F79E43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42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CE8AE47-2A6D-4640-8F06-286EF19D33A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42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BEC0C93-C6AB-481E-92C6-4CFD4A16052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42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B6AD173C-B80C-4984-BEDE-D7DBC443C68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42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48B0ADC1-21B0-4DE7-A35C-4240ACEB3A1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2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51D0D077-B375-4D8D-A8EB-15BB1ED0CFA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2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CA66A49-2C74-4147-9A8E-DA78F1D0156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2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42EFE4C-365D-402E-83A3-7388F04569E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2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934117B-9FD8-4319-8649-7568CCA77E4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2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45F64D4-9C23-410B-868B-6A4EFB9E52E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2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790CA15-6CDE-4551-A03A-0D5140DC312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2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FCC030B-650E-49D3-B8D8-73FC6093334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2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C040BBE-41B3-4A5C-930B-1E767AEA1B4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1"/>
    <xdr:sp macro="" textlink="">
      <xdr:nvSpPr>
        <xdr:cNvPr id="42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07D2B67A-E191-4E18-8820-26DA1BAE7A7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1"/>
    <xdr:sp macro="" textlink="">
      <xdr:nvSpPr>
        <xdr:cNvPr id="42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99C8CD-61E2-4CF6-990F-2877B785D0A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2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5AD52AE-7BDC-4AFE-9964-C6C70A2CF25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2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53AA752A-1469-435D-A0C9-F9AE8C05A32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2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61154BA-327A-46C1-ABC7-1972B978A33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2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E294646F-625E-4A34-8AFB-E8CCB814C35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2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D874B289-54D7-4C29-863E-13B76093C9E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2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93ACCF1-5F53-4E57-B8B8-76BE1F6ABBC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2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04BFEDF-DE1D-43F3-B017-6E0E0A6C166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2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64A7CE5-2C9D-4202-B6B8-8B4945D4DF6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2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CC7364EA-31FB-4AFB-8AAC-15938C35D54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2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C3706E-24DB-4827-97F9-42F43919512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2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E8FF742-507B-4B18-BB8A-DF8A3CADA5D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2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0B695346-06E1-41DF-8905-EF3152C7D40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2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F8C64DA0-B32C-4757-A917-DB1DAB7DAA6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2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3AA63EF8-57F6-48D8-82D7-767367C6A14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2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6A86605-5C9B-4F08-A497-099EF046618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2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2465E12-D01A-4BC6-BD02-93C5DBDDE96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42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FD6394B-D2FF-4AE0-AFB0-DB4AAD51F48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42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6A072CB4-AD5E-4A3B-803B-246E67721D3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42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C76D9C61-3D6D-4F26-8946-7991EB18875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42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7067F27-E3E3-4A6F-BC62-B1E0204507B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42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853835C5-6CD0-4800-96F5-C1D3C0D9A20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42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47F09DFF-622B-48F2-B91D-683E8429DEF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42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E4AE8EB-2207-43E8-B936-9499DC18E8E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42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CA57BDB-8B5B-4F49-AA93-E5957B106EE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2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37405FB-2E52-47CE-87EF-AB921C53DE1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2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8B3AB85-BD77-43DF-ABEC-CEFD882DB40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2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3196C66-D00C-4558-B52D-2E17A384CA2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2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09185A1-8DFB-4946-8E67-EDAAACD682E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2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9FB869-D7D4-4607-BE27-C072158994B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2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360F8AE4-3D89-4CBD-BEF8-AD7E564D6D4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2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E924BC7-868B-4073-A9D5-DA4A8734E5A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2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028633B3-C599-4E06-8CED-2AC28182089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1"/>
    <xdr:sp macro="" textlink="">
      <xdr:nvSpPr>
        <xdr:cNvPr id="42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48D967BF-28B3-48B8-9DB1-B62F0395C16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1"/>
    <xdr:sp macro="" textlink="">
      <xdr:nvSpPr>
        <xdr:cNvPr id="42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74BB0D0-DA67-403B-B064-3BAFAB95DBA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2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E8ECAB1-503E-40CB-BA79-AFAF421DE3C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2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5FC6D4D-80E7-43F4-ABF4-FA27838E670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2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B1790F7-0178-4690-AEC7-03055A2D452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2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81F00C8B-654F-4791-BBBA-E8880E7FE60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2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520D090-261A-4BAE-A113-05A1A6AC814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2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CF0F2A17-E726-4772-8D14-290A5537F32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2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1B3D6C0-4880-49A2-B50A-BC2C97BCAE7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2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A18E3D0D-FD19-4487-9B71-E864C55626E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2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9B4B9DE-2E6C-4807-BC64-340F03F44C6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2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CEE74E2-C0C8-48E8-9966-6FEBC471223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2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B18FF0E-50AC-4D1C-9DDC-46CE00B234D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2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C4D2743-E074-479F-8889-5F1A15866FA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2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92014E9F-713F-4D80-9415-946ABD06FF8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2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43789F7-3C6D-4A56-B154-27140E3C1CF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2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7505484-DC58-445A-9EE1-FE82E29C834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2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DF2EE8D9-161F-4BE8-9623-1EC7A5A0864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42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FEF0AAA-4E83-4536-A761-14992EDA271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42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5F010DCB-1910-403E-88EF-BFE3CAEA70F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42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2916E053-2634-4514-A021-9411357ED64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43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4B6FF88-5E71-4156-8D35-90ABE3340CC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43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49E1A75E-3E7B-45FE-84AD-33BF7DCD588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43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C2FD458-FFFF-4F47-9380-6E6204262AC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43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8F89E5D-E4C4-4D10-BE99-433F5040987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43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6F30429C-5B71-4A32-9CB4-229AEB7321D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3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3A9F1720-6D56-4335-9512-F022A2BC549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3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3CEC40E5-FF70-4D2A-A332-575BB1C0FF3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3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215AD475-3C8D-40B9-8ED1-41ADD9FF8AF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3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9FAD632-6879-4C11-BBA8-5A9F5D25082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3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149903F-77CB-469E-A559-BDA63C3FF7A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3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50389015-62EB-4328-BA4A-9BF1E815B3C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3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4855CCD8-237B-42C5-B4F6-703133BB7FF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3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6B01C37-EB14-44EF-B0FB-A06175EE7F1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3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B9660C24-5C89-4A4B-92BB-EE2D71FA53B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3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305E5F74-2CC9-4EB5-8447-60E5DA15265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3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CB3111B6-BB4C-486E-BEFF-B8C7C72A13B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3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A688D5A1-EB32-404F-AEA1-9A6C17937B4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3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F53CAF6-7801-4362-AD77-0F2FCAB0AB2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3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AE579112-1991-4FCB-8547-FAE5800FF05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3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128001C-373A-4E3C-8B12-FBF03802DB5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3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58DC4A1-97B3-4D00-BA3D-B48414520CB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3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6F117F2F-1ADA-4777-98AF-19AA19A04EE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3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4F4E5956-D490-429B-AE96-1D1CD15923D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3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563A0E3-4B2D-491B-AC3D-3FED7DEE2A8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3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CA1ECA60-2D3A-4340-AFBF-F75D69D1A07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3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263E9B5-DC26-458E-ABA6-7392017A253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3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5CAEED74-4BA3-4EA4-96FF-B5BC596D3AA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3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49C22A32-99ED-4FC7-B8B1-5C030037E0E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43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7039552-2817-4EA1-BC98-CA9F74B199A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43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3616DEC-E6CC-4B0A-940B-C084BA0F649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43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7E2CD57-5ABD-4652-995B-1F28C84B3C4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43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6349F64-BE0F-4B00-8BCF-FBC2F96119A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43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D81234-1EF3-4292-A9ED-6FE30012BAA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43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1503DF9B-E6AF-4B51-97EE-AA7A6C0684F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43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7F70EA36-C7E9-4031-8EBF-3CC5042757D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43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32D0F7A6-E1DC-4643-8192-0A69C4630E8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3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D4D45FC-69FD-496A-90B5-D601DD85FD4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3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A36D7BE-A58A-45B6-BDFC-CBA4E7905B5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3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79E45B3F-2D43-44CB-B9C4-14305E7EAE0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3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09A286-3F9D-4FDC-A787-6611A6DAC48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3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9896A2C7-5975-4779-895A-941B7639D0E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3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AAE37757-F460-49ED-88BF-52E1134F949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3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3FF41DF-3C6D-43E7-B831-8F379C5D36A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3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865DA511-4C8C-47B1-B7BD-49A7E896040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5"/>
    <xdr:sp macro="" textlink="">
      <xdr:nvSpPr>
        <xdr:cNvPr id="43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F0105E7-EAC5-402A-9232-03C251FBDCB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5"/>
    <xdr:sp macro="" textlink="">
      <xdr:nvSpPr>
        <xdr:cNvPr id="43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1E1809D-EC1A-4FBC-9E2E-9D75921A0EA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3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1637B22-245E-467E-B600-0233D2259E9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3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2C1EA08-FC4C-4483-AB25-26F0548C599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3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55AB88EA-CBA7-4DB1-ACA5-E232EE8E38C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3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E1C9695-3C30-4F8E-BC1C-3811EBDD653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3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ABF1BE8-D64D-4C04-834F-7A43A92A110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3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6AFC3C98-2BFC-4392-8721-C2A80769D6F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3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ED1EC53-BA86-4158-9E57-C3035AB6651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3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BCEC813-1CD0-45DC-9C57-F66DB0FEB46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3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EA8A0AC-443E-45DB-BFFD-60AFE8F55B5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3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4F9960B8-81D9-4A46-8B8D-963B592BCE4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3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2C40855-3F8E-42FE-9CA6-1637169B96E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3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9E7FFCE-4DAB-48AD-AF26-1DC2E0710DF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3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4FCC12FF-FCA6-4E3E-BE64-FCB770B90F4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3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EF48D37B-3C8F-4D7E-8BEC-0F09942A752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3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2ABA315-37A7-47CD-B94F-C11E5C49F02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3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2EC6E886-7417-4E7C-ABD0-E310827CC03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43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89B1D33-DB6C-4E41-860E-56BF095AF07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43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B401CBC3-D6DF-4A10-A69F-831BE1C9413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43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77562C5-0D82-4037-9B84-0326E8A2407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43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FFCF4A4-06F7-462A-9E72-153D5F449A5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43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69034E1-D501-42E2-99A7-B10E94E347C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43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14357A6-909E-4244-AEC0-B3213680B8D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43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00FC1215-D4C1-4139-BF96-4FD3DD3F0CB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43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23175A34-08E0-47BC-8DB7-E84DDFBA282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3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9F29EAE-E28C-415C-8473-CA21CFCCA70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3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D5F74E6-8EE3-45F3-97C9-BF2752484E5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3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74FD202-9B75-4277-B721-E20A98E567F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3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BF98598D-D7F4-445B-BEAD-AF36FF0A091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3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688277B-88E1-442E-BB30-6610DF91540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3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045AE297-FE70-40ED-B245-908B5B73D13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3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6E4BD744-3C9D-461D-AABD-F42C8697CBD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3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FD919B6-E89A-44F7-AE64-ED791BB1863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5"/>
    <xdr:sp macro="" textlink="">
      <xdr:nvSpPr>
        <xdr:cNvPr id="43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0C8D18B-8738-4E90-9D4E-2724671C8F9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5"/>
    <xdr:sp macro="" textlink="">
      <xdr:nvSpPr>
        <xdr:cNvPr id="43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E035D12-DD09-44F3-9EEE-5D83BCCE778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3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DC07EB5A-27F7-4EB0-9C58-30073CDEA61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3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898F73A2-DC0E-414C-8DDB-2193FCD7800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3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DE4FB98-A219-4380-BC31-3CA1D18F9ED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3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85B37D14-42D2-4E19-BDD5-D32724A671A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3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8C4A3386-D9E0-4889-A7EA-271D4F653E7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3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0AB9AB7-A978-4AB3-93D1-02829090351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3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6FA002AB-BEAD-44DF-8069-2F914AB9E12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3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9338058-9BB2-47E7-8B10-D101FC25673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3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1113F77-287E-4EE7-85A8-411865D32B7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3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7D41D6B-BAE3-452B-A8A0-F712BC7F8E1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3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63DA01E-EA2E-4359-A22E-CB0EEF59CD5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3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2C64C5AF-E622-46DF-AE6F-92D8C4D6C75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3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596EB45D-FAFC-4987-AD64-0CE49557C49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3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B414E0EC-194A-4A05-91A1-B5A5A824545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3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CDFFB387-35F9-4BAF-8D83-75CA4E2BCEB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3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ED8DAAD-50E9-4B07-8CE2-AE2FCF02849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43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821D443-DE95-444A-AC90-3827AD1FC7F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43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B00D56A-0DF1-466F-9F4F-673F132C6BA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43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6BC4C54-023C-4E93-A2B4-F8FD7FEF6A4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43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269CD1C-2468-4981-86C4-B5F7A67C5E2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44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9E60DCA8-ADD8-4B09-AAC8-D2F7A3BF5FA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44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AD622B90-AAF9-4BA5-A96D-8AC74FABF9C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44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4EBA4A85-CC49-4B01-9D74-B4783E1851D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44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885F1183-3E4C-4326-A8C7-0F2CAE74054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4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24645DE-A1C2-4B89-B614-B0D0C956BAF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4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E7D67C0-2DBE-47C6-90C1-B6E04FAA36C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4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F255F13-4666-4BE3-BB01-620E38AD799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4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86373B1B-C42F-45D4-9CE9-96491A22D4B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4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3866256-3F44-45F6-B311-6889825CD6A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4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7CF9794-A045-49AB-9D93-B93B9A1E33C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4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3F41464-10CF-4EFA-B348-A2CA7374A23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4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AB92AA1-274E-4A58-BFF3-2D1CCF709A7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5"/>
    <xdr:sp macro="" textlink="">
      <xdr:nvSpPr>
        <xdr:cNvPr id="44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367F2BF-380E-46DE-BB3F-19C69ADA5BC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5"/>
    <xdr:sp macro="" textlink="">
      <xdr:nvSpPr>
        <xdr:cNvPr id="44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6B3430E-3427-45C7-A62D-C28BB408C64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4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5B5A3F0-ACC7-4AF6-8647-3665CF00803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4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27B6320-36E9-4BD3-A903-B36A91B2C3B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4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D9DEB8E-5430-466D-9570-1689B5B6DF4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4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8F412B33-BB0A-444D-BAB5-60D2174705B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4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81072AC-356E-4D64-907D-093373FFB83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4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9E5239-CF5F-49DB-92F6-87669863E29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4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BC97578-C8E1-487A-8083-1DC540623C5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4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92BC86D-B5E4-4E8E-A685-1E8EA98DE68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4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A91969B-A616-4144-941A-D72BA99E4B6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4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E03A2BA-63FA-48F3-8155-93EF6618170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4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7916C6-2031-4D55-8F6C-802D8EC0186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4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71A8226-6F4C-44B8-9FE9-FC2D90ABD4F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4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3F3B73C-AB17-48CB-806C-368B9191F73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4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E14D7E0-76EB-410D-A263-28CF0C1911D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4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B4175BCF-DDDD-427E-B83B-EA45465EF5D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4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CE8DCCC-98D4-49ED-9C23-AA7F9029298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44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5776C608-9E60-4919-8853-A64151BC152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44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827FB566-F0C6-4B7F-823D-6E75523C833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44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D6569F4-E0CB-4D1D-AFC5-E4F29A9A874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44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C8B5ED7-151C-404D-B53F-4F54260F789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44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AAEAE0B-B09E-4473-9B94-026593041E9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44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38B98396-5C25-4A6C-B5F9-D9D3AEFC7C5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44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356978C-D498-452B-9C2D-3C14A36D9F2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44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2AC4BA8-B740-4F02-8120-8D570368A19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4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635ADFD5-D228-446A-A430-A3A6C6F1BC3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4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EB3F69D-4CB4-4BFE-A688-874C5A26E06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4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2B46412-2E9B-4049-8AE1-BE08E8C6B4A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4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A20583FD-51C2-4FCD-8796-05E10C1D0BF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4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CB33F72-38B9-46A2-BC5E-CBCD8CE8FE2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4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BCF4E44-BF0C-4431-947D-4D9B003F482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4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3E092722-FBFB-40C3-BA22-711101E6C81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4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CA64CB-6A62-444A-A89D-6119113F7B5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5"/>
    <xdr:sp macro="" textlink="">
      <xdr:nvSpPr>
        <xdr:cNvPr id="44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2F5CD9C-8CC5-4E89-9F7C-9026CE31DA7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5"/>
    <xdr:sp macro="" textlink="">
      <xdr:nvSpPr>
        <xdr:cNvPr id="44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78C07DE-BB45-4EFD-B417-E9D7CE63826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4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4647D191-886C-4245-A622-E4CDD882998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4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7B9AD81-B0A3-4FC7-8C3D-BC463454FA5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4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21638F9-6631-4327-9999-EFAD6B230D9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4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A0F2BD96-CFDA-4D94-B9F8-0D916E29CD1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4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E7C855DD-4ADD-4862-9FBF-8EE8A938F2C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4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056C7109-05B8-4404-A0C1-00981A36BF0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4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4ED6F5-FA58-443E-A1E2-81E94EDB69B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4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986512E0-0321-4234-B7C8-0F8349D9BC2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4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C9A5CB4-3FB0-44FD-A523-127682B0397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4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420C3981-799B-40C4-9C10-CC55D84E5CE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4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27450DB-08B0-41CE-B590-658B01F7DC8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4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F4E01FF-8518-46CE-B406-90D427C7E6F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4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22072F3D-85F9-426A-8070-6AF95654DAD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4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61224B78-492C-4D47-B8DD-2AE36051C52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4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ADDE81F-47BD-4FC5-AC04-D374E2E4266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4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64140C93-4F64-4A93-86FD-B789D0D9C3D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44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A18099D-9F41-499A-8D20-AD072EDA315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44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872B1DF-937D-4079-82C6-B73B561B75C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44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3ABBCF1F-F4C9-4684-94FE-3D5271F2BA0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44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3D3784D-CD36-49D1-ADC4-6D95D461C91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44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B602940-8E0C-458A-AF03-10A6D633189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44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CCB9D75-E26B-4648-87C6-1A87242C2F3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44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FC85E70-C070-4B0F-8F82-C2CCF93CED1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44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EB45204-6A0F-4AD1-B09E-88D9B3D782B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4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51AE476E-C35C-4A20-A5D0-6F16A2CBB1C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4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8E612B5-5EB6-40C7-8761-E63AD887F06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4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ECD764A-0961-436C-B6E0-170613F480E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4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B04A28C-FB0A-4DC4-89EC-D1CCF4B3885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4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65B6EEF8-E610-4405-9AFE-4D046DBA373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4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3214D6D-012F-480C-87FD-272556C95F1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4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A067A9B-F78E-4E2F-885E-86553FC9E87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4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2327C88-A2E5-49F1-8089-10DE65F2477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5"/>
    <xdr:sp macro="" textlink="">
      <xdr:nvSpPr>
        <xdr:cNvPr id="44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F2F8AE-BD33-4E03-B3E2-3C4B2E8D523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5"/>
    <xdr:sp macro="" textlink="">
      <xdr:nvSpPr>
        <xdr:cNvPr id="44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30D2EC9-637A-47F2-B888-5E921D2EC76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4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AD812836-4C6F-488D-A113-6100924011E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4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790B7F4E-E26D-4076-8697-14DEE69F32A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4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2808114-A5FF-4240-BA71-26942C0D08B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4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221E3EA6-201A-4C91-A5F5-0B2058E4B41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4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1E072C9-5144-464A-8D9A-22ED7AED14A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4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6365E5-A09A-473D-AB9A-10D7F0D2F14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4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DB7D2FF-F96F-4975-A350-8659B900986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4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2FAC239-F7FA-4723-BAA6-FEA84DDD8F9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4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D23C3D-ACD6-4AD5-B935-ACD1A44C597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4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9AC4F69-109F-47C3-B218-4A09EE985AC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4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D8458A6-2688-436D-8E4B-C1B592D6B77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4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9B4461BD-25FB-4A51-81A3-E3366AC2F01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4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AB9E91C-FB52-457E-AA1B-0EA87F805FF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4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8A1EEF8-F9C8-4A8E-8192-1D58B56CF7C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4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A6EF2D27-6805-4960-9EFE-B35E58617C1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4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DEB3DC-243B-41F7-B085-25D2223C9F1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44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5616B2F-6D67-4F0E-BB6D-77E04837050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44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933CFA5-2B86-416C-A3B0-06D86A0090A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45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F927507C-8B07-4C83-B9E4-DC5EDFFA977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45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8DE5A6EB-FED7-4B78-9AD5-1C7EDDF02F5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45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E7FD93AC-34C2-494D-9CFA-6C1D9B1801B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45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1536E02-6328-400C-842A-E11F8D46F06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45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F5DEC5F-7575-4F69-8113-80F38BA5AE7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45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1DF696-0DE4-4707-B7C6-B0F4CD53021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5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C3F39986-10E9-47AA-904E-915518F9BFE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5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7DA1611-AD4F-4831-84FB-149A0E03118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5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E2DF62E3-7491-4EE3-AE75-4177B8200DB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5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794BEB-DCC4-4A41-97AA-4E95CE8C281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5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31E7B10B-5E4F-4C6D-B538-300AC69F328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5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95AD931-9DE2-41B1-AC34-5D55EE8EA30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5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E9B69BF8-1D68-4975-99A8-149039F50D3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5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B2AC08A-88EC-4145-AAFA-965362E635F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5"/>
    <xdr:sp macro="" textlink="">
      <xdr:nvSpPr>
        <xdr:cNvPr id="45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7864831D-375A-43EB-BEDB-20F6174EB3F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5"/>
    <xdr:sp macro="" textlink="">
      <xdr:nvSpPr>
        <xdr:cNvPr id="45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F4660B38-E543-449C-9E1A-7FF221A4A71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5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496EFC7D-3650-4860-B50F-5F20991922E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5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B02F793-70D4-49F6-8550-57196ED1530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5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81EBBCB-C9B8-4F24-AE72-E99CBFD3FD3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5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396449D-8F53-498D-9BA4-2C660D84E27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5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540132C-3595-4249-8D79-EBB9D40D87A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5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5D1B712-44BF-4D75-B9A1-02B113DB78F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5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F2B7F82-4121-4A6B-A772-400A35D0BEF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5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9AABFE35-BD3F-4AC7-B37C-56E563B92FE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5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046E193-DDA5-428E-AA5C-1B8FEDD2367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5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9A874FF-D2F8-42C5-A74B-C2A4BB71354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5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AC296C7F-0056-4CE9-8F55-AFA27236EB6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5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6FC5DA-CAD7-46F6-B9A2-1060BFE2B26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5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B1E5B82-E899-48BC-ABA5-FAC805F52FB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5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43E6E35-4F8C-4C5D-B40C-F6676DA3902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5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E050F463-88D2-49C8-B300-C57947C7466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5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09003D6-940F-4BD6-AFFF-43E2B1AC63B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45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F8B3FF55-0003-462E-A45C-D4CD673AE4B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45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D53D76C-2449-492F-90D7-EB14295578B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45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48981A4-6653-4265-8B28-99DD85CCED4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45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3C7AAD91-B803-458E-844B-06E133CA83B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45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758B158A-FB01-48D7-8ADC-05968223063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45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201E1EE0-2BCD-40AF-9013-48EBC678213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45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B6B6CA54-409A-4B20-B73F-CF89A5626E3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45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F5E45794-668C-497C-BB63-A8D338C6D4D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5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84B3CA9-00A8-46A9-A9B0-A89AB3F05AD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5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2471F686-1C5D-42D4-9B34-8530BCDDA71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5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260B9C7-2E15-4FE2-BE7C-6C385EDA171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5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6252247-35B3-4869-AEB1-646EE0139C9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5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905EC81-CAA0-4A97-8DE5-7EBEDE6193B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5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531CC9E-2D4C-4F49-B102-971147DC974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5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59E7378-FC1D-469C-A938-88764860DC5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5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AB8C067-EF13-445F-96BA-11B9B6143B8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5"/>
    <xdr:sp macro="" textlink="">
      <xdr:nvSpPr>
        <xdr:cNvPr id="45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F78039B-2682-4491-AC23-D9689318A79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5"/>
    <xdr:sp macro="" textlink="">
      <xdr:nvSpPr>
        <xdr:cNvPr id="45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9C755EC-AB91-4087-B7F7-7322D886370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5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EA7EC362-62D4-47FA-B0AA-29774365E52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5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D45ED363-85FC-4169-8AAD-A7A4C00481F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5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9D306F2-DEC0-4FDD-9E65-D900AAE4CD2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5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090172E0-8D1C-4EB9-99D8-8A93562DA8A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5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93E4844-7A3F-40DA-B266-499778A49B3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5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4748E999-366F-4AAC-A770-4CBA021CCB9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5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729FA53F-0254-449D-9933-ADA7A1EE044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5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8BAC75CD-9358-4D07-AB04-2B201ABDBEC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5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77F09DCF-FA5E-4FB3-B9C4-BA78EB383E0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5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C8DF741-464F-4F14-AC4B-D38D91076D6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5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EFA04A09-23F8-44BF-8A18-D61803A86C3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5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8991725-85F9-4248-98DF-B7F0BEEE801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5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A0227F4A-493F-4962-B6E6-D82FC28B221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5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6951B7A-18BB-4AE6-83ED-6391445F93C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5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5653E98-EDBE-40D8-AB21-520B52ACC28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5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C088A08-D04F-4B42-8E01-A15DD3C2BA6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45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3B7E994-0406-4F4D-9173-7857F01E4BA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45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092C65C-D6D1-441C-883A-9172EB94ED1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45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75871D45-19C3-421C-930C-7D297F16147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45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17894CE-FC81-4E53-B076-4BA758B1FBD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45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43D780F-773F-4D0F-A1C3-F3A9460E511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45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DE36014F-D6DF-4C4A-BBB5-F786F03D974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45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955BB57D-F9B1-4185-A044-C17E58F5D5E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45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774CB93-6FEF-4692-9731-0C4C20A9B4E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5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C81DD07-7EBF-4986-B7B4-62274E3D79E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5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D2CC075-9C87-4B8A-9ADD-4CACC026232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5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E0C2A7C-C211-41E5-86ED-16503DC7CE0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5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AB2CDE0B-C782-4B11-B8B8-D13641BE624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5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32CC8BC-7952-448D-AAC6-44FF549A5A8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5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AF93523-91EE-410B-BC04-E35A7E33423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5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7B1E8DE-0754-44A6-89BC-F211981BB89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5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D389253-0F8B-4DC0-AC75-603377BD720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5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A208C6D-4DC6-4595-91F5-E002BF5C718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5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6E3FAD59-CF64-4F88-90BC-EF2856850CE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5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D33249B-EAF9-4E4D-B4CB-8DA85F60023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5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BA62598-C1C0-4442-B5E2-6D2E1C49C53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5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0D2055F-70AE-4CEF-9439-88083ADC34A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5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EE075D8-B083-4053-B9F9-370BE1E55E7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5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675259DE-10D8-4880-9232-36EEAE789BA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5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E45FAEDE-C259-48B0-9A63-0200A7444E0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5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D014341E-1CAB-480B-8BE8-B37B1B72519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5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2DBE5C51-ADAB-46A0-8B00-32894C36924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5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7A29FB9-0D55-4F83-979C-ED3ADD5883A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5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B03F778-F465-4D8C-A9FA-15764D219D7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5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F3E1C27-3BB5-4927-9065-1CC1DAE4CB0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5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C3966735-FB4F-41B9-92D7-CE4F6B705BC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1"/>
    <xdr:sp macro="" textlink="">
      <xdr:nvSpPr>
        <xdr:cNvPr id="45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CAA5EE7D-D9C9-4E2B-968D-243C83B670B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1"/>
    <xdr:sp macro="" textlink="">
      <xdr:nvSpPr>
        <xdr:cNvPr id="45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8651265-A080-4A84-AD3F-539ED165009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1"/>
    <xdr:sp macro="" textlink="">
      <xdr:nvSpPr>
        <xdr:cNvPr id="45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CD2E75B-1518-442E-9422-5578FA5F119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1"/>
    <xdr:sp macro="" textlink="">
      <xdr:nvSpPr>
        <xdr:cNvPr id="45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F003FD0-F0D9-4C1E-BDC6-FDD8356BE8D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6"/>
    <xdr:sp macro="" textlink="">
      <xdr:nvSpPr>
        <xdr:cNvPr id="46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F11ECD00-2C8D-4705-BBA5-2E48A0B51D6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6"/>
    <xdr:sp macro="" textlink="">
      <xdr:nvSpPr>
        <xdr:cNvPr id="46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799602DF-2442-4827-B85D-0F3DBE5F68E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6"/>
    <xdr:sp macro="" textlink="">
      <xdr:nvSpPr>
        <xdr:cNvPr id="46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5E577D3-B2B4-4B57-9C35-8FE6B1DB59C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6"/>
    <xdr:sp macro="" textlink="">
      <xdr:nvSpPr>
        <xdr:cNvPr id="46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676D514F-38C8-4426-A7C2-084316A4FD4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6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9C5763F-98E7-42AD-83D3-EC430BE10A0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6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B84F3480-1945-4345-9E30-77DFEAE204E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6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3F65A0DC-FB51-4CC5-BE82-D54BA2F68FC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6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73BA15A-2542-4DBE-97CA-02AC815015B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6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7CF8EF0-0389-4C21-8892-1A2BB4DD18B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6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B38A686-F911-4855-966D-904D569FDCF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6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2CEFBFFE-B8C4-4B2A-A301-1ECC4079303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6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29061004-5D31-4C0B-9B85-E87AADAF4CB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19"/>
    <xdr:sp macro="" textlink="">
      <xdr:nvSpPr>
        <xdr:cNvPr id="46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299C66DD-292F-4DF2-AC11-64C5479F335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1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19"/>
    <xdr:sp macro="" textlink="">
      <xdr:nvSpPr>
        <xdr:cNvPr id="46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9681A053-D7DB-4698-BF44-0395C3EC2D8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1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6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3FA7B2C-B255-420B-94AC-EBFD72AB9EC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6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B59D593-E1C6-4E9A-8711-84B736ECF13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6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21C1689-AD49-40A7-9AB5-D2A3196EC62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6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A9313900-F756-42F6-ADA6-073FCA95138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6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25B04B9-73D9-445A-9A20-2FF61C366DF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6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DE98477-AD87-4814-88A6-50A5252A717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6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9E633A53-DBA6-4D99-8DB7-5D262D958E4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6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6800BE55-BF7D-4050-A45E-C48B2DD29C8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6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F10BD9A3-6A37-41A0-ABB0-B89A28AD744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6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823502D-7CB1-48C2-88B3-41172935C32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6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CE3D80A2-0A95-4163-82C6-DE886347207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6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CCF7E61-058C-4A22-9D86-ABF59BC3BF7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6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D0D8967D-FF07-45CC-A006-CEF712ED636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6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2B4E431-33C4-47F7-9479-F35A0C63E07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6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1956208-1A47-4E90-A48F-310CC728E72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6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859F3C3-1F7F-4937-B39C-1FF1E9B34E4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1"/>
    <xdr:sp macro="" textlink="">
      <xdr:nvSpPr>
        <xdr:cNvPr id="46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55AB10DF-6E35-423E-B7D1-E8E4E286E7A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1"/>
    <xdr:sp macro="" textlink="">
      <xdr:nvSpPr>
        <xdr:cNvPr id="46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DE04DDF-0B1C-4364-AA2A-B6DD3698800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1"/>
    <xdr:sp macro="" textlink="">
      <xdr:nvSpPr>
        <xdr:cNvPr id="46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D6D123A-71EA-4C79-BFA1-AD1CA4958B6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1"/>
    <xdr:sp macro="" textlink="">
      <xdr:nvSpPr>
        <xdr:cNvPr id="46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2222B4F-B065-419C-A261-129ABDC3C79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6"/>
    <xdr:sp macro="" textlink="">
      <xdr:nvSpPr>
        <xdr:cNvPr id="46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1B59B64-55C8-405F-A2AD-8E9707E91B3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6"/>
    <xdr:sp macro="" textlink="">
      <xdr:nvSpPr>
        <xdr:cNvPr id="46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2CEC948B-1307-480B-A327-1ABA486D371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6"/>
    <xdr:sp macro="" textlink="">
      <xdr:nvSpPr>
        <xdr:cNvPr id="46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C81C562-E843-45C2-A72B-8302E770A95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6"/>
    <xdr:sp macro="" textlink="">
      <xdr:nvSpPr>
        <xdr:cNvPr id="46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F400BD1-82B9-4EF2-BF14-5F257F8A943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6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4872F917-9D45-4102-A1BB-8BA5872E5D6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6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40E706B2-3A97-4C22-B83C-B5B17134C5A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6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0B263A65-89AF-49A0-899B-BD60792A2C5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6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D313ECDB-0660-441C-8052-2D23C581305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6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76E6E72-47DE-4D05-ADFC-BD503821F13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6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6652ED49-6AA0-40AF-B227-1F597E2E33B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6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D1900CB-1116-4C51-A3D6-4F16318D9A3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6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BDF1452A-6A1E-42D0-9229-9D3ED5E40AA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19"/>
    <xdr:sp macro="" textlink="">
      <xdr:nvSpPr>
        <xdr:cNvPr id="46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3663E684-B6DA-4682-A412-C296EC69DEF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1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19"/>
    <xdr:sp macro="" textlink="">
      <xdr:nvSpPr>
        <xdr:cNvPr id="46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7C439E3-134E-4C18-9875-B5426EA9D5F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1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6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4A3C5A3-95F1-49F9-8096-E667D5400AF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6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FDB89175-7995-4E77-A47E-2980862E70B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6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57FFB043-E301-4E05-AAAD-9EBDFB4556F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6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2AD1B8C-812A-482F-8C97-FB1D3267DEF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6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B6E6793-BE0D-4FF8-96D4-36AB3F2EFBC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6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78E7143D-FDFC-44EE-9FC5-4B32314C730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6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47C6F67-294C-4AF2-847C-4560F640ED5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6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79F04AD-DCC3-43B5-B53E-B7ADFA0B6D2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6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A18D6FF3-E23D-41B0-A43B-546DBEA2E99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6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F55196A-FB7A-475A-9544-30F6D2C41FF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6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AD610236-B6B9-42FE-8165-E74C55E3C7C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6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2C8B29A4-3B20-4D9F-9241-F274798F46E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6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286A97CD-FD3C-4DC5-BEC9-153165D01D6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6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65D8008D-FB17-48A9-8184-A91D9E55E43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6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408F45C0-9357-4919-A5EF-C9112DDE271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6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F043E63-E96A-432D-A8C8-58E591C51EB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1"/>
    <xdr:sp macro="" textlink="">
      <xdr:nvSpPr>
        <xdr:cNvPr id="46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A99FBDA-9F0E-4880-8AD2-9FFC8047E7C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1"/>
    <xdr:sp macro="" textlink="">
      <xdr:nvSpPr>
        <xdr:cNvPr id="46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9B447EB-95D3-422B-8F71-29E475AB208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1"/>
    <xdr:sp macro="" textlink="">
      <xdr:nvSpPr>
        <xdr:cNvPr id="46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E64B2DF-21B1-47EF-A053-C8AD716EAE2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1"/>
    <xdr:sp macro="" textlink="">
      <xdr:nvSpPr>
        <xdr:cNvPr id="46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0EE328-85D6-45F5-AB27-CA4985E7129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6"/>
    <xdr:sp macro="" textlink="">
      <xdr:nvSpPr>
        <xdr:cNvPr id="46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A26B4EE8-7F47-404F-8BB4-A34157A07EB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6"/>
    <xdr:sp macro="" textlink="">
      <xdr:nvSpPr>
        <xdr:cNvPr id="46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96459AF-F08D-431C-9E49-0F7916028B0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6"/>
    <xdr:sp macro="" textlink="">
      <xdr:nvSpPr>
        <xdr:cNvPr id="46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EB0FCADF-7194-4EEF-9D6B-F6C88F81B97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6"/>
    <xdr:sp macro="" textlink="">
      <xdr:nvSpPr>
        <xdr:cNvPr id="46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AE7BBE4-D44E-4E76-A47E-5AA74AC1C34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6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96E32CB-15AA-4ABE-9103-DEF65DE8763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6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B596845-8A6A-4110-B453-58C5B47CC13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6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67673771-6307-4917-9475-D619650CC35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6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3196D8E-4E60-418F-98C3-E0E802A0172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6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358D7DA1-84E0-45E5-8115-F9FF932A6C4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6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65F5399-63B9-4601-A3C4-87034547B81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6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E08D083F-9BEB-4E78-81C7-3FB0FEA1DCC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6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F0EE50C-B539-4BF2-B7E6-B01319C4F97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19"/>
    <xdr:sp macro="" textlink="">
      <xdr:nvSpPr>
        <xdr:cNvPr id="46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EF2750F2-AFC7-424B-89C1-9EBE76BEFE9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1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19"/>
    <xdr:sp macro="" textlink="">
      <xdr:nvSpPr>
        <xdr:cNvPr id="46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451EE42B-EE85-47FF-BC13-11B56F85130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1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6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4336700-20FE-4F22-A7F9-72364A30685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6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1B503B1-75D7-4522-83F5-FF478C48F6D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6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15EDAE1-ACEB-4D21-9395-F73D401279B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6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EC5D14EC-02D7-4BEE-8C7C-10FDED65783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6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8723EEE-AFDA-4FE9-BAC4-0905C400BFC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6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D0289A2-425B-46DA-A347-FE0C370F946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6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B0A13793-EE5E-4562-9001-C83D8CC59B7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6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7C539B0-24B3-4325-8AB9-F4D45BBA2B6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6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90A33194-7D7A-40EA-A176-180DB9D908F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6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68F6AB0-8C5A-472F-B3DF-7A06C5DE364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6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CBF017B-4F85-4DD2-8311-C7F95E68EBB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6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87B4B5B4-B8DD-4E3B-B80E-368C199E122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6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FA127AB-2AEC-421D-A1ED-F7FE591B7BE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6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2CE0E476-A533-43AD-B5C7-BAEFE996692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6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6FEB3B00-D926-46AC-925E-CB17F43E320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6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AFF7C8E8-E8CD-4903-9EBA-E786F33B649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1"/>
    <xdr:sp macro="" textlink="">
      <xdr:nvSpPr>
        <xdr:cNvPr id="46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2A77268-4792-440E-98C8-EE4838B70DE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1"/>
    <xdr:sp macro="" textlink="">
      <xdr:nvSpPr>
        <xdr:cNvPr id="46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56D36FD-9188-4011-99D7-0AEAFED2107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1"/>
    <xdr:sp macro="" textlink="">
      <xdr:nvSpPr>
        <xdr:cNvPr id="47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F5934356-9B12-4A3E-9103-11EA9C6E236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1"/>
    <xdr:sp macro="" textlink="">
      <xdr:nvSpPr>
        <xdr:cNvPr id="47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A2768E6-160C-4556-A70F-9D87213A751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6"/>
    <xdr:sp macro="" textlink="">
      <xdr:nvSpPr>
        <xdr:cNvPr id="47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EC0CFD5-9F14-40E2-9D9C-924B0FDDCC9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6"/>
    <xdr:sp macro="" textlink="">
      <xdr:nvSpPr>
        <xdr:cNvPr id="47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A410D8C-0521-4C59-B6DD-41F12887C16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6"/>
    <xdr:sp macro="" textlink="">
      <xdr:nvSpPr>
        <xdr:cNvPr id="47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A6BAA0E-5BDC-4273-B36E-A5CF4151EDE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6"/>
    <xdr:sp macro="" textlink="">
      <xdr:nvSpPr>
        <xdr:cNvPr id="47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BE14A57-6ACA-453E-B8AA-80649B95E63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7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7D0E340-01E1-463A-A337-2E273B4AC72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7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7169BA1-3CD1-4DA3-A922-76083619A71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7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44DCD226-F606-46D6-AF9D-14AAE5BE8FC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7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2F99371-501D-4596-B0B2-7A81D6ACDC9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7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D91B42A1-9D3D-4D92-A267-FB1D01F395C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7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284F6687-96E5-433A-A98A-965ACE040F5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7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92F9B305-D7EF-495D-B75C-83A19C13F3F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7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4DAFD27-633B-4923-9B45-E67A49B1A9D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69"/>
    <xdr:sp macro="" textlink="">
      <xdr:nvSpPr>
        <xdr:cNvPr id="47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635D99D6-5663-4E69-91D8-E7910ABE55E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6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69"/>
    <xdr:sp macro="" textlink="">
      <xdr:nvSpPr>
        <xdr:cNvPr id="47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6B90A03-00CE-4AC1-AA04-AC05873CA42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6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7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5360C09D-78F2-4206-A532-A5F7E749887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7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8D0311E6-7F33-4039-9921-FA983D3E458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7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6E4C6883-C0FF-43C8-BC01-A36146C123A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7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E7B9AFA-6A41-41DF-AD33-91403C75BF0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7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B13C6B4-ED33-4198-94ED-979A45DBE34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7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2979E2C0-3F7B-4EA7-9E25-608A9C2AAAE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7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7EDD6D9-C6BD-4826-930E-B04822607F6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7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FE13824-C9A9-43E8-AA47-59A75959BA6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7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331E3F2-7394-43BF-B51B-0402B80C0DE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7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060FDB85-E040-4FBA-B56F-2A60A3678E0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7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431843D9-8798-444C-8D4E-FAF0B13940C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7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5DBBA473-A17C-4755-8B7C-5A3A52B0AB3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7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B978ED64-A492-4FD4-8F19-14C3E96A1AD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7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70B6A2-FA78-4B3C-A6E0-AA6F726F3E0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7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F013D77-431F-4B5A-B587-1E3DC092F1B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7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E45F4CC-57DB-45C0-9A99-563B27874E6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1"/>
    <xdr:sp macro="" textlink="">
      <xdr:nvSpPr>
        <xdr:cNvPr id="47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AA995B54-5A94-4225-B675-3F5EC4C4F79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1"/>
    <xdr:sp macro="" textlink="">
      <xdr:nvSpPr>
        <xdr:cNvPr id="47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DBFD8BE-8E89-4CCC-B6C9-6DC3AC92A26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1"/>
    <xdr:sp macro="" textlink="">
      <xdr:nvSpPr>
        <xdr:cNvPr id="47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DBA0398-895D-4C0A-8D25-8417A019EE5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1"/>
    <xdr:sp macro="" textlink="">
      <xdr:nvSpPr>
        <xdr:cNvPr id="47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3AF6767F-46DF-4EF1-A35E-6FF09E14366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1"/>
    <xdr:sp macro="" textlink="">
      <xdr:nvSpPr>
        <xdr:cNvPr id="47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63666B5B-DEF2-437B-A165-1D23E0C8939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1"/>
    <xdr:sp macro="" textlink="">
      <xdr:nvSpPr>
        <xdr:cNvPr id="47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EEBB62A-E751-4454-80F0-232924DEF42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1"/>
    <xdr:sp macro="" textlink="">
      <xdr:nvSpPr>
        <xdr:cNvPr id="47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A19B09DA-1275-4D18-B6ED-E24AA3D2325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1"/>
    <xdr:sp macro="" textlink="">
      <xdr:nvSpPr>
        <xdr:cNvPr id="47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AA56980-2804-4F14-B73D-62DA174B424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7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71039A6-9BF5-480C-A6CE-FE78085C9D5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7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1C1DD6E-02BA-4EEA-A6FF-38CA693CB42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7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B178760-D79F-40AE-8AE5-C259AEEAAAE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7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6D3CE8C6-832E-4E25-A6AC-B02A1FAD874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7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01FC6A0-2FB9-46DD-B2D0-2F5C22B4E45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7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03B53DD-A6EB-4114-8638-72848516E4F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7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CA749CB-90D2-4649-943F-68CCC886C0F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7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AF3A2825-1C91-47ED-9B2D-B4F89BF0743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69"/>
    <xdr:sp macro="" textlink="">
      <xdr:nvSpPr>
        <xdr:cNvPr id="47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6FFADD08-943C-4B4E-BD67-4A4F3DED809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6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69"/>
    <xdr:sp macro="" textlink="">
      <xdr:nvSpPr>
        <xdr:cNvPr id="47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F7A58D34-38A4-47BD-BB88-A601C735F9D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6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7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1B8813C3-B86B-472D-A414-2F27016754D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7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95AA20D-B11F-4587-A1FB-8CFE4C7ADF0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7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F0F95590-5CBE-425E-A5FA-2793F297BC7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7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90EEC11D-EC31-4A25-B86D-35392D46DFF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7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5A9CC88-3600-4365-91DD-44FF9828F12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7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1186391-DB9F-43F5-A065-4A5B696F7DD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7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50294367-45C5-475F-9C46-35D8DC8DB8C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7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CC0C83-7844-4486-AFE6-FDEC87C678D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7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EBB09ACF-054E-419E-80CF-8C47F38E80E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7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59E2C49-A075-4E9C-B7A8-26D60670FBB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7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D2435F2C-FA21-457E-8D01-ECA2DB22E84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7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8707B4EB-D41D-4702-BAFB-93AEE99E033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7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5E70D9DE-3B35-47D3-AF81-601D27279B3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7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E6153B0-99F8-49C1-9B29-2CE4A07345F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7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C52A8FD-6F24-4914-9E74-71582096131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7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D393817-869E-48D2-A02B-64D8A48939C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1"/>
    <xdr:sp macro="" textlink="">
      <xdr:nvSpPr>
        <xdr:cNvPr id="47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AF2D50B-D40D-4D83-B068-7B4CC30609A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1"/>
    <xdr:sp macro="" textlink="">
      <xdr:nvSpPr>
        <xdr:cNvPr id="47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B124061-FD3A-4A10-BF1C-C59F3E33891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1"/>
    <xdr:sp macro="" textlink="">
      <xdr:nvSpPr>
        <xdr:cNvPr id="47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44AA879-118A-455D-9877-BE75E2CFD0B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1"/>
    <xdr:sp macro="" textlink="">
      <xdr:nvSpPr>
        <xdr:cNvPr id="47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328FCA0-A28E-4670-ADC8-72DD564C9A0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1"/>
    <xdr:sp macro="" textlink="">
      <xdr:nvSpPr>
        <xdr:cNvPr id="47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F640F6B4-DCC0-4AAA-B179-41ED6178203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1"/>
    <xdr:sp macro="" textlink="">
      <xdr:nvSpPr>
        <xdr:cNvPr id="47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7F883F45-AEC6-46DE-B0BE-5CD2486193E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1"/>
    <xdr:sp macro="" textlink="">
      <xdr:nvSpPr>
        <xdr:cNvPr id="47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9C864650-521C-461D-90D9-576BEBBBB83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1"/>
    <xdr:sp macro="" textlink="">
      <xdr:nvSpPr>
        <xdr:cNvPr id="47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8C5849AB-5CA9-4AF4-AE6B-A77C86F33C7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7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342A297-DD28-447A-BF74-7089F3BCB70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7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C40C3CB-E913-49F8-BDCD-C976D2C335B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7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6EDC8CAB-F925-457E-A1A3-28EB3B273F9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7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C8E5D04-25CD-48EC-A9D3-44FB81855EA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7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754CC9F0-7622-4075-8F95-162A8FBAE4B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7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03707D9-A388-4A43-861F-344A3F04DE4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7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F0099CBE-826C-4C09-846A-ED49C159779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7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4946B132-2921-46F7-9B91-AF0BBC9F858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69"/>
    <xdr:sp macro="" textlink="">
      <xdr:nvSpPr>
        <xdr:cNvPr id="47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726DD8D-9094-4151-A36E-E061A1943AC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6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69"/>
    <xdr:sp macro="" textlink="">
      <xdr:nvSpPr>
        <xdr:cNvPr id="47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062A5795-ABD1-4A0A-9B3B-A5600326DB1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6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7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23C4223-EAF5-4C78-9055-7F6128E545E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7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10BCF90-41B8-44F2-9B33-2113BD5B5C7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7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3322D4B1-9ED0-4F59-9E5B-11C13F60058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7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26D9054-E662-44D7-A7CE-F7A322B7D31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7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43A37C3B-440D-458D-977C-62B3724D1CC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7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AAD820D-38B7-4D2D-A58A-41E38E4C7B7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7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CF3C1F2-419B-452B-AF18-0A67FECED2F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7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69A4537E-374C-4D82-BEE3-44F55387D14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7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99F8DF92-B817-45AA-96BD-B2138B8BB02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7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03E2B960-3B87-4173-839A-E24732B30B9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7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E5EC288-5FC1-43EC-9C11-BB2B3EE40F2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7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54E03F0-BA65-4727-8ED1-129FB10E527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7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A96C34A4-356D-422D-838B-135469EDB07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7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469B5A8-7691-43EC-9B87-AFA487E9855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7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EAA0187-BF2A-4A50-929C-FA0FB35C457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7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02D5FED-D5BE-4388-B647-2F0417592DA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1"/>
    <xdr:sp macro="" textlink="">
      <xdr:nvSpPr>
        <xdr:cNvPr id="48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90D5F889-6B0D-4D2C-A3B3-AB265BCE437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1"/>
    <xdr:sp macro="" textlink="">
      <xdr:nvSpPr>
        <xdr:cNvPr id="48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8045076-9870-4615-BB78-72D14ECEF2E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1"/>
    <xdr:sp macro="" textlink="">
      <xdr:nvSpPr>
        <xdr:cNvPr id="48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45F4CB98-8FB1-45C9-9438-27BEC5C2587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1"/>
    <xdr:sp macro="" textlink="">
      <xdr:nvSpPr>
        <xdr:cNvPr id="48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3C1E1E1-0F67-483D-94E5-EED0D74BF69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1"/>
    <xdr:sp macro="" textlink="">
      <xdr:nvSpPr>
        <xdr:cNvPr id="48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ADFEF02-3C6B-4F16-BEA6-78344AD254A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1"/>
    <xdr:sp macro="" textlink="">
      <xdr:nvSpPr>
        <xdr:cNvPr id="48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FC9CBBAC-ABFC-4CCD-9056-C8E2D404432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1"/>
    <xdr:sp macro="" textlink="">
      <xdr:nvSpPr>
        <xdr:cNvPr id="48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DE43DF2-5C0D-4531-B097-386665EC9AF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1"/>
    <xdr:sp macro="" textlink="">
      <xdr:nvSpPr>
        <xdr:cNvPr id="48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D8142EE-3C99-45BA-AEEB-8E88900BD9B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8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82AF6AF-B02A-46BC-9419-BCBED68BEF9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8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4727CC5F-BB0F-4BE1-833A-62A165F517F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8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E5D3D695-9156-4559-8648-075AFF9CF84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8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FB41887-C8CD-4C41-94AD-8F4E0E39575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8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8D8F4FF-BC84-4461-BB36-B31D3060725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8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62AF4A4F-1D10-4A03-A568-15596D77E37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8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781944D-F89C-4E52-94E9-7C3F6EC592A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8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0EBB459-DD79-4F99-A0D3-06A91913C8B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69"/>
    <xdr:sp macro="" textlink="">
      <xdr:nvSpPr>
        <xdr:cNvPr id="48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FC47740-2BA8-4B4B-8635-7812858276A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6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69"/>
    <xdr:sp macro="" textlink="">
      <xdr:nvSpPr>
        <xdr:cNvPr id="48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8FA2031-06D6-4732-B77A-978E6DDA612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6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8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A8FA9EA-2D3A-4790-8359-DE3313D8BFF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8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9CC893B-EE16-4258-9815-BCDDD4BE964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8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9C596CD-3BE3-4F14-9CCC-35377201F49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8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0B28CF0-B297-40FD-8367-7BFCE2D3273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8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E936CE9-1469-4C1E-A13A-80CD444C3F8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8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905EDE1B-2F59-4B06-85D8-BAAB09C46DA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8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63B5170E-9934-4321-85C9-A0100BA9D09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8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49C78191-BA73-4F1B-A86C-2188DB71781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8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C287DCE3-3EC4-47C4-88DE-C5A3634D258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8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E9FC977-A065-4251-A3C2-745F14E8111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8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4A8D5316-CC77-4598-BA8A-F14B74E5B85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8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BBC8256-F434-4690-90F1-FA7351A9352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8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9EBB733-01F7-4621-A891-57F34EB3A14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8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9817536-E399-46E9-9C11-4433858993D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8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9E2E51EE-7163-41D2-8E3D-34CC0C90E11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8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7DBCE754-30A9-4A93-A86B-48C12781C19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1"/>
    <xdr:sp macro="" textlink="">
      <xdr:nvSpPr>
        <xdr:cNvPr id="48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FB33568-DBB4-4EA9-B07A-5D4DC1E34E1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1"/>
    <xdr:sp macro="" textlink="">
      <xdr:nvSpPr>
        <xdr:cNvPr id="48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B66DA7C-5D85-49F9-9865-297F8159B75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1"/>
    <xdr:sp macro="" textlink="">
      <xdr:nvSpPr>
        <xdr:cNvPr id="48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5770F63-0454-492E-990D-E44608CD878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1"/>
    <xdr:sp macro="" textlink="">
      <xdr:nvSpPr>
        <xdr:cNvPr id="48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657D17E-FBE4-4587-B49B-25858332F6B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1"/>
    <xdr:sp macro="" textlink="">
      <xdr:nvSpPr>
        <xdr:cNvPr id="48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8DF8B17-8F19-4EF6-9F6F-B6B42C0D5CC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1"/>
    <xdr:sp macro="" textlink="">
      <xdr:nvSpPr>
        <xdr:cNvPr id="48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C73C97-F664-4BDE-A93E-202BEBFC585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1"/>
    <xdr:sp macro="" textlink="">
      <xdr:nvSpPr>
        <xdr:cNvPr id="48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B6918E1-E27F-4B19-9DF0-E6A0CBD5EBF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1"/>
    <xdr:sp macro="" textlink="">
      <xdr:nvSpPr>
        <xdr:cNvPr id="48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D82850F5-ACF9-4CFB-A856-F0F2B75E249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8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A8EF11E3-39E2-476B-8810-0A89086EA0A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8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219EBC9-F34A-4B2C-A93C-E8F6DFCC312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8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57814D-4981-4F97-9F30-6CFD2E2B4A7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8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F2E3A46-CD12-47C3-B066-852D21CBAB5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8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E20EDD6-B93A-4A84-8D4A-83B622EEEA4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8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8D4A69A9-65EC-47D7-9DF2-C01173796B5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8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B8F066D-67F3-45E4-9B02-399CDC612E9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8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601A1A1-DAE8-4EA6-AE72-5373DB498B0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G40" totalsRowShown="0" headerRowDxfId="201" dataDxfId="199" headerRowBorderDxfId="200" tableBorderDxfId="198">
  <autoFilter ref="A2:G40" xr:uid="{00000000-0009-0000-0100-000001000000}"/>
  <tableColumns count="7">
    <tableColumn id="1" xr3:uid="{00000000-0010-0000-0000-000001000000}" name="WORK" dataDxfId="197"/>
    <tableColumn id="2" xr3:uid="{00000000-0010-0000-0000-000002000000}" name="CEN" dataDxfId="196" dataCellStyle="Comma"/>
    <tableColumn id="3" xr3:uid="{00000000-0010-0000-0000-000003000000}" name="HK" dataDxfId="195" dataCellStyle="Comma"/>
    <tableColumn id="4" xr3:uid="{00000000-0010-0000-0000-000004000000}" name="OTHER" dataDxfId="194" dataCellStyle="Comma"/>
    <tableColumn id="5" xr3:uid="{00000000-0010-0000-0000-000005000000}" name="OTHER2" dataDxfId="193"/>
    <tableColumn id="6" xr3:uid="{00000000-0010-0000-0000-000006000000}" name="Column2" dataDxfId="192"/>
    <tableColumn id="7" xr3:uid="{00000000-0010-0000-0000-000007000000}" name="Column3" dataDxfId="19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3399"/>
  </sheetPr>
  <dimension ref="B1:L76"/>
  <sheetViews>
    <sheetView tabSelected="1" topLeftCell="B1" zoomScaleNormal="100" zoomScaleSheetLayoutView="100" workbookViewId="0">
      <selection activeCell="P16" sqref="P16"/>
    </sheetView>
  </sheetViews>
  <sheetFormatPr defaultColWidth="9.109375" defaultRowHeight="14.4" x14ac:dyDescent="0.3"/>
  <cols>
    <col min="1" max="1" width="2.88671875" style="35" customWidth="1"/>
    <col min="2" max="2" width="14.88671875" style="35" customWidth="1"/>
    <col min="3" max="3" width="41.77734375" style="35" customWidth="1"/>
    <col min="4" max="4" width="8.109375" style="35" customWidth="1"/>
    <col min="5" max="5" width="10.5546875" style="35" customWidth="1"/>
    <col min="6" max="6" width="13.44140625" style="35" customWidth="1"/>
    <col min="7" max="7" width="1.21875" style="35" customWidth="1"/>
    <col min="8" max="8" width="26.88671875" style="35" customWidth="1"/>
    <col min="9" max="16384" width="9.109375" style="35"/>
  </cols>
  <sheetData>
    <row r="1" spans="2:12" ht="25.8" x14ac:dyDescent="0.35">
      <c r="B1" s="229" t="s">
        <v>206</v>
      </c>
      <c r="C1" s="229"/>
      <c r="D1" s="229"/>
      <c r="E1" s="229"/>
      <c r="F1" s="229"/>
      <c r="G1" s="229"/>
      <c r="H1" s="229"/>
      <c r="J1" s="36"/>
    </row>
    <row r="2" spans="2:12" ht="16.2" x14ac:dyDescent="0.35">
      <c r="B2" s="230" t="s">
        <v>118</v>
      </c>
      <c r="C2" s="230"/>
      <c r="D2" s="230"/>
      <c r="E2" s="230"/>
      <c r="F2" s="230"/>
      <c r="G2" s="230"/>
      <c r="H2" s="230"/>
      <c r="J2" s="37"/>
    </row>
    <row r="3" spans="2:12" ht="16.2" x14ac:dyDescent="0.35">
      <c r="B3" s="231" t="s">
        <v>119</v>
      </c>
      <c r="C3" s="231"/>
      <c r="D3" s="231"/>
      <c r="E3" s="231"/>
      <c r="F3" s="231"/>
      <c r="G3" s="231"/>
      <c r="H3" s="231"/>
    </row>
    <row r="4" spans="2:12" x14ac:dyDescent="0.3">
      <c r="B4" s="38"/>
      <c r="C4" s="38"/>
      <c r="D4" s="38"/>
      <c r="E4" s="38"/>
      <c r="F4" s="38"/>
      <c r="G4" s="38"/>
      <c r="H4" s="38"/>
    </row>
    <row r="5" spans="2:12" ht="18" customHeight="1" x14ac:dyDescent="0.3">
      <c r="B5" s="39" t="s">
        <v>5</v>
      </c>
      <c r="C5" s="40" t="s">
        <v>6</v>
      </c>
      <c r="D5" s="38"/>
      <c r="E5" s="215" t="s">
        <v>9</v>
      </c>
      <c r="F5" s="215"/>
      <c r="G5" s="39" t="s">
        <v>8</v>
      </c>
      <c r="H5" s="198" t="str" cm="1">
        <f t="array" ref="H5">IF(B1="","",UPPER(IF(COUNTA(_xlfn.TEXTSPLIT(B1," "))&gt;1,LEFT(_xlfn.TEXTJOIN("",TRUE,LEFT(_xlfn.TEXTSPLIT(B1," "),1))&amp;"SS",3),LEFT(B1&amp;"SS",3)))&amp;"/CENTRAL/"&amp;UPPER(D12)&amp;"/NC/26/"&amp;UPPER(TEXT(H8,"MMM"))&amp;"/1")</f>
        <v>SAM/CENTRAL/KY/NC/26/DEC/1</v>
      </c>
    </row>
    <row r="6" spans="2:12" ht="18" customHeight="1" x14ac:dyDescent="0.3">
      <c r="B6" s="39"/>
      <c r="C6" s="42" t="s">
        <v>132</v>
      </c>
      <c r="D6" s="38"/>
      <c r="E6" s="215" t="s">
        <v>110</v>
      </c>
      <c r="F6" s="215"/>
      <c r="G6" s="39" t="s">
        <v>8</v>
      </c>
      <c r="H6" s="195" t="s">
        <v>155</v>
      </c>
    </row>
    <row r="7" spans="2:12" ht="18" customHeight="1" x14ac:dyDescent="0.3">
      <c r="B7" s="38"/>
      <c r="C7" s="42" t="s">
        <v>133</v>
      </c>
      <c r="D7" s="38"/>
      <c r="E7" s="215" t="s">
        <v>7</v>
      </c>
      <c r="F7" s="215"/>
      <c r="G7" s="39" t="s">
        <v>8</v>
      </c>
      <c r="H7" s="196">
        <f ca="1">(TODAY())</f>
        <v>46207</v>
      </c>
    </row>
    <row r="8" spans="2:12" ht="18" customHeight="1" x14ac:dyDescent="0.3">
      <c r="B8" s="38"/>
      <c r="C8" s="40"/>
      <c r="D8" s="38"/>
      <c r="E8" s="215" t="s">
        <v>10</v>
      </c>
      <c r="F8" s="215"/>
      <c r="G8" s="39" t="s">
        <v>8</v>
      </c>
      <c r="H8" s="197">
        <v>46357</v>
      </c>
    </row>
    <row r="9" spans="2:12" ht="18" customHeight="1" x14ac:dyDescent="0.3">
      <c r="F9" s="41" t="s">
        <v>26</v>
      </c>
      <c r="G9" s="39" t="s">
        <v>8</v>
      </c>
      <c r="H9" s="194" t="s">
        <v>27</v>
      </c>
      <c r="L9" s="35" t="s">
        <v>131</v>
      </c>
    </row>
    <row r="11" spans="2:12" s="47" customFormat="1" ht="18" customHeight="1" x14ac:dyDescent="0.3">
      <c r="B11" s="43" t="s">
        <v>207</v>
      </c>
      <c r="C11" s="43" t="s">
        <v>0</v>
      </c>
      <c r="D11" s="44" t="s">
        <v>30</v>
      </c>
      <c r="E11" s="43" t="s">
        <v>1</v>
      </c>
      <c r="F11" s="43" t="s">
        <v>2</v>
      </c>
      <c r="G11" s="45"/>
      <c r="H11" s="46" t="s">
        <v>3</v>
      </c>
    </row>
    <row r="12" spans="2:12" s="55" customFormat="1" ht="14.25" customHeight="1" x14ac:dyDescent="0.3">
      <c r="B12" s="48" t="str">
        <f>IF(C12&lt;&gt;"",COUNTIF($C$12:C12,"&lt;&gt;"),"")</f>
        <v/>
      </c>
      <c r="C12" s="49"/>
      <c r="D12" s="50" t="s">
        <v>177</v>
      </c>
      <c r="E12" s="51"/>
      <c r="F12" s="52" t="str">
        <f>IFERROR(IF(OR(D12="CEN",D12="HK",D12="MD"),VLOOKUP(INVOICE!C12,Table1[[WORK]:[OTHER]],2,FALSE),VLOOKUP(INVOICE!C12,Table1[[WORK]:[OTHER]],4,FALSE))," ")</f>
        <v xml:space="preserve"> </v>
      </c>
      <c r="G12" s="53"/>
      <c r="H12" s="54" t="str">
        <f>IFERROR(E12*F12," ")</f>
        <v xml:space="preserve"> </v>
      </c>
    </row>
    <row r="13" spans="2:12" s="55" customFormat="1" ht="14.25" customHeight="1" x14ac:dyDescent="0.3">
      <c r="B13" s="48" t="str">
        <f>IF(C13&lt;&gt;"",COUNTIF($C$12:C13,"&lt;&gt;"),"")</f>
        <v/>
      </c>
      <c r="C13" s="49"/>
      <c r="D13" s="50"/>
      <c r="E13" s="51"/>
      <c r="F13" s="52" t="str">
        <f>IFERROR(IF(OR(D13="CEN",D13="HK",D13="MD"),VLOOKUP(INVOICE!C13,Table1[[WORK]:[OTHER]],2,FALSE),VLOOKUP(INVOICE!C13,Table1[[WORK]:[OTHER]],4,FALSE))," ")</f>
        <v xml:space="preserve"> </v>
      </c>
      <c r="G13" s="53"/>
      <c r="H13" s="54" t="str">
        <f t="shared" ref="H13:H30" si="0">IFERROR(E13*F13," ")</f>
        <v xml:space="preserve"> </v>
      </c>
    </row>
    <row r="14" spans="2:12" s="55" customFormat="1" ht="14.25" customHeight="1" x14ac:dyDescent="0.3">
      <c r="B14" s="48" t="str">
        <f>IF(C14&lt;&gt;"",COUNTIF($C$12:C14,"&lt;&gt;"),"")</f>
        <v/>
      </c>
      <c r="C14" s="49"/>
      <c r="D14" s="50"/>
      <c r="E14" s="51"/>
      <c r="F14" s="52" t="str">
        <f>IFERROR(IF(OR(D14="CEN",D14="HK",D14="MD"),VLOOKUP(INVOICE!C14,Table1[[WORK]:[OTHER]],2,FALSE),VLOOKUP(INVOICE!C14,Table1[[WORK]:[OTHER]],4,FALSE))," ")</f>
        <v xml:space="preserve"> </v>
      </c>
      <c r="G14" s="53"/>
      <c r="H14" s="54" t="str">
        <f t="shared" si="0"/>
        <v xml:space="preserve"> </v>
      </c>
    </row>
    <row r="15" spans="2:12" s="55" customFormat="1" ht="14.25" customHeight="1" x14ac:dyDescent="0.3">
      <c r="B15" s="48" t="str">
        <f>IF(C15&lt;&gt;"",COUNTIF($C$12:C15,"&lt;&gt;"),"")</f>
        <v/>
      </c>
      <c r="C15" s="49"/>
      <c r="D15" s="50"/>
      <c r="E15" s="51"/>
      <c r="F15" s="52" t="str">
        <f>IFERROR(IF(OR(D15="CEN",D15="HK",D15="MD"),VLOOKUP(INVOICE!C15,Table1[[WORK]:[OTHER]],2,FALSE),VLOOKUP(INVOICE!C15,Table1[[WORK]:[OTHER]],4,FALSE))," ")</f>
        <v xml:space="preserve"> </v>
      </c>
      <c r="G15" s="53"/>
      <c r="H15" s="54" t="str">
        <f t="shared" si="0"/>
        <v xml:space="preserve"> </v>
      </c>
    </row>
    <row r="16" spans="2:12" s="55" customFormat="1" ht="14.25" customHeight="1" x14ac:dyDescent="0.3">
      <c r="B16" s="48" t="str">
        <f>IF(C16&lt;&gt;"",COUNTIF($C$12:C16,"&lt;&gt;"),"")</f>
        <v/>
      </c>
      <c r="C16" s="49"/>
      <c r="D16" s="50"/>
      <c r="E16" s="51"/>
      <c r="F16" s="52" t="str">
        <f>IFERROR(IF(OR(D16="CEN",D16="HK",D16="MD"),VLOOKUP(INVOICE!C16,Table1[[WORK]:[OTHER]],2,FALSE),VLOOKUP(INVOICE!C16,Table1[[WORK]:[OTHER]],4,FALSE))," ")</f>
        <v xml:space="preserve"> </v>
      </c>
      <c r="G16" s="53"/>
      <c r="H16" s="54" t="str">
        <f t="shared" si="0"/>
        <v xml:space="preserve"> </v>
      </c>
    </row>
    <row r="17" spans="2:8" s="55" customFormat="1" ht="14.25" customHeight="1" x14ac:dyDescent="0.3">
      <c r="B17" s="48" t="str">
        <f>IF(C17&lt;&gt;"",COUNTIF($C$12:C17,"&lt;&gt;"),"")</f>
        <v/>
      </c>
      <c r="C17" s="56"/>
      <c r="D17" s="50"/>
      <c r="E17" s="51"/>
      <c r="F17" s="52" t="str">
        <f>IFERROR(IF(OR(D17="CEN",D17="HK",D17="MD"),VLOOKUP(INVOICE!C17,Table1[[WORK]:[OTHER]],2,FALSE),VLOOKUP(INVOICE!C17,Table1[[WORK]:[OTHER]],4,FALSE))," ")</f>
        <v xml:space="preserve"> </v>
      </c>
      <c r="G17" s="53"/>
      <c r="H17" s="54" t="str">
        <f t="shared" si="0"/>
        <v xml:space="preserve"> </v>
      </c>
    </row>
    <row r="18" spans="2:8" s="55" customFormat="1" ht="14.25" customHeight="1" x14ac:dyDescent="0.3">
      <c r="B18" s="48" t="str">
        <f>IF(C18&lt;&gt;"",COUNTIF($C$12:C18,"&lt;&gt;"),"")</f>
        <v/>
      </c>
      <c r="C18" s="49"/>
      <c r="D18" s="50"/>
      <c r="E18" s="51"/>
      <c r="F18" s="52" t="str">
        <f>IFERROR(IF(OR(D18="CEN",D18="HK",D18="MD"),VLOOKUP(INVOICE!C18,Table1[[WORK]:[OTHER]],2,FALSE),VLOOKUP(INVOICE!C18,Table1[[WORK]:[OTHER]],4,FALSE))," ")</f>
        <v xml:space="preserve"> </v>
      </c>
      <c r="G18" s="53"/>
      <c r="H18" s="54" t="str">
        <f t="shared" si="0"/>
        <v xml:space="preserve"> </v>
      </c>
    </row>
    <row r="19" spans="2:8" s="55" customFormat="1" ht="14.25" customHeight="1" x14ac:dyDescent="0.3">
      <c r="B19" s="48" t="str">
        <f>IF(C19&lt;&gt;"",COUNTIF($C$12:C19,"&lt;&gt;"),"")</f>
        <v/>
      </c>
      <c r="C19" s="49"/>
      <c r="D19" s="50"/>
      <c r="E19" s="51"/>
      <c r="F19" s="52" t="str">
        <f>IFERROR(IF(OR(D19="CEN",D19="HK",D19="MD"),VLOOKUP(INVOICE!C19,Table1[[WORK]:[OTHER]],2,FALSE),VLOOKUP(INVOICE!C19,Table1[[WORK]:[OTHER]],4,FALSE))," ")</f>
        <v xml:space="preserve"> </v>
      </c>
      <c r="G19" s="53"/>
      <c r="H19" s="54" t="str">
        <f t="shared" si="0"/>
        <v xml:space="preserve"> </v>
      </c>
    </row>
    <row r="20" spans="2:8" s="55" customFormat="1" ht="14.25" customHeight="1" x14ac:dyDescent="0.3">
      <c r="B20" s="48" t="str">
        <f>IF(C20&lt;&gt;"",COUNTIF($C$12:C20,"&lt;&gt;"),"")</f>
        <v/>
      </c>
      <c r="C20" s="49"/>
      <c r="D20" s="50"/>
      <c r="E20" s="51"/>
      <c r="F20" s="52" t="str">
        <f>IFERROR(IF(OR(D20="CEN",D20="HK",D20="MD"),VLOOKUP(INVOICE!C20,Table1[[WORK]:[OTHER]],2,FALSE),VLOOKUP(INVOICE!C20,Table1[[WORK]:[OTHER]],4,FALSE))," ")</f>
        <v xml:space="preserve"> </v>
      </c>
      <c r="G20" s="53"/>
      <c r="H20" s="54"/>
    </row>
    <row r="21" spans="2:8" s="55" customFormat="1" ht="14.25" customHeight="1" x14ac:dyDescent="0.3">
      <c r="B21" s="48" t="str">
        <f>IF(C21&lt;&gt;"",COUNTIF($C$12:C21,"&lt;&gt;"),"")</f>
        <v/>
      </c>
      <c r="C21" s="49"/>
      <c r="D21" s="50"/>
      <c r="E21" s="51"/>
      <c r="F21" s="52" t="str">
        <f>IFERROR(IF(OR(D21="CEN",D21="HK",D21="MD"),VLOOKUP(INVOICE!C21,Table1[[WORK]:[OTHER]],2,FALSE),VLOOKUP(INVOICE!C21,Table1[[WORK]:[OTHER]],4,FALSE))," ")</f>
        <v xml:space="preserve"> </v>
      </c>
      <c r="G21" s="53"/>
      <c r="H21" s="54"/>
    </row>
    <row r="22" spans="2:8" s="55" customFormat="1" ht="14.25" customHeight="1" x14ac:dyDescent="0.3">
      <c r="B22" s="48" t="str">
        <f>IF(C22&lt;&gt;"",COUNTIF($C$12:C22,"&lt;&gt;"),"")</f>
        <v/>
      </c>
      <c r="C22" s="49"/>
      <c r="D22" s="50"/>
      <c r="E22" s="51"/>
      <c r="F22" s="52" t="str">
        <f>IFERROR(IF(OR(D22="CEN",D22="HK",D22="MD"),VLOOKUP(INVOICE!C22,Table1[[WORK]:[OTHER]],2,FALSE),VLOOKUP(INVOICE!C22,Table1[[WORK]:[OTHER]],4,FALSE))," ")</f>
        <v xml:space="preserve"> </v>
      </c>
      <c r="G22" s="53"/>
      <c r="H22" s="54"/>
    </row>
    <row r="23" spans="2:8" s="55" customFormat="1" ht="14.25" customHeight="1" x14ac:dyDescent="0.3">
      <c r="B23" s="48" t="str">
        <f>IF(C23&lt;&gt;"",COUNTIF($C$12:C23,"&lt;&gt;"),"")</f>
        <v/>
      </c>
      <c r="C23" s="49"/>
      <c r="D23" s="50"/>
      <c r="E23" s="51"/>
      <c r="F23" s="52" t="str">
        <f>IFERROR(IF(OR(D23="CEN",D23="HK",D23="MD"),VLOOKUP(INVOICE!C23,Table1[[WORK]:[OTHER]],2,FALSE),VLOOKUP(INVOICE!C23,Table1[[WORK]:[OTHER]],4,FALSE))," ")</f>
        <v xml:space="preserve"> </v>
      </c>
      <c r="G23" s="53"/>
      <c r="H23" s="54"/>
    </row>
    <row r="24" spans="2:8" s="55" customFormat="1" ht="14.25" customHeight="1" x14ac:dyDescent="0.3">
      <c r="B24" s="48" t="str">
        <f>IF(C24&lt;&gt;"",COUNTIF($C$12:C24,"&lt;&gt;"),"")</f>
        <v/>
      </c>
      <c r="C24" s="49"/>
      <c r="D24" s="50"/>
      <c r="E24" s="51"/>
      <c r="F24" s="52" t="str">
        <f>IFERROR(IF(OR(D24="CEN",D24="HK",D24="MD"),VLOOKUP(INVOICE!C24,Table1[[WORK]:[OTHER]],2,FALSE),VLOOKUP(INVOICE!C24,Table1[[WORK]:[OTHER]],4,FALSE))," ")</f>
        <v xml:space="preserve"> </v>
      </c>
      <c r="G24" s="53"/>
      <c r="H24" s="54"/>
    </row>
    <row r="25" spans="2:8" s="55" customFormat="1" ht="14.25" customHeight="1" x14ac:dyDescent="0.3">
      <c r="B25" s="48" t="str">
        <f>IF(C25&lt;&gt;"",COUNTIF($C$12:C25,"&lt;&gt;"),"")</f>
        <v/>
      </c>
      <c r="C25" s="49"/>
      <c r="D25" s="50"/>
      <c r="E25" s="51"/>
      <c r="F25" s="52" t="str">
        <f>IFERROR(IF(OR(D25="CEN",D25="HK",D25="MD"),VLOOKUP(INVOICE!C25,Table1[[WORK]:[OTHER]],2,FALSE),VLOOKUP(INVOICE!C25,Table1[[WORK]:[OTHER]],4,FALSE))," ")</f>
        <v xml:space="preserve"> </v>
      </c>
      <c r="G25" s="53"/>
      <c r="H25" s="54"/>
    </row>
    <row r="26" spans="2:8" s="55" customFormat="1" ht="14.25" customHeight="1" x14ac:dyDescent="0.3">
      <c r="B26" s="48" t="str">
        <f>IF(C26&lt;&gt;"",COUNTIF($C$12:C26,"&lt;&gt;"),"")</f>
        <v/>
      </c>
      <c r="C26" s="49"/>
      <c r="D26" s="50"/>
      <c r="E26" s="51"/>
      <c r="F26" s="52" t="str">
        <f>IFERROR(IF(OR(D26="CEN",D26="HK",D26="MD"),VLOOKUP(INVOICE!C26,Table1[[WORK]:[OTHER]],2,FALSE),VLOOKUP(INVOICE!C26,Table1[[WORK]:[OTHER]],4,FALSE))," ")</f>
        <v xml:space="preserve"> </v>
      </c>
      <c r="G26" s="53"/>
      <c r="H26" s="54"/>
    </row>
    <row r="27" spans="2:8" s="55" customFormat="1" ht="14.25" customHeight="1" x14ac:dyDescent="0.3">
      <c r="B27" s="48" t="str">
        <f>IF(C27&lt;&gt;"",COUNTIF($C$12:C27,"&lt;&gt;"),"")</f>
        <v/>
      </c>
      <c r="C27" s="49"/>
      <c r="D27" s="50"/>
      <c r="E27" s="51"/>
      <c r="F27" s="52" t="str">
        <f>IFERROR(IF(OR(D27="CEN",D27="HK",D27="MD"),VLOOKUP(INVOICE!C27,Table1[[WORK]:[OTHER]],2,FALSE),VLOOKUP(INVOICE!C27,Table1[[WORK]:[OTHER]],4,FALSE))," ")</f>
        <v xml:space="preserve"> </v>
      </c>
      <c r="G27" s="53"/>
      <c r="H27" s="54"/>
    </row>
    <row r="28" spans="2:8" s="55" customFormat="1" ht="14.25" customHeight="1" x14ac:dyDescent="0.3">
      <c r="B28" s="48" t="str">
        <f>IF(C28&lt;&gt;"",COUNTIF($C$12:C28,"&lt;&gt;"),"")</f>
        <v/>
      </c>
      <c r="C28" s="49"/>
      <c r="D28" s="50"/>
      <c r="E28" s="51"/>
      <c r="F28" s="52" t="str">
        <f>IFERROR(IF(OR(D28="CEN",D28="HK",D28="MD"),VLOOKUP(INVOICE!C28,Table1[[WORK]:[OTHER]],2,FALSE),VLOOKUP(INVOICE!C28,Table1[[WORK]:[OTHER]],4,FALSE))," ")</f>
        <v xml:space="preserve"> </v>
      </c>
      <c r="G28" s="53"/>
      <c r="H28" s="54"/>
    </row>
    <row r="29" spans="2:8" s="55" customFormat="1" ht="14.25" customHeight="1" x14ac:dyDescent="0.3">
      <c r="B29" s="48" t="str">
        <f>IF(C29&lt;&gt;"",COUNTIF($C$12:C29,"&lt;&gt;"),"")</f>
        <v/>
      </c>
      <c r="C29" s="49"/>
      <c r="D29" s="50"/>
      <c r="E29" s="51"/>
      <c r="F29" s="52" t="str">
        <f>IFERROR(IF(OR(D29="CEN",D29="HK",D29="MD"),VLOOKUP(INVOICE!C29,Table1[[WORK]:[OTHER]],2,FALSE),VLOOKUP(INVOICE!C29,Table1[[WORK]:[OTHER]],4,FALSE))," ")</f>
        <v xml:space="preserve"> </v>
      </c>
      <c r="G29" s="53"/>
      <c r="H29" s="54" t="str">
        <f t="shared" si="0"/>
        <v xml:space="preserve"> </v>
      </c>
    </row>
    <row r="30" spans="2:8" s="55" customFormat="1" ht="14.25" customHeight="1" x14ac:dyDescent="0.3">
      <c r="B30" s="48" t="str">
        <f>IF(C30&lt;&gt;"",COUNTIF($C$12:C30,"&lt;&gt;"),"")</f>
        <v/>
      </c>
      <c r="C30" s="49"/>
      <c r="D30" s="50"/>
      <c r="E30" s="50"/>
      <c r="F30" s="52" t="str">
        <f>IFERROR(IF(OR(D30="CEN",D30="HK",D30="MD"),VLOOKUP(INVOICE!C30,Table1[[WORK]:[OTHER]],2,FALSE),VLOOKUP(INVOICE!C30,Table1[[WORK]:[OTHER]],4,FALSE))," ")</f>
        <v xml:space="preserve"> </v>
      </c>
      <c r="G30" s="53"/>
      <c r="H30" s="54" t="str">
        <f t="shared" si="0"/>
        <v xml:space="preserve"> </v>
      </c>
    </row>
    <row r="31" spans="2:8" ht="20.100000000000001" customHeight="1" thickBot="1" x14ac:dyDescent="0.35">
      <c r="B31" s="57"/>
      <c r="E31" s="35" t="s">
        <v>4</v>
      </c>
      <c r="F31" s="58"/>
      <c r="G31" s="59"/>
      <c r="H31" s="60">
        <f>SUM(H12:H30)</f>
        <v>0</v>
      </c>
    </row>
    <row r="32" spans="2:8" ht="15" thickTop="1" x14ac:dyDescent="0.3">
      <c r="F32" s="202">
        <f>IF(H9="A",90%,IF(H9="B",10%,5%))</f>
        <v>0.9</v>
      </c>
      <c r="G32" s="61"/>
      <c r="H32" s="203">
        <f>H31*F32</f>
        <v>0</v>
      </c>
    </row>
    <row r="33" spans="2:10" ht="16.2" x14ac:dyDescent="0.45">
      <c r="C33" s="216"/>
      <c r="D33" s="216"/>
      <c r="E33" s="216"/>
      <c r="F33" s="63"/>
      <c r="H33" s="64"/>
    </row>
    <row r="34" spans="2:10" x14ac:dyDescent="0.3">
      <c r="C34" s="62"/>
      <c r="D34" s="62"/>
      <c r="E34" s="62"/>
      <c r="F34" s="65"/>
      <c r="H34" s="66"/>
    </row>
    <row r="35" spans="2:10" x14ac:dyDescent="0.3">
      <c r="B35" s="35" t="s">
        <v>11</v>
      </c>
    </row>
    <row r="38" spans="2:10" x14ac:dyDescent="0.3">
      <c r="C38" s="35" t="s">
        <v>109</v>
      </c>
      <c r="E38" s="210" t="s">
        <v>13</v>
      </c>
      <c r="F38" s="210"/>
      <c r="G38" s="210"/>
      <c r="H38" s="210"/>
    </row>
    <row r="39" spans="2:10" ht="16.2" x14ac:dyDescent="0.35">
      <c r="C39" s="38" t="s">
        <v>12</v>
      </c>
      <c r="E39" s="210" t="s">
        <v>137</v>
      </c>
      <c r="F39" s="210"/>
      <c r="G39" s="210"/>
      <c r="H39" s="210"/>
      <c r="J39" s="36"/>
    </row>
    <row r="40" spans="2:10" x14ac:dyDescent="0.3">
      <c r="C40" s="38" t="s">
        <v>175</v>
      </c>
      <c r="E40" s="210" t="s">
        <v>14</v>
      </c>
      <c r="F40" s="210"/>
      <c r="G40" s="210"/>
      <c r="H40" s="210"/>
    </row>
    <row r="41" spans="2:10" x14ac:dyDescent="0.3">
      <c r="B41" s="38"/>
      <c r="C41" s="38"/>
      <c r="E41" s="38"/>
      <c r="F41" s="38"/>
      <c r="G41" s="38"/>
      <c r="H41" s="38"/>
    </row>
    <row r="42" spans="2:10" ht="14.4" customHeight="1" x14ac:dyDescent="0.3">
      <c r="B42" s="55" t="s">
        <v>135</v>
      </c>
      <c r="C42" s="55"/>
      <c r="D42" s="55"/>
      <c r="E42" s="55"/>
      <c r="F42" s="55"/>
      <c r="G42" s="38"/>
      <c r="H42" s="38"/>
    </row>
    <row r="43" spans="2:10" x14ac:dyDescent="0.3">
      <c r="B43" s="55" t="s">
        <v>49</v>
      </c>
      <c r="C43" s="193" t="s">
        <v>128</v>
      </c>
      <c r="G43" s="38"/>
      <c r="H43" s="38"/>
    </row>
    <row r="44" spans="2:10" x14ac:dyDescent="0.3">
      <c r="B44" s="55" t="s">
        <v>50</v>
      </c>
      <c r="C44" s="55" t="s">
        <v>129</v>
      </c>
      <c r="E44" s="38"/>
      <c r="F44" s="38"/>
      <c r="G44" s="38"/>
      <c r="H44" s="38"/>
    </row>
    <row r="45" spans="2:10" x14ac:dyDescent="0.3">
      <c r="B45" s="40" t="s">
        <v>51</v>
      </c>
      <c r="C45" s="40" t="s">
        <v>130</v>
      </c>
      <c r="E45" s="38"/>
      <c r="F45" s="38"/>
      <c r="G45" s="38"/>
      <c r="H45" s="38"/>
    </row>
    <row r="46" spans="2:10" x14ac:dyDescent="0.3">
      <c r="B46" s="67"/>
      <c r="C46" s="67"/>
      <c r="D46" s="67"/>
      <c r="E46" s="67"/>
      <c r="F46" s="67"/>
      <c r="G46" s="67"/>
      <c r="H46" s="67"/>
    </row>
    <row r="47" spans="2:10" x14ac:dyDescent="0.3">
      <c r="B47" s="224" t="s">
        <v>15</v>
      </c>
      <c r="C47" s="224"/>
      <c r="D47" s="224"/>
      <c r="E47" s="224"/>
      <c r="F47" s="224"/>
      <c r="G47" s="224"/>
      <c r="H47" s="224"/>
    </row>
    <row r="48" spans="2:10" s="70" customFormat="1" ht="27.75" customHeight="1" x14ac:dyDescent="0.4">
      <c r="B48" s="68"/>
      <c r="C48" s="68" t="s">
        <v>111</v>
      </c>
      <c r="D48" s="218" t="s">
        <v>112</v>
      </c>
      <c r="E48" s="219"/>
      <c r="F48" s="219"/>
      <c r="G48" s="220"/>
      <c r="H48" s="69" t="s">
        <v>113</v>
      </c>
    </row>
    <row r="49" spans="2:8" s="73" customFormat="1" ht="81" customHeight="1" x14ac:dyDescent="0.3">
      <c r="B49" s="71" t="s">
        <v>16</v>
      </c>
      <c r="C49" s="72"/>
      <c r="D49" s="217"/>
      <c r="E49" s="217"/>
      <c r="F49" s="217"/>
      <c r="G49" s="217"/>
      <c r="H49" s="225" t="s">
        <v>114</v>
      </c>
    </row>
    <row r="50" spans="2:8" s="73" customFormat="1" ht="81" customHeight="1" x14ac:dyDescent="0.3">
      <c r="B50" s="71" t="s">
        <v>116</v>
      </c>
      <c r="C50" s="72"/>
      <c r="D50" s="217"/>
      <c r="E50" s="217"/>
      <c r="F50" s="217"/>
      <c r="G50" s="217"/>
      <c r="H50" s="226"/>
    </row>
    <row r="51" spans="2:8" s="73" customFormat="1" ht="81" customHeight="1" x14ac:dyDescent="0.3">
      <c r="B51" s="71" t="s">
        <v>115</v>
      </c>
      <c r="C51" s="74"/>
      <c r="D51" s="221"/>
      <c r="E51" s="222"/>
      <c r="F51" s="222"/>
      <c r="G51" s="223"/>
      <c r="H51" s="227"/>
    </row>
    <row r="52" spans="2:8" x14ac:dyDescent="0.3">
      <c r="C52" s="75" t="s">
        <v>105</v>
      </c>
      <c r="D52" s="75" t="s">
        <v>106</v>
      </c>
      <c r="E52" s="211" t="s">
        <v>107</v>
      </c>
      <c r="F52" s="212"/>
      <c r="G52" s="212"/>
      <c r="H52" s="76"/>
    </row>
    <row r="53" spans="2:8" ht="40.799999999999997" customHeight="1" x14ac:dyDescent="0.3">
      <c r="C53" s="77" t="str">
        <f>IF(H9="A",("Material Balance Sheet's received"),("All the Photos're Received"))</f>
        <v>Material Balance Sheet's received</v>
      </c>
      <c r="D53" s="78" t="s">
        <v>108</v>
      </c>
      <c r="E53" s="213"/>
      <c r="F53" s="214"/>
      <c r="G53" s="214"/>
      <c r="H53" s="79"/>
    </row>
    <row r="54" spans="2:8" ht="14.4" customHeight="1" x14ac:dyDescent="0.3">
      <c r="C54" s="80"/>
      <c r="D54" s="81"/>
      <c r="E54" s="228"/>
      <c r="F54" s="228"/>
      <c r="G54" s="82"/>
      <c r="H54" s="83"/>
    </row>
    <row r="55" spans="2:8" ht="27" customHeight="1" x14ac:dyDescent="0.3">
      <c r="C55" s="80"/>
      <c r="D55" s="80"/>
      <c r="E55" s="38"/>
    </row>
    <row r="56" spans="2:8" ht="20.100000000000001" customHeight="1" x14ac:dyDescent="0.3"/>
    <row r="57" spans="2:8" ht="20.100000000000001" customHeight="1" x14ac:dyDescent="0.3"/>
    <row r="59" spans="2:8" ht="18" customHeight="1" x14ac:dyDescent="0.3">
      <c r="B59" s="210"/>
      <c r="C59" s="210"/>
      <c r="E59" s="210"/>
      <c r="F59" s="210"/>
      <c r="G59" s="210"/>
      <c r="H59" s="210"/>
    </row>
    <row r="60" spans="2:8" ht="18" customHeight="1" x14ac:dyDescent="0.3">
      <c r="B60" s="210"/>
      <c r="C60" s="210"/>
      <c r="E60" s="210"/>
      <c r="F60" s="210"/>
      <c r="G60" s="210"/>
      <c r="H60" s="210"/>
    </row>
    <row r="61" spans="2:8" ht="18" customHeight="1" x14ac:dyDescent="0.3">
      <c r="C61" s="40"/>
      <c r="F61" s="40"/>
    </row>
    <row r="62" spans="2:8" ht="18" customHeight="1" x14ac:dyDescent="0.3">
      <c r="C62" s="40"/>
      <c r="F62" s="40"/>
    </row>
    <row r="63" spans="2:8" ht="18" customHeight="1" x14ac:dyDescent="0.3">
      <c r="C63" s="40"/>
      <c r="F63" s="40"/>
    </row>
    <row r="64" spans="2:8" x14ac:dyDescent="0.3">
      <c r="B64" s="210"/>
      <c r="C64" s="210"/>
      <c r="E64" s="210"/>
      <c r="F64" s="210"/>
      <c r="G64" s="210"/>
      <c r="H64" s="210"/>
    </row>
    <row r="66" spans="2:8" ht="18" customHeight="1" x14ac:dyDescent="0.3"/>
    <row r="67" spans="2:8" ht="18" customHeight="1" x14ac:dyDescent="0.3">
      <c r="B67" s="210"/>
      <c r="C67" s="210"/>
      <c r="E67" s="210"/>
      <c r="F67" s="210"/>
      <c r="G67" s="210"/>
      <c r="H67" s="210"/>
    </row>
    <row r="68" spans="2:8" ht="18" customHeight="1" x14ac:dyDescent="0.3">
      <c r="B68" s="210"/>
      <c r="C68" s="210"/>
      <c r="E68" s="210"/>
      <c r="F68" s="210"/>
      <c r="G68" s="210"/>
      <c r="H68" s="210"/>
    </row>
    <row r="69" spans="2:8" ht="18" customHeight="1" x14ac:dyDescent="0.3">
      <c r="B69" s="210"/>
      <c r="C69" s="210"/>
      <c r="E69" s="210"/>
      <c r="F69" s="210"/>
      <c r="G69" s="210"/>
      <c r="H69" s="210"/>
    </row>
    <row r="70" spans="2:8" ht="18" customHeight="1" x14ac:dyDescent="0.3">
      <c r="B70" s="210"/>
      <c r="C70" s="210"/>
    </row>
    <row r="71" spans="2:8" ht="18" customHeight="1" x14ac:dyDescent="0.3"/>
    <row r="72" spans="2:8" ht="18" customHeight="1" x14ac:dyDescent="0.3"/>
    <row r="73" spans="2:8" ht="18" customHeight="1" x14ac:dyDescent="0.3"/>
    <row r="74" spans="2:8" ht="18" customHeight="1" x14ac:dyDescent="0.3"/>
    <row r="75" spans="2:8" ht="18" customHeight="1" x14ac:dyDescent="0.3"/>
    <row r="76" spans="2:8" ht="18" customHeight="1" x14ac:dyDescent="0.3"/>
  </sheetData>
  <protectedRanges>
    <protectedRange algorithmName="SHA-512" hashValue="kTN+CoUVfhL5NEPFRCLU4dbcBW8ch8C5itGr12S3ThgP7sQZIJIUI/YkZDHky1l82zwoADKILMPWHqBGtkYnUg==" saltValue="Vs4wbk1Dhsq6wfXl1aH9gQ==" spinCount="100000" sqref="B12:B30" name="Range2"/>
    <protectedRange algorithmName="SHA-512" hashValue="mvEH3xbr2XqNi+IicHpJzb22Azasub4numJ8AhuKlW+h2jRe+9JYvZwjFJ3vO+ud2McqdwKD2yGW2zTJToLBrQ==" saltValue="zoosC1ZWhRDnSffGVulDqQ==" spinCount="100000" sqref="H5:H7" name="Range1"/>
  </protectedRanges>
  <mergeCells count="33">
    <mergeCell ref="B64:C64"/>
    <mergeCell ref="E64:H64"/>
    <mergeCell ref="B67:C67"/>
    <mergeCell ref="B60:C60"/>
    <mergeCell ref="B59:C59"/>
    <mergeCell ref="E59:H59"/>
    <mergeCell ref="B70:C70"/>
    <mergeCell ref="E67:H67"/>
    <mergeCell ref="E68:H68"/>
    <mergeCell ref="E69:H69"/>
    <mergeCell ref="B68:C68"/>
    <mergeCell ref="B69:C69"/>
    <mergeCell ref="B1:H1"/>
    <mergeCell ref="B2:H2"/>
    <mergeCell ref="B3:H3"/>
    <mergeCell ref="E5:F5"/>
    <mergeCell ref="E7:F7"/>
    <mergeCell ref="E6:F6"/>
    <mergeCell ref="E39:H39"/>
    <mergeCell ref="E60:H60"/>
    <mergeCell ref="E52:G52"/>
    <mergeCell ref="E53:G53"/>
    <mergeCell ref="E8:F8"/>
    <mergeCell ref="C33:E33"/>
    <mergeCell ref="D49:G49"/>
    <mergeCell ref="D48:G48"/>
    <mergeCell ref="D50:G50"/>
    <mergeCell ref="D51:G51"/>
    <mergeCell ref="E38:H38"/>
    <mergeCell ref="B47:H47"/>
    <mergeCell ref="E40:H40"/>
    <mergeCell ref="H49:H51"/>
    <mergeCell ref="E54:F54"/>
  </mergeCells>
  <pageMargins left="0.5" right="0.3" top="0.5" bottom="0.21" header="0.3" footer="0.16"/>
  <pageSetup paperSize="9" scale="73" orientation="portrait" r:id="rId1"/>
  <colBreaks count="1" manualBreakCount="1">
    <brk id="10" max="1048575" man="1"/>
  </colBreak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1000000}">
          <x14:formula1>
            <xm:f>Calculus!$A$43:$A$45</xm:f>
          </x14:formula1>
          <xm:sqref>H9</xm:sqref>
        </x14:dataValidation>
        <x14:dataValidation type="list" allowBlank="1" showInputMessage="1" showErrorMessage="1" xr:uid="{00000000-0002-0000-0000-000002000000}">
          <x14:formula1>
            <xm:f>Calculus!$B$43:$B$55</xm:f>
          </x14:formula1>
          <xm:sqref>H8</xm:sqref>
        </x14:dataValidation>
        <x14:dataValidation type="list" allowBlank="1" showInputMessage="1" showErrorMessage="1" xr:uid="{75C24CD1-36F0-495B-AA59-32393D07D84B}">
          <x14:formula1>
            <xm:f>Calculus!#REF!</xm:f>
          </x14:formula1>
          <xm:sqref>D54</xm:sqref>
        </x14:dataValidation>
        <x14:dataValidation type="list" allowBlank="1" showInputMessage="1" showErrorMessage="1" xr:uid="{00000000-0002-0000-0000-000000000000}">
          <x14:formula1>
            <xm:f>Calculus!$A$3:$A$40</xm:f>
          </x14:formula1>
          <xm:sqref>C12:C30</xm:sqref>
        </x14:dataValidation>
        <x14:dataValidation type="list" allowBlank="1" showInputMessage="1" showErrorMessage="1" xr:uid="{59BD7AD8-01D7-4F38-8F0C-8ECB6D4BFB55}">
          <x14:formula1>
            <xm:f>Calculus!$C$64:$C$84</xm:f>
          </x14:formula1>
          <xm:sqref>D12:D30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01F19-18C4-478D-BC0E-66B72E04DA17}">
  <sheetPr>
    <tabColor rgb="FF7030A0"/>
  </sheetPr>
  <dimension ref="A1:R152"/>
  <sheetViews>
    <sheetView topLeftCell="A49" zoomScale="92" zoomScaleNormal="92" workbookViewId="0">
      <selection activeCell="F57" sqref="F57"/>
    </sheetView>
  </sheetViews>
  <sheetFormatPr defaultRowHeight="13.8" x14ac:dyDescent="0.3"/>
  <cols>
    <col min="1" max="5" width="8.88671875" style="86"/>
    <col min="6" max="17" width="8.88671875" style="107"/>
    <col min="18" max="16384" width="8.88671875" style="86"/>
  </cols>
  <sheetData>
    <row r="1" spans="1:18" ht="15.6" customHeight="1" x14ac:dyDescent="0.3">
      <c r="A1" s="84" t="s">
        <v>41</v>
      </c>
      <c r="B1" s="84"/>
      <c r="C1" s="232" t="str">
        <f>INVOICE!B1</f>
        <v>S A M Perera</v>
      </c>
      <c r="D1" s="232"/>
      <c r="E1" s="232"/>
      <c r="F1" s="85"/>
      <c r="G1" s="85"/>
      <c r="H1" s="85"/>
      <c r="I1" s="85"/>
      <c r="J1" s="85"/>
      <c r="K1" s="85"/>
      <c r="L1" s="85"/>
      <c r="M1" s="85"/>
      <c r="N1" s="85"/>
      <c r="O1" s="85" t="s">
        <v>40</v>
      </c>
      <c r="P1" s="232" t="str">
        <f>INVOICE!H5</f>
        <v>SAM/CENTRAL/KY/NC/26/DEC/1</v>
      </c>
      <c r="Q1" s="232"/>
      <c r="R1" s="232"/>
    </row>
    <row r="2" spans="1:18" x14ac:dyDescent="0.3">
      <c r="A2" s="87"/>
      <c r="B2" s="88"/>
      <c r="C2" s="87"/>
      <c r="D2" s="88"/>
      <c r="E2" s="88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8"/>
    </row>
    <row r="3" spans="1:18" ht="23.4" customHeight="1" x14ac:dyDescent="0.3">
      <c r="A3" s="233" t="s">
        <v>140</v>
      </c>
      <c r="B3" s="234"/>
      <c r="C3" s="234"/>
      <c r="D3" s="234"/>
      <c r="E3" s="234"/>
      <c r="F3" s="234"/>
      <c r="G3" s="234"/>
      <c r="H3" s="234"/>
      <c r="I3" s="235"/>
      <c r="J3" s="233" t="s">
        <v>139</v>
      </c>
      <c r="K3" s="234"/>
      <c r="L3" s="234"/>
      <c r="M3" s="234"/>
      <c r="N3" s="234"/>
      <c r="O3" s="234"/>
      <c r="P3" s="234"/>
      <c r="Q3" s="234"/>
      <c r="R3" s="235"/>
    </row>
    <row r="4" spans="1:18" ht="69" customHeight="1" x14ac:dyDescent="0.3">
      <c r="A4" s="89" t="s">
        <v>122</v>
      </c>
      <c r="B4" s="90" t="s">
        <v>19</v>
      </c>
      <c r="C4" s="91" t="s">
        <v>18</v>
      </c>
      <c r="D4" s="92" t="s">
        <v>123</v>
      </c>
      <c r="E4" s="93" t="s">
        <v>30</v>
      </c>
      <c r="F4" s="90" t="s">
        <v>31</v>
      </c>
      <c r="G4" s="90" t="s">
        <v>32</v>
      </c>
      <c r="H4" s="90" t="s">
        <v>43</v>
      </c>
      <c r="I4" s="90" t="s">
        <v>42</v>
      </c>
      <c r="J4" s="90" t="s">
        <v>33</v>
      </c>
      <c r="K4" s="90" t="s">
        <v>38</v>
      </c>
      <c r="L4" s="90" t="s">
        <v>36</v>
      </c>
      <c r="M4" s="90" t="s">
        <v>52</v>
      </c>
      <c r="N4" s="90" t="s">
        <v>54</v>
      </c>
      <c r="O4" s="90" t="s">
        <v>34</v>
      </c>
      <c r="P4" s="90" t="s">
        <v>90</v>
      </c>
      <c r="Q4" s="90" t="s">
        <v>35</v>
      </c>
      <c r="R4" s="91" t="s">
        <v>39</v>
      </c>
    </row>
    <row r="5" spans="1:18" x14ac:dyDescent="0.3">
      <c r="A5" s="94">
        <v>1</v>
      </c>
      <c r="B5" s="90"/>
      <c r="C5" s="91"/>
      <c r="D5" s="92"/>
      <c r="E5" s="93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1"/>
    </row>
    <row r="6" spans="1:18" x14ac:dyDescent="0.3">
      <c r="A6" s="94">
        <v>2</v>
      </c>
      <c r="B6" s="90"/>
      <c r="C6" s="91"/>
      <c r="D6" s="92"/>
      <c r="E6" s="93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1"/>
    </row>
    <row r="7" spans="1:18" x14ac:dyDescent="0.3">
      <c r="A7" s="94">
        <v>3</v>
      </c>
      <c r="B7" s="90"/>
      <c r="C7" s="91"/>
      <c r="D7" s="92"/>
      <c r="E7" s="93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1"/>
    </row>
    <row r="8" spans="1:18" x14ac:dyDescent="0.3">
      <c r="A8" s="94">
        <v>4</v>
      </c>
      <c r="B8" s="90"/>
      <c r="C8" s="91"/>
      <c r="D8" s="92"/>
      <c r="E8" s="93"/>
      <c r="F8" s="90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1"/>
    </row>
    <row r="9" spans="1:18" x14ac:dyDescent="0.3">
      <c r="A9" s="94">
        <v>5</v>
      </c>
      <c r="B9" s="90"/>
      <c r="C9" s="91"/>
      <c r="D9" s="92"/>
      <c r="E9" s="93"/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1"/>
    </row>
    <row r="10" spans="1:18" x14ac:dyDescent="0.3">
      <c r="A10" s="94">
        <v>6</v>
      </c>
      <c r="B10" s="90"/>
      <c r="C10" s="91"/>
      <c r="D10" s="92"/>
      <c r="E10" s="93"/>
      <c r="F10" s="90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1"/>
    </row>
    <row r="11" spans="1:18" x14ac:dyDescent="0.3">
      <c r="A11" s="94">
        <v>7</v>
      </c>
      <c r="B11" s="90"/>
      <c r="C11" s="91"/>
      <c r="D11" s="92"/>
      <c r="E11" s="93"/>
      <c r="F11" s="90"/>
      <c r="G11" s="90"/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1"/>
    </row>
    <row r="12" spans="1:18" x14ac:dyDescent="0.3">
      <c r="A12" s="94">
        <v>8</v>
      </c>
      <c r="B12" s="90"/>
      <c r="C12" s="91"/>
      <c r="D12" s="92"/>
      <c r="E12" s="93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1"/>
    </row>
    <row r="13" spans="1:18" x14ac:dyDescent="0.3">
      <c r="A13" s="94">
        <v>9</v>
      </c>
      <c r="B13" s="90"/>
      <c r="C13" s="91"/>
      <c r="D13" s="92"/>
      <c r="E13" s="93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1"/>
    </row>
    <row r="14" spans="1:18" x14ac:dyDescent="0.3">
      <c r="A14" s="94">
        <v>10</v>
      </c>
      <c r="B14" s="90"/>
      <c r="C14" s="91"/>
      <c r="D14" s="92"/>
      <c r="E14" s="93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1"/>
    </row>
    <row r="15" spans="1:18" x14ac:dyDescent="0.3">
      <c r="A15" s="94">
        <v>11</v>
      </c>
      <c r="B15" s="90"/>
      <c r="C15" s="91"/>
      <c r="D15" s="92"/>
      <c r="E15" s="93"/>
      <c r="F15" s="90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1"/>
    </row>
    <row r="16" spans="1:18" x14ac:dyDescent="0.3">
      <c r="A16" s="94">
        <v>12</v>
      </c>
      <c r="B16" s="90"/>
      <c r="C16" s="91"/>
      <c r="D16" s="92"/>
      <c r="E16" s="93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1"/>
    </row>
    <row r="17" spans="1:18" x14ac:dyDescent="0.3">
      <c r="A17" s="94">
        <v>13</v>
      </c>
      <c r="B17" s="90"/>
      <c r="C17" s="91"/>
      <c r="D17" s="92"/>
      <c r="E17" s="93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1"/>
    </row>
    <row r="18" spans="1:18" x14ac:dyDescent="0.3">
      <c r="A18" s="94">
        <v>14</v>
      </c>
      <c r="B18" s="90"/>
      <c r="C18" s="91"/>
      <c r="D18" s="92"/>
      <c r="E18" s="93"/>
      <c r="F18" s="90"/>
      <c r="G18" s="90"/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1"/>
    </row>
    <row r="19" spans="1:18" x14ac:dyDescent="0.3">
      <c r="A19" s="94">
        <v>15</v>
      </c>
      <c r="B19" s="95"/>
      <c r="C19" s="96"/>
      <c r="D19" s="96"/>
      <c r="E19" s="97"/>
      <c r="F19" s="98"/>
      <c r="G19" s="98"/>
      <c r="H19" s="98"/>
      <c r="I19" s="98"/>
      <c r="J19" s="98"/>
      <c r="K19" s="98"/>
      <c r="L19" s="96"/>
      <c r="M19" s="96"/>
      <c r="N19" s="96"/>
      <c r="O19" s="98"/>
      <c r="P19" s="98"/>
      <c r="Q19" s="98"/>
      <c r="R19" s="96"/>
    </row>
    <row r="20" spans="1:18" x14ac:dyDescent="0.3">
      <c r="A20" s="94">
        <v>16</v>
      </c>
      <c r="B20" s="95"/>
      <c r="C20" s="96"/>
      <c r="D20" s="96"/>
      <c r="E20" s="97"/>
      <c r="F20" s="98"/>
      <c r="G20" s="98"/>
      <c r="H20" s="98"/>
      <c r="I20" s="98"/>
      <c r="J20" s="98"/>
      <c r="K20" s="98"/>
      <c r="L20" s="96"/>
      <c r="M20" s="96"/>
      <c r="N20" s="96"/>
      <c r="O20" s="98"/>
      <c r="P20" s="98"/>
      <c r="Q20" s="98"/>
      <c r="R20" s="96"/>
    </row>
    <row r="21" spans="1:18" x14ac:dyDescent="0.3">
      <c r="A21" s="94">
        <v>17</v>
      </c>
      <c r="B21" s="95"/>
      <c r="C21" s="96"/>
      <c r="D21" s="96"/>
      <c r="E21" s="97"/>
      <c r="F21" s="98"/>
      <c r="G21" s="98"/>
      <c r="H21" s="98"/>
      <c r="I21" s="98"/>
      <c r="J21" s="98"/>
      <c r="K21" s="98"/>
      <c r="L21" s="96"/>
      <c r="M21" s="96"/>
      <c r="N21" s="96"/>
      <c r="O21" s="98"/>
      <c r="P21" s="98"/>
      <c r="Q21" s="98"/>
      <c r="R21" s="96"/>
    </row>
    <row r="22" spans="1:18" x14ac:dyDescent="0.3">
      <c r="A22" s="94">
        <v>18</v>
      </c>
      <c r="B22" s="95"/>
      <c r="C22" s="96"/>
      <c r="D22" s="96"/>
      <c r="E22" s="97"/>
      <c r="F22" s="98"/>
      <c r="G22" s="98"/>
      <c r="H22" s="98"/>
      <c r="I22" s="98"/>
      <c r="J22" s="98"/>
      <c r="K22" s="98"/>
      <c r="L22" s="96"/>
      <c r="M22" s="96"/>
      <c r="N22" s="96"/>
      <c r="O22" s="98"/>
      <c r="P22" s="98"/>
      <c r="Q22" s="98"/>
      <c r="R22" s="96"/>
    </row>
    <row r="23" spans="1:18" x14ac:dyDescent="0.3">
      <c r="A23" s="94">
        <v>19</v>
      </c>
      <c r="B23" s="95"/>
      <c r="C23" s="96"/>
      <c r="D23" s="96"/>
      <c r="E23" s="97"/>
      <c r="F23" s="98"/>
      <c r="G23" s="98"/>
      <c r="H23" s="98"/>
      <c r="I23" s="98"/>
      <c r="J23" s="98"/>
      <c r="K23" s="98"/>
      <c r="L23" s="96"/>
      <c r="M23" s="96"/>
      <c r="N23" s="96"/>
      <c r="O23" s="98"/>
      <c r="P23" s="98"/>
      <c r="Q23" s="98"/>
      <c r="R23" s="96"/>
    </row>
    <row r="24" spans="1:18" x14ac:dyDescent="0.3">
      <c r="A24" s="94">
        <v>20</v>
      </c>
      <c r="B24" s="95"/>
      <c r="C24" s="96"/>
      <c r="D24" s="96"/>
      <c r="E24" s="97"/>
      <c r="F24" s="98"/>
      <c r="G24" s="98"/>
      <c r="H24" s="98"/>
      <c r="I24" s="98"/>
      <c r="J24" s="98"/>
      <c r="K24" s="98"/>
      <c r="L24" s="96"/>
      <c r="M24" s="96"/>
      <c r="N24" s="96"/>
      <c r="O24" s="98"/>
      <c r="P24" s="98"/>
      <c r="Q24" s="98"/>
      <c r="R24" s="96"/>
    </row>
    <row r="25" spans="1:18" x14ac:dyDescent="0.3">
      <c r="A25" s="94">
        <v>21</v>
      </c>
      <c r="B25" s="95"/>
      <c r="C25" s="96"/>
      <c r="D25" s="96"/>
      <c r="E25" s="97"/>
      <c r="F25" s="98"/>
      <c r="G25" s="98"/>
      <c r="H25" s="98"/>
      <c r="I25" s="98"/>
      <c r="J25" s="98"/>
      <c r="K25" s="98"/>
      <c r="L25" s="96"/>
      <c r="M25" s="96"/>
      <c r="N25" s="96"/>
      <c r="O25" s="98"/>
      <c r="P25" s="98"/>
      <c r="Q25" s="98"/>
      <c r="R25" s="96"/>
    </row>
    <row r="26" spans="1:18" x14ac:dyDescent="0.3">
      <c r="A26" s="94">
        <v>22</v>
      </c>
      <c r="B26" s="95"/>
      <c r="C26" s="96"/>
      <c r="D26" s="96"/>
      <c r="E26" s="97"/>
      <c r="F26" s="98"/>
      <c r="G26" s="98"/>
      <c r="H26" s="98"/>
      <c r="I26" s="98"/>
      <c r="J26" s="98"/>
      <c r="K26" s="98"/>
      <c r="L26" s="96"/>
      <c r="M26" s="96"/>
      <c r="N26" s="96"/>
      <c r="O26" s="98"/>
      <c r="P26" s="98"/>
      <c r="Q26" s="98"/>
      <c r="R26" s="96"/>
    </row>
    <row r="27" spans="1:18" x14ac:dyDescent="0.3">
      <c r="A27" s="94">
        <v>23</v>
      </c>
      <c r="B27" s="95"/>
      <c r="C27" s="96"/>
      <c r="D27" s="96"/>
      <c r="E27" s="97"/>
      <c r="F27" s="98"/>
      <c r="G27" s="98"/>
      <c r="H27" s="98"/>
      <c r="I27" s="98"/>
      <c r="J27" s="98"/>
      <c r="K27" s="98"/>
      <c r="L27" s="96"/>
      <c r="M27" s="96"/>
      <c r="N27" s="96"/>
      <c r="O27" s="98"/>
      <c r="P27" s="98"/>
      <c r="Q27" s="98"/>
      <c r="R27" s="96"/>
    </row>
    <row r="28" spans="1:18" x14ac:dyDescent="0.3">
      <c r="A28" s="94">
        <v>24</v>
      </c>
      <c r="B28" s="95"/>
      <c r="C28" s="96"/>
      <c r="D28" s="96"/>
      <c r="E28" s="97"/>
      <c r="F28" s="98"/>
      <c r="G28" s="98"/>
      <c r="H28" s="98"/>
      <c r="I28" s="98"/>
      <c r="J28" s="98"/>
      <c r="K28" s="98"/>
      <c r="L28" s="96"/>
      <c r="M28" s="96"/>
      <c r="N28" s="96"/>
      <c r="O28" s="98"/>
      <c r="P28" s="98"/>
      <c r="Q28" s="98"/>
      <c r="R28" s="96"/>
    </row>
    <row r="29" spans="1:18" x14ac:dyDescent="0.3">
      <c r="A29" s="94">
        <v>25</v>
      </c>
      <c r="B29" s="95"/>
      <c r="C29" s="96"/>
      <c r="D29" s="96"/>
      <c r="E29" s="97"/>
      <c r="F29" s="98"/>
      <c r="G29" s="98"/>
      <c r="H29" s="98"/>
      <c r="I29" s="98"/>
      <c r="J29" s="98"/>
      <c r="K29" s="98"/>
      <c r="L29" s="96"/>
      <c r="M29" s="96"/>
      <c r="N29" s="96"/>
      <c r="O29" s="98"/>
      <c r="P29" s="98"/>
      <c r="Q29" s="98"/>
      <c r="R29" s="96"/>
    </row>
    <row r="30" spans="1:18" x14ac:dyDescent="0.3">
      <c r="A30" s="94">
        <v>26</v>
      </c>
      <c r="B30" s="95"/>
      <c r="C30" s="96"/>
      <c r="D30" s="96"/>
      <c r="E30" s="97"/>
      <c r="F30" s="98"/>
      <c r="G30" s="98"/>
      <c r="H30" s="98"/>
      <c r="I30" s="98"/>
      <c r="J30" s="98"/>
      <c r="K30" s="98"/>
      <c r="L30" s="96"/>
      <c r="M30" s="96"/>
      <c r="N30" s="96"/>
      <c r="O30" s="98"/>
      <c r="P30" s="98"/>
      <c r="Q30" s="98"/>
      <c r="R30" s="96"/>
    </row>
    <row r="31" spans="1:18" x14ac:dyDescent="0.3">
      <c r="A31" s="94">
        <v>27</v>
      </c>
      <c r="B31" s="95"/>
      <c r="C31" s="96"/>
      <c r="D31" s="96"/>
      <c r="E31" s="97"/>
      <c r="F31" s="98"/>
      <c r="G31" s="98"/>
      <c r="H31" s="98"/>
      <c r="I31" s="98"/>
      <c r="J31" s="98"/>
      <c r="K31" s="98"/>
      <c r="L31" s="96"/>
      <c r="M31" s="96"/>
      <c r="N31" s="96"/>
      <c r="O31" s="98"/>
      <c r="P31" s="98"/>
      <c r="Q31" s="98"/>
      <c r="R31" s="96"/>
    </row>
    <row r="32" spans="1:18" x14ac:dyDescent="0.3">
      <c r="A32" s="94">
        <v>28</v>
      </c>
      <c r="B32" s="95"/>
      <c r="C32" s="96"/>
      <c r="D32" s="96"/>
      <c r="E32" s="97"/>
      <c r="F32" s="98"/>
      <c r="G32" s="98"/>
      <c r="H32" s="98"/>
      <c r="I32" s="98"/>
      <c r="J32" s="98"/>
      <c r="K32" s="98"/>
      <c r="L32" s="96"/>
      <c r="M32" s="96"/>
      <c r="N32" s="96"/>
      <c r="O32" s="98"/>
      <c r="P32" s="98"/>
      <c r="Q32" s="98"/>
      <c r="R32" s="96"/>
    </row>
    <row r="33" spans="1:18" x14ac:dyDescent="0.3">
      <c r="A33" s="94">
        <v>29</v>
      </c>
      <c r="B33" s="95"/>
      <c r="C33" s="96"/>
      <c r="D33" s="96"/>
      <c r="E33" s="97"/>
      <c r="F33" s="98"/>
      <c r="G33" s="98"/>
      <c r="H33" s="98"/>
      <c r="I33" s="98"/>
      <c r="J33" s="98"/>
      <c r="K33" s="98"/>
      <c r="L33" s="96"/>
      <c r="M33" s="96"/>
      <c r="N33" s="96"/>
      <c r="O33" s="98"/>
      <c r="P33" s="98"/>
      <c r="Q33" s="98"/>
      <c r="R33" s="96"/>
    </row>
    <row r="34" spans="1:18" x14ac:dyDescent="0.3">
      <c r="A34" s="94">
        <v>30</v>
      </c>
      <c r="B34" s="95"/>
      <c r="C34" s="96"/>
      <c r="D34" s="96"/>
      <c r="E34" s="97"/>
      <c r="F34" s="98"/>
      <c r="G34" s="98"/>
      <c r="H34" s="98"/>
      <c r="I34" s="98"/>
      <c r="J34" s="98"/>
      <c r="K34" s="98"/>
      <c r="L34" s="96"/>
      <c r="M34" s="96"/>
      <c r="N34" s="96"/>
      <c r="O34" s="98"/>
      <c r="P34" s="98"/>
      <c r="Q34" s="98"/>
      <c r="R34" s="96"/>
    </row>
    <row r="35" spans="1:18" x14ac:dyDescent="0.3">
      <c r="A35" s="94">
        <v>31</v>
      </c>
      <c r="B35" s="95"/>
      <c r="C35" s="96"/>
      <c r="D35" s="96"/>
      <c r="E35" s="97"/>
      <c r="F35" s="98"/>
      <c r="G35" s="98"/>
      <c r="H35" s="98"/>
      <c r="I35" s="98"/>
      <c r="J35" s="98"/>
      <c r="K35" s="98"/>
      <c r="L35" s="96"/>
      <c r="M35" s="96"/>
      <c r="N35" s="96"/>
      <c r="O35" s="98"/>
      <c r="P35" s="98"/>
      <c r="Q35" s="98"/>
      <c r="R35" s="96"/>
    </row>
    <row r="36" spans="1:18" x14ac:dyDescent="0.3">
      <c r="A36" s="94">
        <v>32</v>
      </c>
      <c r="B36" s="95"/>
      <c r="C36" s="96"/>
      <c r="D36" s="96"/>
      <c r="E36" s="97"/>
      <c r="F36" s="98"/>
      <c r="G36" s="98"/>
      <c r="H36" s="98"/>
      <c r="I36" s="98"/>
      <c r="J36" s="98"/>
      <c r="K36" s="98"/>
      <c r="L36" s="96"/>
      <c r="M36" s="96"/>
      <c r="N36" s="96"/>
      <c r="O36" s="98"/>
      <c r="P36" s="98"/>
      <c r="Q36" s="98"/>
      <c r="R36" s="96"/>
    </row>
    <row r="37" spans="1:18" x14ac:dyDescent="0.3">
      <c r="A37" s="94">
        <v>33</v>
      </c>
      <c r="B37" s="95"/>
      <c r="C37" s="96"/>
      <c r="D37" s="96"/>
      <c r="E37" s="97"/>
      <c r="F37" s="98"/>
      <c r="G37" s="98"/>
      <c r="H37" s="98"/>
      <c r="I37" s="98"/>
      <c r="J37" s="98"/>
      <c r="K37" s="98"/>
      <c r="L37" s="96"/>
      <c r="M37" s="96"/>
      <c r="N37" s="96"/>
      <c r="O37" s="98"/>
      <c r="P37" s="98"/>
      <c r="Q37" s="98"/>
      <c r="R37" s="96"/>
    </row>
    <row r="38" spans="1:18" x14ac:dyDescent="0.3">
      <c r="A38" s="94">
        <v>34</v>
      </c>
      <c r="B38" s="95"/>
      <c r="C38" s="96"/>
      <c r="D38" s="96"/>
      <c r="E38" s="97"/>
      <c r="F38" s="98"/>
      <c r="G38" s="98"/>
      <c r="H38" s="98"/>
      <c r="I38" s="98"/>
      <c r="J38" s="98"/>
      <c r="K38" s="98"/>
      <c r="L38" s="96"/>
      <c r="M38" s="96"/>
      <c r="N38" s="96"/>
      <c r="O38" s="98"/>
      <c r="P38" s="98"/>
      <c r="Q38" s="98"/>
      <c r="R38" s="96"/>
    </row>
    <row r="39" spans="1:18" x14ac:dyDescent="0.3">
      <c r="A39" s="94">
        <v>35</v>
      </c>
      <c r="B39" s="95"/>
      <c r="C39" s="96"/>
      <c r="D39" s="96"/>
      <c r="E39" s="97"/>
      <c r="F39" s="98"/>
      <c r="G39" s="98"/>
      <c r="H39" s="98"/>
      <c r="I39" s="98"/>
      <c r="J39" s="98"/>
      <c r="K39" s="98"/>
      <c r="L39" s="96"/>
      <c r="M39" s="96"/>
      <c r="N39" s="96"/>
      <c r="O39" s="98"/>
      <c r="P39" s="98"/>
      <c r="Q39" s="98"/>
      <c r="R39" s="96"/>
    </row>
    <row r="40" spans="1:18" x14ac:dyDescent="0.3">
      <c r="A40" s="94">
        <v>36</v>
      </c>
      <c r="B40" s="95"/>
      <c r="C40" s="96"/>
      <c r="D40" s="96"/>
      <c r="E40" s="97"/>
      <c r="F40" s="98"/>
      <c r="G40" s="98"/>
      <c r="H40" s="98"/>
      <c r="I40" s="98"/>
      <c r="J40" s="98"/>
      <c r="K40" s="98"/>
      <c r="L40" s="96"/>
      <c r="M40" s="96"/>
      <c r="N40" s="96"/>
      <c r="O40" s="98"/>
      <c r="P40" s="98"/>
      <c r="Q40" s="98"/>
      <c r="R40" s="96"/>
    </row>
    <row r="41" spans="1:18" x14ac:dyDescent="0.3">
      <c r="A41" s="94">
        <v>37</v>
      </c>
      <c r="B41" s="95"/>
      <c r="C41" s="96"/>
      <c r="D41" s="96"/>
      <c r="E41" s="97"/>
      <c r="F41" s="98"/>
      <c r="G41" s="98"/>
      <c r="H41" s="98"/>
      <c r="I41" s="98"/>
      <c r="J41" s="98"/>
      <c r="K41" s="98"/>
      <c r="L41" s="96"/>
      <c r="M41" s="96"/>
      <c r="N41" s="96"/>
      <c r="O41" s="98"/>
      <c r="P41" s="98"/>
      <c r="Q41" s="98"/>
      <c r="R41" s="96"/>
    </row>
    <row r="42" spans="1:18" x14ac:dyDescent="0.3">
      <c r="A42" s="94">
        <v>38</v>
      </c>
      <c r="B42" s="95"/>
      <c r="C42" s="96"/>
      <c r="D42" s="96"/>
      <c r="E42" s="97"/>
      <c r="F42" s="98"/>
      <c r="G42" s="98"/>
      <c r="H42" s="98"/>
      <c r="I42" s="98"/>
      <c r="J42" s="98"/>
      <c r="K42" s="98"/>
      <c r="L42" s="96"/>
      <c r="M42" s="96"/>
      <c r="N42" s="96"/>
      <c r="O42" s="98"/>
      <c r="P42" s="98"/>
      <c r="Q42" s="98"/>
      <c r="R42" s="96"/>
    </row>
    <row r="43" spans="1:18" x14ac:dyDescent="0.3">
      <c r="A43" s="94">
        <v>39</v>
      </c>
      <c r="B43" s="95"/>
      <c r="C43" s="96"/>
      <c r="D43" s="96"/>
      <c r="E43" s="97"/>
      <c r="F43" s="98"/>
      <c r="G43" s="98"/>
      <c r="H43" s="98"/>
      <c r="I43" s="98"/>
      <c r="J43" s="98"/>
      <c r="K43" s="98"/>
      <c r="L43" s="96"/>
      <c r="M43" s="96"/>
      <c r="N43" s="96"/>
      <c r="O43" s="98"/>
      <c r="P43" s="98"/>
      <c r="Q43" s="98"/>
      <c r="R43" s="96"/>
    </row>
    <row r="44" spans="1:18" x14ac:dyDescent="0.3">
      <c r="A44" s="94">
        <v>40</v>
      </c>
      <c r="B44" s="95"/>
      <c r="C44" s="96"/>
      <c r="D44" s="96"/>
      <c r="E44" s="97"/>
      <c r="F44" s="98"/>
      <c r="G44" s="98"/>
      <c r="H44" s="98"/>
      <c r="I44" s="98"/>
      <c r="J44" s="98"/>
      <c r="K44" s="98"/>
      <c r="L44" s="96"/>
      <c r="M44" s="96"/>
      <c r="N44" s="96"/>
      <c r="O44" s="98"/>
      <c r="P44" s="98"/>
      <c r="Q44" s="98"/>
      <c r="R44" s="96"/>
    </row>
    <row r="45" spans="1:18" ht="18.600000000000001" customHeight="1" thickBot="1" x14ac:dyDescent="0.35">
      <c r="A45" s="99" t="s">
        <v>24</v>
      </c>
      <c r="B45" s="100"/>
      <c r="C45" s="101"/>
      <c r="D45" s="100"/>
      <c r="E45" s="100"/>
      <c r="F45" s="102">
        <f t="shared" ref="F45:Q45" si="0">SUM(F19:F44)</f>
        <v>0</v>
      </c>
      <c r="G45" s="102">
        <f t="shared" si="0"/>
        <v>0</v>
      </c>
      <c r="H45" s="102">
        <f t="shared" si="0"/>
        <v>0</v>
      </c>
      <c r="I45" s="102">
        <f t="shared" si="0"/>
        <v>0</v>
      </c>
      <c r="J45" s="102">
        <f t="shared" si="0"/>
        <v>0</v>
      </c>
      <c r="K45" s="102">
        <f t="shared" si="0"/>
        <v>0</v>
      </c>
      <c r="L45" s="102">
        <f t="shared" si="0"/>
        <v>0</v>
      </c>
      <c r="M45" s="102">
        <f t="shared" si="0"/>
        <v>0</v>
      </c>
      <c r="N45" s="102">
        <f t="shared" si="0"/>
        <v>0</v>
      </c>
      <c r="O45" s="102">
        <f t="shared" si="0"/>
        <v>0</v>
      </c>
      <c r="P45" s="102">
        <f t="shared" si="0"/>
        <v>0</v>
      </c>
      <c r="Q45" s="102">
        <f t="shared" si="0"/>
        <v>0</v>
      </c>
      <c r="R45" s="103"/>
    </row>
    <row r="46" spans="1:18" ht="14.4" thickTop="1" x14ac:dyDescent="0.3">
      <c r="A46" s="104"/>
      <c r="B46" s="105"/>
      <c r="C46" s="104"/>
      <c r="D46" s="105"/>
      <c r="E46" s="105"/>
      <c r="F46" s="87"/>
      <c r="G46" s="87"/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88"/>
    </row>
    <row r="47" spans="1:18" x14ac:dyDescent="0.3">
      <c r="A47" s="104"/>
      <c r="B47" s="105"/>
      <c r="C47" s="104"/>
      <c r="D47" s="105"/>
      <c r="E47" s="105"/>
      <c r="F47" s="104"/>
      <c r="G47" s="104"/>
      <c r="H47" s="104"/>
      <c r="I47" s="104"/>
      <c r="J47" s="104"/>
      <c r="K47" s="104"/>
      <c r="L47" s="104"/>
      <c r="M47" s="104"/>
      <c r="N47" s="87"/>
      <c r="O47" s="87"/>
      <c r="P47" s="87"/>
      <c r="Q47" s="87"/>
      <c r="R47" s="88"/>
    </row>
    <row r="48" spans="1:18" x14ac:dyDescent="0.3">
      <c r="A48" s="87" t="s">
        <v>20</v>
      </c>
      <c r="B48" s="88"/>
      <c r="C48" s="87"/>
      <c r="D48" s="88" t="s">
        <v>21</v>
      </c>
      <c r="E48" s="88"/>
      <c r="F48" s="87"/>
      <c r="G48" s="87"/>
      <c r="H48" s="87"/>
      <c r="I48" s="87"/>
      <c r="J48" s="87"/>
      <c r="K48" s="87"/>
      <c r="L48" s="87"/>
      <c r="M48" s="87"/>
      <c r="N48" s="87"/>
      <c r="O48" s="87"/>
      <c r="P48" s="87"/>
      <c r="Q48" s="87"/>
      <c r="R48" s="88"/>
    </row>
    <row r="49" spans="1:18" x14ac:dyDescent="0.3">
      <c r="A49" s="87" t="s">
        <v>12</v>
      </c>
      <c r="B49" s="88"/>
      <c r="C49" s="87"/>
      <c r="D49" s="88" t="s">
        <v>16</v>
      </c>
      <c r="E49" s="88"/>
      <c r="F49" s="87"/>
      <c r="G49" s="87"/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8"/>
    </row>
    <row r="50" spans="1:18" x14ac:dyDescent="0.3">
      <c r="A50" s="87"/>
      <c r="B50" s="88"/>
      <c r="C50" s="87"/>
      <c r="D50" s="88" t="s">
        <v>22</v>
      </c>
      <c r="E50" s="88"/>
      <c r="F50" s="87"/>
      <c r="G50" s="87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8"/>
    </row>
    <row r="52" spans="1:18" s="106" customFormat="1" ht="15.6" customHeight="1" x14ac:dyDescent="0.3">
      <c r="A52" s="84" t="s">
        <v>41</v>
      </c>
      <c r="B52" s="84"/>
      <c r="C52" s="232" t="str">
        <f>C1</f>
        <v>S A M Perera</v>
      </c>
      <c r="D52" s="232"/>
      <c r="E52" s="232"/>
      <c r="F52" s="85"/>
      <c r="G52" s="85"/>
      <c r="H52" s="85"/>
      <c r="I52" s="85"/>
      <c r="J52" s="85"/>
      <c r="K52" s="85"/>
      <c r="L52" s="85"/>
      <c r="M52" s="85"/>
      <c r="N52" s="85"/>
      <c r="O52" s="85" t="s">
        <v>40</v>
      </c>
      <c r="P52" s="232" t="str">
        <f>P1</f>
        <v>SAM/CENTRAL/KY/NC/26/DEC/1</v>
      </c>
      <c r="Q52" s="232"/>
      <c r="R52" s="232"/>
    </row>
    <row r="53" spans="1:18" x14ac:dyDescent="0.3">
      <c r="A53" s="87"/>
      <c r="B53" s="88"/>
      <c r="C53" s="87"/>
      <c r="D53" s="88"/>
      <c r="E53" s="88"/>
      <c r="F53" s="87"/>
      <c r="G53" s="87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8"/>
    </row>
    <row r="54" spans="1:18" ht="23.4" customHeight="1" x14ac:dyDescent="0.3">
      <c r="A54" s="233" t="s">
        <v>141</v>
      </c>
      <c r="B54" s="234"/>
      <c r="C54" s="234"/>
      <c r="D54" s="234"/>
      <c r="E54" s="234"/>
      <c r="F54" s="234"/>
      <c r="G54" s="234"/>
      <c r="H54" s="234"/>
      <c r="I54" s="235"/>
      <c r="J54" s="233" t="s">
        <v>139</v>
      </c>
      <c r="K54" s="234"/>
      <c r="L54" s="234"/>
      <c r="M54" s="234"/>
      <c r="N54" s="234"/>
      <c r="O54" s="234"/>
      <c r="P54" s="234"/>
      <c r="Q54" s="234"/>
      <c r="R54" s="235"/>
    </row>
    <row r="55" spans="1:18" ht="69" customHeight="1" x14ac:dyDescent="0.3">
      <c r="A55" s="89" t="s">
        <v>122</v>
      </c>
      <c r="B55" s="90" t="s">
        <v>19</v>
      </c>
      <c r="C55" s="91" t="s">
        <v>18</v>
      </c>
      <c r="D55" s="92" t="s">
        <v>123</v>
      </c>
      <c r="E55" s="93" t="s">
        <v>30</v>
      </c>
      <c r="F55" s="90" t="s">
        <v>31</v>
      </c>
      <c r="G55" s="90" t="s">
        <v>32</v>
      </c>
      <c r="H55" s="90" t="s">
        <v>43</v>
      </c>
      <c r="I55" s="90" t="s">
        <v>42</v>
      </c>
      <c r="J55" s="90" t="s">
        <v>33</v>
      </c>
      <c r="K55" s="90" t="s">
        <v>38</v>
      </c>
      <c r="L55" s="90" t="s">
        <v>36</v>
      </c>
      <c r="M55" s="90" t="s">
        <v>52</v>
      </c>
      <c r="N55" s="90" t="s">
        <v>54</v>
      </c>
      <c r="O55" s="90" t="s">
        <v>34</v>
      </c>
      <c r="P55" s="90" t="s">
        <v>90</v>
      </c>
      <c r="Q55" s="90" t="s">
        <v>35</v>
      </c>
      <c r="R55" s="91" t="s">
        <v>39</v>
      </c>
    </row>
    <row r="56" spans="1:18" x14ac:dyDescent="0.3">
      <c r="A56" s="94">
        <v>1</v>
      </c>
      <c r="B56" s="90"/>
      <c r="C56" s="91"/>
      <c r="D56" s="92"/>
      <c r="E56" s="93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1"/>
    </row>
    <row r="57" spans="1:18" x14ac:dyDescent="0.3">
      <c r="A57" s="94">
        <v>2</v>
      </c>
      <c r="B57" s="90"/>
      <c r="C57" s="91"/>
      <c r="D57" s="92"/>
      <c r="E57" s="93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1"/>
    </row>
    <row r="58" spans="1:18" x14ac:dyDescent="0.3">
      <c r="A58" s="94">
        <v>3</v>
      </c>
      <c r="B58" s="90"/>
      <c r="C58" s="91"/>
      <c r="D58" s="92"/>
      <c r="E58" s="93"/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1"/>
    </row>
    <row r="59" spans="1:18" x14ac:dyDescent="0.3">
      <c r="A59" s="94">
        <v>4</v>
      </c>
      <c r="B59" s="90"/>
      <c r="C59" s="91"/>
      <c r="D59" s="92"/>
      <c r="E59" s="93"/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1"/>
    </row>
    <row r="60" spans="1:18" x14ac:dyDescent="0.3">
      <c r="A60" s="94">
        <v>5</v>
      </c>
      <c r="B60" s="90"/>
      <c r="C60" s="91"/>
      <c r="D60" s="92"/>
      <c r="E60" s="93"/>
      <c r="F60" s="90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1"/>
    </row>
    <row r="61" spans="1:18" x14ac:dyDescent="0.3">
      <c r="A61" s="94">
        <v>6</v>
      </c>
      <c r="B61" s="90"/>
      <c r="C61" s="91"/>
      <c r="D61" s="92"/>
      <c r="E61" s="93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1"/>
    </row>
    <row r="62" spans="1:18" x14ac:dyDescent="0.3">
      <c r="A62" s="94">
        <v>7</v>
      </c>
      <c r="B62" s="90"/>
      <c r="C62" s="91"/>
      <c r="D62" s="92"/>
      <c r="E62" s="93"/>
      <c r="F62" s="90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1"/>
    </row>
    <row r="63" spans="1:18" x14ac:dyDescent="0.3">
      <c r="A63" s="94">
        <v>8</v>
      </c>
      <c r="B63" s="90"/>
      <c r="C63" s="91"/>
      <c r="D63" s="92"/>
      <c r="E63" s="93"/>
      <c r="F63" s="90"/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1"/>
    </row>
    <row r="64" spans="1:18" x14ac:dyDescent="0.3">
      <c r="A64" s="94">
        <v>9</v>
      </c>
      <c r="B64" s="90"/>
      <c r="C64" s="91"/>
      <c r="D64" s="92"/>
      <c r="E64" s="93"/>
      <c r="F64" s="90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1"/>
    </row>
    <row r="65" spans="1:18" x14ac:dyDescent="0.3">
      <c r="A65" s="94">
        <v>10</v>
      </c>
      <c r="B65" s="90"/>
      <c r="C65" s="91"/>
      <c r="D65" s="92"/>
      <c r="E65" s="93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1"/>
    </row>
    <row r="66" spans="1:18" x14ac:dyDescent="0.3">
      <c r="A66" s="94">
        <v>11</v>
      </c>
      <c r="B66" s="90"/>
      <c r="C66" s="91"/>
      <c r="D66" s="92"/>
      <c r="E66" s="93"/>
      <c r="F66" s="90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1"/>
    </row>
    <row r="67" spans="1:18" x14ac:dyDescent="0.3">
      <c r="A67" s="94">
        <v>12</v>
      </c>
      <c r="B67" s="90"/>
      <c r="C67" s="91"/>
      <c r="D67" s="92"/>
      <c r="E67" s="93"/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1"/>
    </row>
    <row r="68" spans="1:18" x14ac:dyDescent="0.3">
      <c r="A68" s="94">
        <v>13</v>
      </c>
      <c r="B68" s="90"/>
      <c r="C68" s="91"/>
      <c r="D68" s="92"/>
      <c r="E68" s="93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1"/>
    </row>
    <row r="69" spans="1:18" x14ac:dyDescent="0.3">
      <c r="A69" s="94">
        <v>14</v>
      </c>
      <c r="B69" s="90"/>
      <c r="C69" s="91"/>
      <c r="D69" s="92"/>
      <c r="E69" s="93"/>
      <c r="F69" s="90"/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1"/>
    </row>
    <row r="70" spans="1:18" x14ac:dyDescent="0.3">
      <c r="A70" s="94">
        <v>15</v>
      </c>
      <c r="B70" s="95"/>
      <c r="C70" s="96"/>
      <c r="D70" s="96"/>
      <c r="E70" s="97"/>
      <c r="F70" s="98"/>
      <c r="G70" s="98"/>
      <c r="H70" s="98"/>
      <c r="I70" s="98"/>
      <c r="J70" s="98"/>
      <c r="K70" s="98"/>
      <c r="L70" s="96"/>
      <c r="M70" s="96"/>
      <c r="N70" s="96"/>
      <c r="O70" s="98"/>
      <c r="P70" s="98"/>
      <c r="Q70" s="98"/>
      <c r="R70" s="96"/>
    </row>
    <row r="71" spans="1:18" x14ac:dyDescent="0.3">
      <c r="A71" s="94">
        <v>16</v>
      </c>
      <c r="B71" s="95"/>
      <c r="C71" s="96"/>
      <c r="D71" s="96"/>
      <c r="E71" s="97"/>
      <c r="F71" s="98"/>
      <c r="G71" s="98"/>
      <c r="H71" s="98"/>
      <c r="I71" s="98"/>
      <c r="J71" s="98"/>
      <c r="K71" s="98"/>
      <c r="L71" s="96"/>
      <c r="M71" s="96"/>
      <c r="N71" s="96"/>
      <c r="O71" s="98"/>
      <c r="P71" s="98"/>
      <c r="Q71" s="98"/>
      <c r="R71" s="96"/>
    </row>
    <row r="72" spans="1:18" x14ac:dyDescent="0.3">
      <c r="A72" s="94">
        <v>17</v>
      </c>
      <c r="B72" s="95"/>
      <c r="C72" s="96"/>
      <c r="D72" s="96"/>
      <c r="E72" s="97"/>
      <c r="F72" s="98"/>
      <c r="G72" s="98"/>
      <c r="H72" s="98"/>
      <c r="I72" s="98"/>
      <c r="J72" s="98"/>
      <c r="K72" s="98"/>
      <c r="L72" s="96"/>
      <c r="M72" s="96"/>
      <c r="N72" s="96"/>
      <c r="O72" s="98"/>
      <c r="P72" s="98"/>
      <c r="Q72" s="98"/>
      <c r="R72" s="96"/>
    </row>
    <row r="73" spans="1:18" x14ac:dyDescent="0.3">
      <c r="A73" s="94">
        <v>18</v>
      </c>
      <c r="B73" s="95"/>
      <c r="C73" s="96"/>
      <c r="D73" s="96"/>
      <c r="E73" s="97"/>
      <c r="F73" s="98"/>
      <c r="G73" s="98"/>
      <c r="H73" s="98"/>
      <c r="I73" s="98"/>
      <c r="J73" s="98"/>
      <c r="K73" s="98"/>
      <c r="L73" s="96"/>
      <c r="M73" s="96"/>
      <c r="N73" s="96"/>
      <c r="O73" s="98"/>
      <c r="P73" s="98"/>
      <c r="Q73" s="98"/>
      <c r="R73" s="96"/>
    </row>
    <row r="74" spans="1:18" x14ac:dyDescent="0.3">
      <c r="A74" s="94">
        <v>19</v>
      </c>
      <c r="B74" s="95"/>
      <c r="C74" s="96"/>
      <c r="D74" s="96"/>
      <c r="E74" s="97"/>
      <c r="F74" s="98"/>
      <c r="G74" s="98"/>
      <c r="H74" s="98"/>
      <c r="I74" s="98"/>
      <c r="J74" s="98"/>
      <c r="K74" s="98"/>
      <c r="L74" s="96"/>
      <c r="M74" s="96"/>
      <c r="N74" s="96"/>
      <c r="O74" s="98"/>
      <c r="P74" s="98"/>
      <c r="Q74" s="98"/>
      <c r="R74" s="96"/>
    </row>
    <row r="75" spans="1:18" x14ac:dyDescent="0.3">
      <c r="A75" s="94">
        <v>20</v>
      </c>
      <c r="B75" s="95"/>
      <c r="C75" s="96"/>
      <c r="D75" s="96"/>
      <c r="E75" s="97"/>
      <c r="F75" s="98"/>
      <c r="G75" s="98"/>
      <c r="H75" s="98"/>
      <c r="I75" s="98"/>
      <c r="J75" s="98"/>
      <c r="K75" s="98"/>
      <c r="L75" s="96"/>
      <c r="M75" s="96"/>
      <c r="N75" s="96"/>
      <c r="O75" s="98"/>
      <c r="P75" s="98"/>
      <c r="Q75" s="98"/>
      <c r="R75" s="96"/>
    </row>
    <row r="76" spans="1:18" x14ac:dyDescent="0.3">
      <c r="A76" s="94">
        <v>21</v>
      </c>
      <c r="B76" s="95"/>
      <c r="C76" s="96"/>
      <c r="D76" s="96"/>
      <c r="E76" s="97"/>
      <c r="F76" s="98"/>
      <c r="G76" s="98"/>
      <c r="H76" s="98"/>
      <c r="I76" s="98"/>
      <c r="J76" s="98"/>
      <c r="K76" s="98"/>
      <c r="L76" s="96"/>
      <c r="M76" s="96"/>
      <c r="N76" s="96"/>
      <c r="O76" s="98"/>
      <c r="P76" s="98"/>
      <c r="Q76" s="98"/>
      <c r="R76" s="96"/>
    </row>
    <row r="77" spans="1:18" x14ac:dyDescent="0.3">
      <c r="A77" s="94">
        <v>22</v>
      </c>
      <c r="B77" s="95"/>
      <c r="C77" s="96"/>
      <c r="D77" s="96"/>
      <c r="E77" s="97"/>
      <c r="F77" s="98"/>
      <c r="G77" s="98"/>
      <c r="H77" s="98"/>
      <c r="I77" s="98"/>
      <c r="J77" s="98"/>
      <c r="K77" s="98"/>
      <c r="L77" s="96"/>
      <c r="M77" s="96"/>
      <c r="N77" s="96"/>
      <c r="O77" s="98"/>
      <c r="P77" s="98"/>
      <c r="Q77" s="98"/>
      <c r="R77" s="96"/>
    </row>
    <row r="78" spans="1:18" x14ac:dyDescent="0.3">
      <c r="A78" s="94">
        <v>23</v>
      </c>
      <c r="B78" s="95"/>
      <c r="C78" s="96"/>
      <c r="D78" s="96"/>
      <c r="E78" s="97"/>
      <c r="F78" s="98"/>
      <c r="G78" s="98"/>
      <c r="H78" s="98"/>
      <c r="I78" s="98"/>
      <c r="J78" s="98"/>
      <c r="K78" s="98"/>
      <c r="L78" s="96"/>
      <c r="M78" s="96"/>
      <c r="N78" s="96"/>
      <c r="O78" s="98"/>
      <c r="P78" s="98"/>
      <c r="Q78" s="98"/>
      <c r="R78" s="96"/>
    </row>
    <row r="79" spans="1:18" x14ac:dyDescent="0.3">
      <c r="A79" s="94">
        <v>24</v>
      </c>
      <c r="B79" s="95"/>
      <c r="C79" s="96"/>
      <c r="D79" s="96"/>
      <c r="E79" s="97"/>
      <c r="F79" s="98"/>
      <c r="G79" s="98"/>
      <c r="H79" s="98"/>
      <c r="I79" s="98"/>
      <c r="J79" s="98"/>
      <c r="K79" s="98"/>
      <c r="L79" s="96"/>
      <c r="M79" s="96"/>
      <c r="N79" s="96"/>
      <c r="O79" s="98"/>
      <c r="P79" s="98"/>
      <c r="Q79" s="98"/>
      <c r="R79" s="96"/>
    </row>
    <row r="80" spans="1:18" x14ac:dyDescent="0.3">
      <c r="A80" s="94">
        <v>25</v>
      </c>
      <c r="B80" s="95"/>
      <c r="C80" s="96"/>
      <c r="D80" s="96"/>
      <c r="E80" s="97"/>
      <c r="F80" s="98"/>
      <c r="G80" s="98"/>
      <c r="H80" s="98"/>
      <c r="I80" s="98"/>
      <c r="J80" s="98"/>
      <c r="K80" s="98"/>
      <c r="L80" s="96"/>
      <c r="M80" s="96"/>
      <c r="N80" s="96"/>
      <c r="O80" s="98"/>
      <c r="P80" s="98"/>
      <c r="Q80" s="98"/>
      <c r="R80" s="96"/>
    </row>
    <row r="81" spans="1:18" x14ac:dyDescent="0.3">
      <c r="A81" s="94">
        <v>26</v>
      </c>
      <c r="B81" s="95"/>
      <c r="C81" s="96"/>
      <c r="D81" s="96"/>
      <c r="E81" s="97"/>
      <c r="F81" s="98"/>
      <c r="G81" s="98"/>
      <c r="H81" s="98"/>
      <c r="I81" s="98"/>
      <c r="J81" s="98"/>
      <c r="K81" s="98"/>
      <c r="L81" s="96"/>
      <c r="M81" s="96"/>
      <c r="N81" s="96"/>
      <c r="O81" s="98"/>
      <c r="P81" s="98"/>
      <c r="Q81" s="98"/>
      <c r="R81" s="96"/>
    </row>
    <row r="82" spans="1:18" x14ac:dyDescent="0.3">
      <c r="A82" s="94">
        <v>27</v>
      </c>
      <c r="B82" s="95"/>
      <c r="C82" s="96"/>
      <c r="D82" s="96"/>
      <c r="E82" s="97"/>
      <c r="F82" s="98"/>
      <c r="G82" s="98"/>
      <c r="H82" s="98"/>
      <c r="I82" s="98"/>
      <c r="J82" s="98"/>
      <c r="K82" s="98"/>
      <c r="L82" s="96"/>
      <c r="M82" s="96"/>
      <c r="N82" s="96"/>
      <c r="O82" s="98"/>
      <c r="P82" s="98"/>
      <c r="Q82" s="98"/>
      <c r="R82" s="96"/>
    </row>
    <row r="83" spans="1:18" x14ac:dyDescent="0.3">
      <c r="A83" s="94">
        <v>28</v>
      </c>
      <c r="B83" s="95"/>
      <c r="C83" s="96"/>
      <c r="D83" s="96"/>
      <c r="E83" s="97"/>
      <c r="F83" s="98"/>
      <c r="G83" s="98"/>
      <c r="H83" s="98"/>
      <c r="I83" s="98"/>
      <c r="J83" s="98"/>
      <c r="K83" s="98"/>
      <c r="L83" s="96"/>
      <c r="M83" s="96"/>
      <c r="N83" s="96"/>
      <c r="O83" s="98"/>
      <c r="P83" s="98"/>
      <c r="Q83" s="98"/>
      <c r="R83" s="96"/>
    </row>
    <row r="84" spans="1:18" x14ac:dyDescent="0.3">
      <c r="A84" s="94">
        <v>29</v>
      </c>
      <c r="B84" s="95"/>
      <c r="C84" s="96"/>
      <c r="D84" s="96"/>
      <c r="E84" s="97"/>
      <c r="F84" s="98"/>
      <c r="G84" s="98"/>
      <c r="H84" s="98"/>
      <c r="I84" s="98"/>
      <c r="J84" s="98"/>
      <c r="K84" s="98"/>
      <c r="L84" s="96"/>
      <c r="M84" s="96"/>
      <c r="N84" s="96"/>
      <c r="O84" s="98"/>
      <c r="P84" s="98"/>
      <c r="Q84" s="98"/>
      <c r="R84" s="96"/>
    </row>
    <row r="85" spans="1:18" x14ac:dyDescent="0.3">
      <c r="A85" s="94">
        <v>30</v>
      </c>
      <c r="B85" s="95"/>
      <c r="C85" s="96"/>
      <c r="D85" s="96"/>
      <c r="E85" s="97"/>
      <c r="F85" s="98"/>
      <c r="G85" s="98"/>
      <c r="H85" s="98"/>
      <c r="I85" s="98"/>
      <c r="J85" s="98"/>
      <c r="K85" s="98"/>
      <c r="L85" s="96"/>
      <c r="M85" s="96"/>
      <c r="N85" s="96"/>
      <c r="O85" s="98"/>
      <c r="P85" s="98"/>
      <c r="Q85" s="98"/>
      <c r="R85" s="96"/>
    </row>
    <row r="86" spans="1:18" x14ac:dyDescent="0.3">
      <c r="A86" s="94">
        <v>31</v>
      </c>
      <c r="B86" s="95"/>
      <c r="C86" s="96"/>
      <c r="D86" s="96"/>
      <c r="E86" s="97"/>
      <c r="F86" s="98"/>
      <c r="G86" s="98"/>
      <c r="H86" s="98"/>
      <c r="I86" s="98"/>
      <c r="J86" s="98"/>
      <c r="K86" s="98"/>
      <c r="L86" s="96"/>
      <c r="M86" s="96"/>
      <c r="N86" s="96"/>
      <c r="O86" s="98"/>
      <c r="P86" s="98"/>
      <c r="Q86" s="98"/>
      <c r="R86" s="96"/>
    </row>
    <row r="87" spans="1:18" x14ac:dyDescent="0.3">
      <c r="A87" s="94">
        <v>32</v>
      </c>
      <c r="B87" s="95"/>
      <c r="C87" s="96"/>
      <c r="D87" s="96"/>
      <c r="E87" s="97"/>
      <c r="F87" s="98"/>
      <c r="G87" s="98"/>
      <c r="H87" s="98"/>
      <c r="I87" s="98"/>
      <c r="J87" s="98"/>
      <c r="K87" s="98"/>
      <c r="L87" s="96"/>
      <c r="M87" s="96"/>
      <c r="N87" s="96"/>
      <c r="O87" s="98"/>
      <c r="P87" s="98"/>
      <c r="Q87" s="98"/>
      <c r="R87" s="96"/>
    </row>
    <row r="88" spans="1:18" x14ac:dyDescent="0.3">
      <c r="A88" s="94">
        <v>33</v>
      </c>
      <c r="B88" s="95"/>
      <c r="C88" s="96"/>
      <c r="D88" s="96"/>
      <c r="E88" s="97"/>
      <c r="F88" s="98"/>
      <c r="G88" s="98"/>
      <c r="H88" s="98"/>
      <c r="I88" s="98"/>
      <c r="J88" s="98"/>
      <c r="K88" s="98"/>
      <c r="L88" s="96"/>
      <c r="M88" s="96"/>
      <c r="N88" s="96"/>
      <c r="O88" s="98"/>
      <c r="P88" s="98"/>
      <c r="Q88" s="98"/>
      <c r="R88" s="96"/>
    </row>
    <row r="89" spans="1:18" x14ac:dyDescent="0.3">
      <c r="A89" s="94">
        <v>34</v>
      </c>
      <c r="B89" s="95"/>
      <c r="C89" s="96"/>
      <c r="D89" s="96"/>
      <c r="E89" s="97"/>
      <c r="F89" s="98"/>
      <c r="G89" s="98"/>
      <c r="H89" s="98"/>
      <c r="I89" s="98"/>
      <c r="J89" s="98"/>
      <c r="K89" s="98"/>
      <c r="L89" s="96"/>
      <c r="M89" s="96"/>
      <c r="N89" s="96"/>
      <c r="O89" s="98"/>
      <c r="P89" s="98"/>
      <c r="Q89" s="98"/>
      <c r="R89" s="96"/>
    </row>
    <row r="90" spans="1:18" x14ac:dyDescent="0.3">
      <c r="A90" s="94">
        <v>35</v>
      </c>
      <c r="B90" s="95"/>
      <c r="C90" s="96"/>
      <c r="D90" s="96"/>
      <c r="E90" s="97"/>
      <c r="F90" s="98"/>
      <c r="G90" s="98"/>
      <c r="H90" s="98"/>
      <c r="I90" s="98"/>
      <c r="J90" s="98"/>
      <c r="K90" s="98"/>
      <c r="L90" s="96"/>
      <c r="M90" s="96"/>
      <c r="N90" s="96"/>
      <c r="O90" s="98"/>
      <c r="P90" s="98"/>
      <c r="Q90" s="98"/>
      <c r="R90" s="96"/>
    </row>
    <row r="91" spans="1:18" x14ac:dyDescent="0.3">
      <c r="A91" s="94">
        <v>36</v>
      </c>
      <c r="B91" s="95"/>
      <c r="C91" s="96"/>
      <c r="D91" s="96"/>
      <c r="E91" s="97"/>
      <c r="F91" s="98"/>
      <c r="G91" s="98"/>
      <c r="H91" s="98"/>
      <c r="I91" s="98"/>
      <c r="J91" s="98"/>
      <c r="K91" s="98"/>
      <c r="L91" s="96"/>
      <c r="M91" s="96"/>
      <c r="N91" s="96"/>
      <c r="O91" s="98"/>
      <c r="P91" s="98"/>
      <c r="Q91" s="98"/>
      <c r="R91" s="96"/>
    </row>
    <row r="92" spans="1:18" x14ac:dyDescent="0.3">
      <c r="A92" s="94">
        <v>37</v>
      </c>
      <c r="B92" s="95"/>
      <c r="C92" s="96"/>
      <c r="D92" s="96"/>
      <c r="E92" s="97"/>
      <c r="F92" s="98"/>
      <c r="G92" s="98"/>
      <c r="H92" s="98"/>
      <c r="I92" s="98"/>
      <c r="J92" s="98"/>
      <c r="K92" s="98"/>
      <c r="L92" s="96"/>
      <c r="M92" s="96"/>
      <c r="N92" s="96"/>
      <c r="O92" s="98"/>
      <c r="P92" s="98"/>
      <c r="Q92" s="98"/>
      <c r="R92" s="96"/>
    </row>
    <row r="93" spans="1:18" x14ac:dyDescent="0.3">
      <c r="A93" s="94">
        <v>38</v>
      </c>
      <c r="B93" s="95"/>
      <c r="C93" s="96"/>
      <c r="D93" s="96"/>
      <c r="E93" s="97"/>
      <c r="F93" s="98"/>
      <c r="G93" s="98"/>
      <c r="H93" s="98"/>
      <c r="I93" s="98"/>
      <c r="J93" s="98"/>
      <c r="K93" s="98"/>
      <c r="L93" s="96"/>
      <c r="M93" s="96"/>
      <c r="N93" s="96"/>
      <c r="O93" s="98"/>
      <c r="P93" s="98"/>
      <c r="Q93" s="98"/>
      <c r="R93" s="96"/>
    </row>
    <row r="94" spans="1:18" x14ac:dyDescent="0.3">
      <c r="A94" s="94">
        <v>39</v>
      </c>
      <c r="B94" s="95"/>
      <c r="C94" s="96"/>
      <c r="D94" s="96"/>
      <c r="E94" s="97"/>
      <c r="F94" s="98"/>
      <c r="G94" s="98"/>
      <c r="H94" s="98"/>
      <c r="I94" s="98"/>
      <c r="J94" s="98"/>
      <c r="K94" s="98"/>
      <c r="L94" s="96"/>
      <c r="M94" s="96"/>
      <c r="N94" s="96"/>
      <c r="O94" s="98"/>
      <c r="P94" s="98"/>
      <c r="Q94" s="98"/>
      <c r="R94" s="96"/>
    </row>
    <row r="95" spans="1:18" x14ac:dyDescent="0.3">
      <c r="A95" s="94">
        <v>40</v>
      </c>
      <c r="B95" s="95"/>
      <c r="C95" s="96"/>
      <c r="D95" s="96"/>
      <c r="E95" s="97"/>
      <c r="F95" s="98"/>
      <c r="G95" s="98"/>
      <c r="H95" s="98"/>
      <c r="I95" s="98"/>
      <c r="J95" s="98"/>
      <c r="K95" s="98"/>
      <c r="L95" s="96"/>
      <c r="M95" s="96"/>
      <c r="N95" s="96"/>
      <c r="O95" s="98"/>
      <c r="P95" s="98"/>
      <c r="Q95" s="98"/>
      <c r="R95" s="96"/>
    </row>
    <row r="96" spans="1:18" ht="18.600000000000001" customHeight="1" thickBot="1" x14ac:dyDescent="0.35">
      <c r="A96" s="99" t="s">
        <v>24</v>
      </c>
      <c r="B96" s="100"/>
      <c r="C96" s="101"/>
      <c r="D96" s="100"/>
      <c r="E96" s="100"/>
      <c r="F96" s="102">
        <f t="shared" ref="F96:Q96" si="1">SUM(F70:F95)</f>
        <v>0</v>
      </c>
      <c r="G96" s="102">
        <f t="shared" si="1"/>
        <v>0</v>
      </c>
      <c r="H96" s="102">
        <f t="shared" si="1"/>
        <v>0</v>
      </c>
      <c r="I96" s="102">
        <f t="shared" si="1"/>
        <v>0</v>
      </c>
      <c r="J96" s="102">
        <f t="shared" si="1"/>
        <v>0</v>
      </c>
      <c r="K96" s="102">
        <f t="shared" si="1"/>
        <v>0</v>
      </c>
      <c r="L96" s="102">
        <f t="shared" si="1"/>
        <v>0</v>
      </c>
      <c r="M96" s="102">
        <f t="shared" si="1"/>
        <v>0</v>
      </c>
      <c r="N96" s="102">
        <f t="shared" si="1"/>
        <v>0</v>
      </c>
      <c r="O96" s="102">
        <f t="shared" si="1"/>
        <v>0</v>
      </c>
      <c r="P96" s="102">
        <f t="shared" si="1"/>
        <v>0</v>
      </c>
      <c r="Q96" s="102">
        <f t="shared" si="1"/>
        <v>0</v>
      </c>
      <c r="R96" s="103"/>
    </row>
    <row r="97" spans="1:18" ht="14.4" thickTop="1" x14ac:dyDescent="0.3">
      <c r="A97" s="104"/>
      <c r="B97" s="105"/>
      <c r="C97" s="104"/>
      <c r="D97" s="105"/>
      <c r="E97" s="105"/>
      <c r="F97" s="87"/>
      <c r="G97" s="87"/>
      <c r="H97" s="87"/>
      <c r="I97" s="87"/>
      <c r="J97" s="87"/>
      <c r="K97" s="87"/>
      <c r="L97" s="87"/>
      <c r="M97" s="87"/>
      <c r="N97" s="87"/>
      <c r="O97" s="87"/>
      <c r="P97" s="87"/>
      <c r="Q97" s="87"/>
      <c r="R97" s="88"/>
    </row>
    <row r="98" spans="1:18" x14ac:dyDescent="0.3">
      <c r="A98" s="104"/>
      <c r="B98" s="105"/>
      <c r="C98" s="104"/>
      <c r="D98" s="105"/>
      <c r="E98" s="105"/>
      <c r="F98" s="104"/>
      <c r="G98" s="104"/>
      <c r="H98" s="104"/>
      <c r="I98" s="104"/>
      <c r="J98" s="104"/>
      <c r="K98" s="104"/>
      <c r="L98" s="104"/>
      <c r="M98" s="104"/>
      <c r="N98" s="87"/>
      <c r="O98" s="87"/>
      <c r="P98" s="87"/>
      <c r="Q98" s="87"/>
      <c r="R98" s="88"/>
    </row>
    <row r="99" spans="1:18" x14ac:dyDescent="0.3">
      <c r="A99" s="87" t="s">
        <v>20</v>
      </c>
      <c r="B99" s="88"/>
      <c r="C99" s="87"/>
      <c r="D99" s="88" t="s">
        <v>21</v>
      </c>
      <c r="E99" s="88"/>
      <c r="F99" s="87"/>
      <c r="G99" s="87"/>
      <c r="H99" s="87"/>
      <c r="I99" s="87"/>
      <c r="J99" s="87"/>
      <c r="K99" s="87"/>
      <c r="L99" s="87"/>
      <c r="M99" s="87"/>
      <c r="N99" s="87"/>
      <c r="O99" s="87"/>
      <c r="P99" s="87"/>
      <c r="Q99" s="87"/>
      <c r="R99" s="88"/>
    </row>
    <row r="100" spans="1:18" x14ac:dyDescent="0.3">
      <c r="A100" s="87" t="s">
        <v>12</v>
      </c>
      <c r="B100" s="88"/>
      <c r="C100" s="87"/>
      <c r="D100" s="88" t="s">
        <v>16</v>
      </c>
      <c r="E100" s="88"/>
      <c r="F100" s="87"/>
      <c r="G100" s="87"/>
      <c r="H100" s="87"/>
      <c r="I100" s="87"/>
      <c r="J100" s="87"/>
      <c r="K100" s="87"/>
      <c r="L100" s="87"/>
      <c r="M100" s="87"/>
      <c r="N100" s="87"/>
      <c r="O100" s="87"/>
      <c r="P100" s="87"/>
      <c r="Q100" s="87"/>
      <c r="R100" s="88"/>
    </row>
    <row r="101" spans="1:18" x14ac:dyDescent="0.3">
      <c r="A101" s="87"/>
      <c r="B101" s="88"/>
      <c r="C101" s="87"/>
      <c r="D101" s="88" t="s">
        <v>22</v>
      </c>
      <c r="E101" s="88"/>
      <c r="F101" s="87"/>
      <c r="G101" s="87"/>
      <c r="H101" s="87"/>
      <c r="I101" s="87"/>
      <c r="J101" s="87"/>
      <c r="K101" s="87"/>
      <c r="L101" s="87"/>
      <c r="M101" s="87"/>
      <c r="N101" s="87"/>
      <c r="O101" s="87"/>
      <c r="P101" s="87"/>
      <c r="Q101" s="87"/>
      <c r="R101" s="88"/>
    </row>
    <row r="103" spans="1:18" s="106" customFormat="1" ht="15.6" customHeight="1" x14ac:dyDescent="0.3">
      <c r="A103" s="84" t="s">
        <v>41</v>
      </c>
      <c r="B103" s="84"/>
      <c r="C103" s="232" t="str">
        <f>C52</f>
        <v>S A M Perera</v>
      </c>
      <c r="D103" s="232"/>
      <c r="E103" s="232"/>
      <c r="F103" s="85"/>
      <c r="G103" s="85"/>
      <c r="H103" s="85"/>
      <c r="I103" s="85"/>
      <c r="J103" s="85"/>
      <c r="K103" s="85"/>
      <c r="L103" s="85"/>
      <c r="M103" s="85"/>
      <c r="N103" s="85"/>
      <c r="O103" s="85" t="s">
        <v>40</v>
      </c>
      <c r="P103" s="232" t="str">
        <f>P52</f>
        <v>SAM/CENTRAL/KY/NC/26/DEC/1</v>
      </c>
      <c r="Q103" s="232"/>
      <c r="R103" s="232"/>
    </row>
    <row r="104" spans="1:18" x14ac:dyDescent="0.3">
      <c r="A104" s="87"/>
      <c r="B104" s="88"/>
      <c r="C104" s="87"/>
      <c r="D104" s="88"/>
      <c r="E104" s="88"/>
      <c r="F104" s="87"/>
      <c r="G104" s="87"/>
      <c r="H104" s="87"/>
      <c r="I104" s="87"/>
      <c r="J104" s="87"/>
      <c r="K104" s="87"/>
      <c r="L104" s="87"/>
      <c r="M104" s="87"/>
      <c r="N104" s="87"/>
      <c r="O104" s="87"/>
      <c r="P104" s="87"/>
      <c r="Q104" s="87"/>
      <c r="R104" s="88"/>
    </row>
    <row r="105" spans="1:18" ht="23.4" customHeight="1" x14ac:dyDescent="0.3">
      <c r="A105" s="233" t="s">
        <v>142</v>
      </c>
      <c r="B105" s="234"/>
      <c r="C105" s="234"/>
      <c r="D105" s="234"/>
      <c r="E105" s="234"/>
      <c r="F105" s="234"/>
      <c r="G105" s="234"/>
      <c r="H105" s="234"/>
      <c r="I105" s="235"/>
      <c r="J105" s="233" t="s">
        <v>139</v>
      </c>
      <c r="K105" s="234"/>
      <c r="L105" s="234"/>
      <c r="M105" s="234"/>
      <c r="N105" s="234"/>
      <c r="O105" s="234"/>
      <c r="P105" s="234"/>
      <c r="Q105" s="234"/>
      <c r="R105" s="235"/>
    </row>
    <row r="106" spans="1:18" ht="69" customHeight="1" x14ac:dyDescent="0.3">
      <c r="A106" s="89" t="s">
        <v>122</v>
      </c>
      <c r="B106" s="90" t="s">
        <v>19</v>
      </c>
      <c r="C106" s="91" t="s">
        <v>18</v>
      </c>
      <c r="D106" s="92" t="s">
        <v>123</v>
      </c>
      <c r="E106" s="93" t="s">
        <v>30</v>
      </c>
      <c r="F106" s="90" t="s">
        <v>31</v>
      </c>
      <c r="G106" s="90" t="s">
        <v>32</v>
      </c>
      <c r="H106" s="90" t="s">
        <v>43</v>
      </c>
      <c r="I106" s="90" t="s">
        <v>42</v>
      </c>
      <c r="J106" s="90" t="s">
        <v>33</v>
      </c>
      <c r="K106" s="90" t="s">
        <v>38</v>
      </c>
      <c r="L106" s="90" t="s">
        <v>36</v>
      </c>
      <c r="M106" s="90" t="s">
        <v>52</v>
      </c>
      <c r="N106" s="90" t="s">
        <v>54</v>
      </c>
      <c r="O106" s="90" t="s">
        <v>34</v>
      </c>
      <c r="P106" s="90" t="s">
        <v>90</v>
      </c>
      <c r="Q106" s="90" t="s">
        <v>35</v>
      </c>
      <c r="R106" s="91" t="s">
        <v>39</v>
      </c>
    </row>
    <row r="107" spans="1:18" x14ac:dyDescent="0.3">
      <c r="A107" s="94">
        <v>1</v>
      </c>
      <c r="B107" s="90"/>
      <c r="C107" s="91"/>
      <c r="D107" s="92"/>
      <c r="E107" s="93"/>
      <c r="F107" s="90"/>
      <c r="G107" s="90"/>
      <c r="H107" s="90"/>
      <c r="I107" s="90"/>
      <c r="J107" s="90"/>
      <c r="K107" s="90"/>
      <c r="L107" s="90"/>
      <c r="M107" s="90"/>
      <c r="N107" s="90"/>
      <c r="O107" s="90"/>
      <c r="P107" s="90"/>
      <c r="Q107" s="90"/>
      <c r="R107" s="91"/>
    </row>
    <row r="108" spans="1:18" x14ac:dyDescent="0.3">
      <c r="A108" s="94">
        <v>2</v>
      </c>
      <c r="B108" s="90"/>
      <c r="C108" s="91"/>
      <c r="D108" s="92"/>
      <c r="E108" s="93"/>
      <c r="F108" s="90"/>
      <c r="G108" s="90"/>
      <c r="H108" s="90"/>
      <c r="I108" s="90"/>
      <c r="J108" s="90"/>
      <c r="K108" s="90"/>
      <c r="L108" s="90"/>
      <c r="M108" s="90"/>
      <c r="N108" s="90"/>
      <c r="O108" s="90"/>
      <c r="P108" s="90"/>
      <c r="Q108" s="90"/>
      <c r="R108" s="91"/>
    </row>
    <row r="109" spans="1:18" x14ac:dyDescent="0.3">
      <c r="A109" s="94">
        <v>3</v>
      </c>
      <c r="B109" s="90"/>
      <c r="C109" s="91"/>
      <c r="D109" s="92"/>
      <c r="E109" s="93"/>
      <c r="F109" s="90"/>
      <c r="G109" s="90"/>
      <c r="H109" s="90"/>
      <c r="I109" s="90"/>
      <c r="J109" s="90"/>
      <c r="K109" s="90"/>
      <c r="L109" s="90"/>
      <c r="M109" s="90"/>
      <c r="N109" s="90"/>
      <c r="O109" s="90"/>
      <c r="P109" s="90"/>
      <c r="Q109" s="90"/>
      <c r="R109" s="91"/>
    </row>
    <row r="110" spans="1:18" x14ac:dyDescent="0.3">
      <c r="A110" s="94">
        <v>4</v>
      </c>
      <c r="B110" s="90"/>
      <c r="C110" s="91"/>
      <c r="D110" s="92"/>
      <c r="E110" s="93"/>
      <c r="F110" s="90"/>
      <c r="G110" s="90"/>
      <c r="H110" s="90"/>
      <c r="I110" s="90"/>
      <c r="J110" s="90"/>
      <c r="K110" s="90"/>
      <c r="L110" s="90"/>
      <c r="M110" s="90"/>
      <c r="N110" s="90"/>
      <c r="O110" s="90"/>
      <c r="P110" s="90"/>
      <c r="Q110" s="90"/>
      <c r="R110" s="91"/>
    </row>
    <row r="111" spans="1:18" x14ac:dyDescent="0.3">
      <c r="A111" s="94">
        <v>5</v>
      </c>
      <c r="B111" s="90"/>
      <c r="C111" s="91"/>
      <c r="D111" s="92"/>
      <c r="E111" s="93"/>
      <c r="F111" s="90"/>
      <c r="G111" s="90"/>
      <c r="H111" s="90"/>
      <c r="I111" s="90"/>
      <c r="J111" s="90"/>
      <c r="K111" s="90"/>
      <c r="L111" s="90"/>
      <c r="M111" s="90"/>
      <c r="N111" s="90"/>
      <c r="O111" s="90"/>
      <c r="P111" s="90"/>
      <c r="Q111" s="90"/>
      <c r="R111" s="91"/>
    </row>
    <row r="112" spans="1:18" x14ac:dyDescent="0.3">
      <c r="A112" s="94">
        <v>6</v>
      </c>
      <c r="B112" s="90"/>
      <c r="C112" s="91"/>
      <c r="D112" s="92"/>
      <c r="E112" s="93"/>
      <c r="F112" s="90"/>
      <c r="G112" s="90"/>
      <c r="H112" s="90"/>
      <c r="I112" s="90"/>
      <c r="J112" s="90"/>
      <c r="K112" s="90"/>
      <c r="L112" s="90"/>
      <c r="M112" s="90"/>
      <c r="N112" s="90"/>
      <c r="O112" s="90"/>
      <c r="P112" s="90"/>
      <c r="Q112" s="90"/>
      <c r="R112" s="91"/>
    </row>
    <row r="113" spans="1:18" x14ac:dyDescent="0.3">
      <c r="A113" s="94">
        <v>7</v>
      </c>
      <c r="B113" s="90"/>
      <c r="C113" s="91"/>
      <c r="D113" s="92"/>
      <c r="E113" s="93"/>
      <c r="F113" s="90"/>
      <c r="G113" s="90"/>
      <c r="H113" s="90"/>
      <c r="I113" s="90"/>
      <c r="J113" s="90"/>
      <c r="K113" s="90"/>
      <c r="L113" s="90"/>
      <c r="M113" s="90"/>
      <c r="N113" s="90"/>
      <c r="O113" s="90"/>
      <c r="P113" s="90"/>
      <c r="Q113" s="90"/>
      <c r="R113" s="91"/>
    </row>
    <row r="114" spans="1:18" x14ac:dyDescent="0.3">
      <c r="A114" s="94">
        <v>8</v>
      </c>
      <c r="B114" s="90"/>
      <c r="C114" s="91"/>
      <c r="D114" s="92"/>
      <c r="E114" s="93"/>
      <c r="F114" s="90"/>
      <c r="G114" s="90"/>
      <c r="H114" s="90"/>
      <c r="I114" s="90"/>
      <c r="J114" s="90"/>
      <c r="K114" s="90"/>
      <c r="L114" s="90"/>
      <c r="M114" s="90"/>
      <c r="N114" s="90"/>
      <c r="O114" s="90"/>
      <c r="P114" s="90"/>
      <c r="Q114" s="90"/>
      <c r="R114" s="91"/>
    </row>
    <row r="115" spans="1:18" x14ac:dyDescent="0.3">
      <c r="A115" s="94">
        <v>9</v>
      </c>
      <c r="B115" s="90"/>
      <c r="C115" s="91"/>
      <c r="D115" s="92"/>
      <c r="E115" s="93"/>
      <c r="F115" s="90"/>
      <c r="G115" s="90"/>
      <c r="H115" s="90"/>
      <c r="I115" s="90"/>
      <c r="J115" s="90"/>
      <c r="K115" s="90"/>
      <c r="L115" s="90"/>
      <c r="M115" s="90"/>
      <c r="N115" s="90"/>
      <c r="O115" s="90"/>
      <c r="P115" s="90"/>
      <c r="Q115" s="90"/>
      <c r="R115" s="91"/>
    </row>
    <row r="116" spans="1:18" x14ac:dyDescent="0.3">
      <c r="A116" s="94">
        <v>10</v>
      </c>
      <c r="B116" s="90"/>
      <c r="C116" s="91"/>
      <c r="D116" s="92"/>
      <c r="E116" s="93"/>
      <c r="F116" s="90"/>
      <c r="G116" s="90"/>
      <c r="H116" s="90"/>
      <c r="I116" s="90"/>
      <c r="J116" s="90"/>
      <c r="K116" s="90"/>
      <c r="L116" s="90"/>
      <c r="M116" s="90"/>
      <c r="N116" s="90"/>
      <c r="O116" s="90"/>
      <c r="P116" s="90"/>
      <c r="Q116" s="90"/>
      <c r="R116" s="91"/>
    </row>
    <row r="117" spans="1:18" x14ac:dyDescent="0.3">
      <c r="A117" s="94">
        <v>11</v>
      </c>
      <c r="B117" s="90"/>
      <c r="C117" s="91"/>
      <c r="D117" s="92"/>
      <c r="E117" s="93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1"/>
    </row>
    <row r="118" spans="1:18" x14ac:dyDescent="0.3">
      <c r="A118" s="94">
        <v>12</v>
      </c>
      <c r="B118" s="90"/>
      <c r="C118" s="91"/>
      <c r="D118" s="92"/>
      <c r="E118" s="93"/>
      <c r="F118" s="90"/>
      <c r="G118" s="90"/>
      <c r="H118" s="90"/>
      <c r="I118" s="90"/>
      <c r="J118" s="90"/>
      <c r="K118" s="90"/>
      <c r="L118" s="90"/>
      <c r="M118" s="90"/>
      <c r="N118" s="90"/>
      <c r="O118" s="90"/>
      <c r="P118" s="90"/>
      <c r="Q118" s="90"/>
      <c r="R118" s="91"/>
    </row>
    <row r="119" spans="1:18" x14ac:dyDescent="0.3">
      <c r="A119" s="94">
        <v>13</v>
      </c>
      <c r="B119" s="90"/>
      <c r="C119" s="91"/>
      <c r="D119" s="92"/>
      <c r="E119" s="93"/>
      <c r="F119" s="90"/>
      <c r="G119" s="90"/>
      <c r="H119" s="90"/>
      <c r="I119" s="90"/>
      <c r="J119" s="90"/>
      <c r="K119" s="90"/>
      <c r="L119" s="90"/>
      <c r="M119" s="90"/>
      <c r="N119" s="90"/>
      <c r="O119" s="90"/>
      <c r="P119" s="90"/>
      <c r="Q119" s="90"/>
      <c r="R119" s="91"/>
    </row>
    <row r="120" spans="1:18" x14ac:dyDescent="0.3">
      <c r="A120" s="94">
        <v>14</v>
      </c>
      <c r="B120" s="90"/>
      <c r="C120" s="91"/>
      <c r="D120" s="92"/>
      <c r="E120" s="93"/>
      <c r="F120" s="90"/>
      <c r="G120" s="90"/>
      <c r="H120" s="90"/>
      <c r="I120" s="90"/>
      <c r="J120" s="90"/>
      <c r="K120" s="90"/>
      <c r="L120" s="90"/>
      <c r="M120" s="90"/>
      <c r="N120" s="90"/>
      <c r="O120" s="90"/>
      <c r="P120" s="90"/>
      <c r="Q120" s="90"/>
      <c r="R120" s="91"/>
    </row>
    <row r="121" spans="1:18" x14ac:dyDescent="0.3">
      <c r="A121" s="94">
        <v>15</v>
      </c>
      <c r="B121" s="95"/>
      <c r="C121" s="96"/>
      <c r="D121" s="96"/>
      <c r="E121" s="97"/>
      <c r="F121" s="98"/>
      <c r="G121" s="98"/>
      <c r="H121" s="98"/>
      <c r="I121" s="98"/>
      <c r="J121" s="98"/>
      <c r="K121" s="98"/>
      <c r="L121" s="96"/>
      <c r="M121" s="96"/>
      <c r="N121" s="96"/>
      <c r="O121" s="98"/>
      <c r="P121" s="98"/>
      <c r="Q121" s="98"/>
      <c r="R121" s="96"/>
    </row>
    <row r="122" spans="1:18" x14ac:dyDescent="0.3">
      <c r="A122" s="94">
        <v>16</v>
      </c>
      <c r="B122" s="95"/>
      <c r="C122" s="96"/>
      <c r="D122" s="96"/>
      <c r="E122" s="97"/>
      <c r="F122" s="98"/>
      <c r="G122" s="98"/>
      <c r="H122" s="98"/>
      <c r="I122" s="98"/>
      <c r="J122" s="98"/>
      <c r="K122" s="98"/>
      <c r="L122" s="96"/>
      <c r="M122" s="96"/>
      <c r="N122" s="96"/>
      <c r="O122" s="98"/>
      <c r="P122" s="98"/>
      <c r="Q122" s="98"/>
      <c r="R122" s="96"/>
    </row>
    <row r="123" spans="1:18" x14ac:dyDescent="0.3">
      <c r="A123" s="94">
        <v>17</v>
      </c>
      <c r="B123" s="95"/>
      <c r="C123" s="96"/>
      <c r="D123" s="96"/>
      <c r="E123" s="97"/>
      <c r="F123" s="98"/>
      <c r="G123" s="98"/>
      <c r="H123" s="98"/>
      <c r="I123" s="98"/>
      <c r="J123" s="98"/>
      <c r="K123" s="98"/>
      <c r="L123" s="96"/>
      <c r="M123" s="96"/>
      <c r="N123" s="96"/>
      <c r="O123" s="98"/>
      <c r="P123" s="98"/>
      <c r="Q123" s="98"/>
      <c r="R123" s="96"/>
    </row>
    <row r="124" spans="1:18" x14ac:dyDescent="0.3">
      <c r="A124" s="94">
        <v>18</v>
      </c>
      <c r="B124" s="95"/>
      <c r="C124" s="96"/>
      <c r="D124" s="96"/>
      <c r="E124" s="97"/>
      <c r="F124" s="98"/>
      <c r="G124" s="98"/>
      <c r="H124" s="98"/>
      <c r="I124" s="98"/>
      <c r="J124" s="98"/>
      <c r="K124" s="98"/>
      <c r="L124" s="96"/>
      <c r="M124" s="96"/>
      <c r="N124" s="96"/>
      <c r="O124" s="98"/>
      <c r="P124" s="98"/>
      <c r="Q124" s="98"/>
      <c r="R124" s="96"/>
    </row>
    <row r="125" spans="1:18" x14ac:dyDescent="0.3">
      <c r="A125" s="94">
        <v>19</v>
      </c>
      <c r="B125" s="95"/>
      <c r="C125" s="96"/>
      <c r="D125" s="96"/>
      <c r="E125" s="97"/>
      <c r="F125" s="98"/>
      <c r="G125" s="98"/>
      <c r="H125" s="98"/>
      <c r="I125" s="98"/>
      <c r="J125" s="98"/>
      <c r="K125" s="98"/>
      <c r="L125" s="96"/>
      <c r="M125" s="96"/>
      <c r="N125" s="96"/>
      <c r="O125" s="98"/>
      <c r="P125" s="98"/>
      <c r="Q125" s="98"/>
      <c r="R125" s="96"/>
    </row>
    <row r="126" spans="1:18" x14ac:dyDescent="0.3">
      <c r="A126" s="94">
        <v>20</v>
      </c>
      <c r="B126" s="95"/>
      <c r="C126" s="96"/>
      <c r="D126" s="96"/>
      <c r="E126" s="97"/>
      <c r="F126" s="98"/>
      <c r="G126" s="98"/>
      <c r="H126" s="98"/>
      <c r="I126" s="98"/>
      <c r="J126" s="98"/>
      <c r="K126" s="98"/>
      <c r="L126" s="96"/>
      <c r="M126" s="96"/>
      <c r="N126" s="96"/>
      <c r="O126" s="98"/>
      <c r="P126" s="98"/>
      <c r="Q126" s="98"/>
      <c r="R126" s="96"/>
    </row>
    <row r="127" spans="1:18" x14ac:dyDescent="0.3">
      <c r="A127" s="94">
        <v>21</v>
      </c>
      <c r="B127" s="95"/>
      <c r="C127" s="96"/>
      <c r="D127" s="96"/>
      <c r="E127" s="97"/>
      <c r="F127" s="98"/>
      <c r="G127" s="98"/>
      <c r="H127" s="98"/>
      <c r="I127" s="98"/>
      <c r="J127" s="98"/>
      <c r="K127" s="98"/>
      <c r="L127" s="96"/>
      <c r="M127" s="96"/>
      <c r="N127" s="96"/>
      <c r="O127" s="98"/>
      <c r="P127" s="98"/>
      <c r="Q127" s="98"/>
      <c r="R127" s="96"/>
    </row>
    <row r="128" spans="1:18" x14ac:dyDescent="0.3">
      <c r="A128" s="94">
        <v>22</v>
      </c>
      <c r="B128" s="95"/>
      <c r="C128" s="96"/>
      <c r="D128" s="96"/>
      <c r="E128" s="97"/>
      <c r="F128" s="98"/>
      <c r="G128" s="98"/>
      <c r="H128" s="98"/>
      <c r="I128" s="98"/>
      <c r="J128" s="98"/>
      <c r="K128" s="98"/>
      <c r="L128" s="96"/>
      <c r="M128" s="96"/>
      <c r="N128" s="96"/>
      <c r="O128" s="98"/>
      <c r="P128" s="98"/>
      <c r="Q128" s="98"/>
      <c r="R128" s="96"/>
    </row>
    <row r="129" spans="1:18" x14ac:dyDescent="0.3">
      <c r="A129" s="94">
        <v>23</v>
      </c>
      <c r="B129" s="95"/>
      <c r="C129" s="96"/>
      <c r="D129" s="96"/>
      <c r="E129" s="97"/>
      <c r="F129" s="98"/>
      <c r="G129" s="98"/>
      <c r="H129" s="98"/>
      <c r="I129" s="98"/>
      <c r="J129" s="98"/>
      <c r="K129" s="98"/>
      <c r="L129" s="96"/>
      <c r="M129" s="96"/>
      <c r="N129" s="96"/>
      <c r="O129" s="98"/>
      <c r="P129" s="98"/>
      <c r="Q129" s="98"/>
      <c r="R129" s="96"/>
    </row>
    <row r="130" spans="1:18" x14ac:dyDescent="0.3">
      <c r="A130" s="94">
        <v>24</v>
      </c>
      <c r="B130" s="95"/>
      <c r="C130" s="96"/>
      <c r="D130" s="96"/>
      <c r="E130" s="97"/>
      <c r="F130" s="98"/>
      <c r="G130" s="98"/>
      <c r="H130" s="98"/>
      <c r="I130" s="98"/>
      <c r="J130" s="98"/>
      <c r="K130" s="98"/>
      <c r="L130" s="96"/>
      <c r="M130" s="96"/>
      <c r="N130" s="96"/>
      <c r="O130" s="98"/>
      <c r="P130" s="98"/>
      <c r="Q130" s="98"/>
      <c r="R130" s="96"/>
    </row>
    <row r="131" spans="1:18" x14ac:dyDescent="0.3">
      <c r="A131" s="94">
        <v>25</v>
      </c>
      <c r="B131" s="95"/>
      <c r="C131" s="96"/>
      <c r="D131" s="96"/>
      <c r="E131" s="97"/>
      <c r="F131" s="98"/>
      <c r="G131" s="98"/>
      <c r="H131" s="98"/>
      <c r="I131" s="98"/>
      <c r="J131" s="98"/>
      <c r="K131" s="98"/>
      <c r="L131" s="96"/>
      <c r="M131" s="96"/>
      <c r="N131" s="96"/>
      <c r="O131" s="98"/>
      <c r="P131" s="98"/>
      <c r="Q131" s="98"/>
      <c r="R131" s="96"/>
    </row>
    <row r="132" spans="1:18" x14ac:dyDescent="0.3">
      <c r="A132" s="94">
        <v>26</v>
      </c>
      <c r="B132" s="95"/>
      <c r="C132" s="96"/>
      <c r="D132" s="96"/>
      <c r="E132" s="97"/>
      <c r="F132" s="98"/>
      <c r="G132" s="98"/>
      <c r="H132" s="98"/>
      <c r="I132" s="98"/>
      <c r="J132" s="98"/>
      <c r="K132" s="98"/>
      <c r="L132" s="96"/>
      <c r="M132" s="96"/>
      <c r="N132" s="96"/>
      <c r="O132" s="98"/>
      <c r="P132" s="98"/>
      <c r="Q132" s="98"/>
      <c r="R132" s="96"/>
    </row>
    <row r="133" spans="1:18" x14ac:dyDescent="0.3">
      <c r="A133" s="94">
        <v>27</v>
      </c>
      <c r="B133" s="95"/>
      <c r="C133" s="96"/>
      <c r="D133" s="96"/>
      <c r="E133" s="97"/>
      <c r="F133" s="98"/>
      <c r="G133" s="98"/>
      <c r="H133" s="98"/>
      <c r="I133" s="98"/>
      <c r="J133" s="98"/>
      <c r="K133" s="98"/>
      <c r="L133" s="96"/>
      <c r="M133" s="96"/>
      <c r="N133" s="96"/>
      <c r="O133" s="98"/>
      <c r="P133" s="98"/>
      <c r="Q133" s="98"/>
      <c r="R133" s="96"/>
    </row>
    <row r="134" spans="1:18" x14ac:dyDescent="0.3">
      <c r="A134" s="94">
        <v>28</v>
      </c>
      <c r="B134" s="95"/>
      <c r="C134" s="96"/>
      <c r="D134" s="96"/>
      <c r="E134" s="97"/>
      <c r="F134" s="98"/>
      <c r="G134" s="98"/>
      <c r="H134" s="98"/>
      <c r="I134" s="98"/>
      <c r="J134" s="98"/>
      <c r="K134" s="98"/>
      <c r="L134" s="96"/>
      <c r="M134" s="96"/>
      <c r="N134" s="96"/>
      <c r="O134" s="98"/>
      <c r="P134" s="98"/>
      <c r="Q134" s="98"/>
      <c r="R134" s="96"/>
    </row>
    <row r="135" spans="1:18" x14ac:dyDescent="0.3">
      <c r="A135" s="94">
        <v>29</v>
      </c>
      <c r="B135" s="95"/>
      <c r="C135" s="96"/>
      <c r="D135" s="96"/>
      <c r="E135" s="97"/>
      <c r="F135" s="98"/>
      <c r="G135" s="98"/>
      <c r="H135" s="98"/>
      <c r="I135" s="98"/>
      <c r="J135" s="98"/>
      <c r="K135" s="98"/>
      <c r="L135" s="96"/>
      <c r="M135" s="96"/>
      <c r="N135" s="96"/>
      <c r="O135" s="98"/>
      <c r="P135" s="98"/>
      <c r="Q135" s="98"/>
      <c r="R135" s="96"/>
    </row>
    <row r="136" spans="1:18" x14ac:dyDescent="0.3">
      <c r="A136" s="94">
        <v>30</v>
      </c>
      <c r="B136" s="95"/>
      <c r="C136" s="96"/>
      <c r="D136" s="96"/>
      <c r="E136" s="97"/>
      <c r="F136" s="98"/>
      <c r="G136" s="98"/>
      <c r="H136" s="98"/>
      <c r="I136" s="98"/>
      <c r="J136" s="98"/>
      <c r="K136" s="98"/>
      <c r="L136" s="96"/>
      <c r="M136" s="96"/>
      <c r="N136" s="96"/>
      <c r="O136" s="98"/>
      <c r="P136" s="98"/>
      <c r="Q136" s="98"/>
      <c r="R136" s="96"/>
    </row>
    <row r="137" spans="1:18" x14ac:dyDescent="0.3">
      <c r="A137" s="94">
        <v>31</v>
      </c>
      <c r="B137" s="95"/>
      <c r="C137" s="96"/>
      <c r="D137" s="96"/>
      <c r="E137" s="97"/>
      <c r="F137" s="98"/>
      <c r="G137" s="98"/>
      <c r="H137" s="98"/>
      <c r="I137" s="98"/>
      <c r="J137" s="98"/>
      <c r="K137" s="98"/>
      <c r="L137" s="96"/>
      <c r="M137" s="96"/>
      <c r="N137" s="96"/>
      <c r="O137" s="98"/>
      <c r="P137" s="98"/>
      <c r="Q137" s="98"/>
      <c r="R137" s="96"/>
    </row>
    <row r="138" spans="1:18" x14ac:dyDescent="0.3">
      <c r="A138" s="94">
        <v>32</v>
      </c>
      <c r="B138" s="95"/>
      <c r="C138" s="96"/>
      <c r="D138" s="96"/>
      <c r="E138" s="97"/>
      <c r="F138" s="98"/>
      <c r="G138" s="98"/>
      <c r="H138" s="98"/>
      <c r="I138" s="98"/>
      <c r="J138" s="98"/>
      <c r="K138" s="98"/>
      <c r="L138" s="96"/>
      <c r="M138" s="96"/>
      <c r="N138" s="96"/>
      <c r="O138" s="98"/>
      <c r="P138" s="98"/>
      <c r="Q138" s="98"/>
      <c r="R138" s="96"/>
    </row>
    <row r="139" spans="1:18" x14ac:dyDescent="0.3">
      <c r="A139" s="94">
        <v>33</v>
      </c>
      <c r="B139" s="95"/>
      <c r="C139" s="96"/>
      <c r="D139" s="96"/>
      <c r="E139" s="97"/>
      <c r="F139" s="98"/>
      <c r="G139" s="98"/>
      <c r="H139" s="98"/>
      <c r="I139" s="98"/>
      <c r="J139" s="98"/>
      <c r="K139" s="98"/>
      <c r="L139" s="96"/>
      <c r="M139" s="96"/>
      <c r="N139" s="96"/>
      <c r="O139" s="98"/>
      <c r="P139" s="98"/>
      <c r="Q139" s="98"/>
      <c r="R139" s="96"/>
    </row>
    <row r="140" spans="1:18" x14ac:dyDescent="0.3">
      <c r="A140" s="94">
        <v>34</v>
      </c>
      <c r="B140" s="95"/>
      <c r="C140" s="96"/>
      <c r="D140" s="96"/>
      <c r="E140" s="97"/>
      <c r="F140" s="98"/>
      <c r="G140" s="98"/>
      <c r="H140" s="98"/>
      <c r="I140" s="98"/>
      <c r="J140" s="98"/>
      <c r="K140" s="98"/>
      <c r="L140" s="96"/>
      <c r="M140" s="96"/>
      <c r="N140" s="96"/>
      <c r="O140" s="98"/>
      <c r="P140" s="98"/>
      <c r="Q140" s="98"/>
      <c r="R140" s="96"/>
    </row>
    <row r="141" spans="1:18" x14ac:dyDescent="0.3">
      <c r="A141" s="94">
        <v>35</v>
      </c>
      <c r="B141" s="95"/>
      <c r="C141" s="96"/>
      <c r="D141" s="96"/>
      <c r="E141" s="97"/>
      <c r="F141" s="98"/>
      <c r="G141" s="98"/>
      <c r="H141" s="98"/>
      <c r="I141" s="98"/>
      <c r="J141" s="98"/>
      <c r="K141" s="98"/>
      <c r="L141" s="96"/>
      <c r="M141" s="96"/>
      <c r="N141" s="96"/>
      <c r="O141" s="98"/>
      <c r="P141" s="98"/>
      <c r="Q141" s="98"/>
      <c r="R141" s="96"/>
    </row>
    <row r="142" spans="1:18" x14ac:dyDescent="0.3">
      <c r="A142" s="94">
        <v>36</v>
      </c>
      <c r="B142" s="95"/>
      <c r="C142" s="96"/>
      <c r="D142" s="96"/>
      <c r="E142" s="97"/>
      <c r="F142" s="98"/>
      <c r="G142" s="98"/>
      <c r="H142" s="98"/>
      <c r="I142" s="98"/>
      <c r="J142" s="98"/>
      <c r="K142" s="98"/>
      <c r="L142" s="96"/>
      <c r="M142" s="96"/>
      <c r="N142" s="96"/>
      <c r="O142" s="98"/>
      <c r="P142" s="98"/>
      <c r="Q142" s="98"/>
      <c r="R142" s="96"/>
    </row>
    <row r="143" spans="1:18" x14ac:dyDescent="0.3">
      <c r="A143" s="94">
        <v>37</v>
      </c>
      <c r="B143" s="95"/>
      <c r="C143" s="96"/>
      <c r="D143" s="96"/>
      <c r="E143" s="97"/>
      <c r="F143" s="98"/>
      <c r="G143" s="98"/>
      <c r="H143" s="98"/>
      <c r="I143" s="98"/>
      <c r="J143" s="98"/>
      <c r="K143" s="98"/>
      <c r="L143" s="96"/>
      <c r="M143" s="96"/>
      <c r="N143" s="96"/>
      <c r="O143" s="98"/>
      <c r="P143" s="98"/>
      <c r="Q143" s="98"/>
      <c r="R143" s="96"/>
    </row>
    <row r="144" spans="1:18" x14ac:dyDescent="0.3">
      <c r="A144" s="94">
        <v>38</v>
      </c>
      <c r="B144" s="95"/>
      <c r="C144" s="96"/>
      <c r="D144" s="96"/>
      <c r="E144" s="97"/>
      <c r="F144" s="98"/>
      <c r="G144" s="98"/>
      <c r="H144" s="98"/>
      <c r="I144" s="98"/>
      <c r="J144" s="98"/>
      <c r="K144" s="98"/>
      <c r="L144" s="96"/>
      <c r="M144" s="96"/>
      <c r="N144" s="96"/>
      <c r="O144" s="98"/>
      <c r="P144" s="98"/>
      <c r="Q144" s="98"/>
      <c r="R144" s="96"/>
    </row>
    <row r="145" spans="1:18" x14ac:dyDescent="0.3">
      <c r="A145" s="94">
        <v>39</v>
      </c>
      <c r="B145" s="95"/>
      <c r="C145" s="96"/>
      <c r="D145" s="96"/>
      <c r="E145" s="97"/>
      <c r="F145" s="98"/>
      <c r="G145" s="98"/>
      <c r="H145" s="98"/>
      <c r="I145" s="98"/>
      <c r="J145" s="98"/>
      <c r="K145" s="98"/>
      <c r="L145" s="96"/>
      <c r="M145" s="96"/>
      <c r="N145" s="96"/>
      <c r="O145" s="98"/>
      <c r="P145" s="98"/>
      <c r="Q145" s="98"/>
      <c r="R145" s="96"/>
    </row>
    <row r="146" spans="1:18" x14ac:dyDescent="0.3">
      <c r="A146" s="94">
        <v>40</v>
      </c>
      <c r="B146" s="95"/>
      <c r="C146" s="96"/>
      <c r="D146" s="96"/>
      <c r="E146" s="97"/>
      <c r="F146" s="98"/>
      <c r="G146" s="98"/>
      <c r="H146" s="98"/>
      <c r="I146" s="98"/>
      <c r="J146" s="98"/>
      <c r="K146" s="98"/>
      <c r="L146" s="96"/>
      <c r="M146" s="96"/>
      <c r="N146" s="96"/>
      <c r="O146" s="98"/>
      <c r="P146" s="98"/>
      <c r="Q146" s="98"/>
      <c r="R146" s="96"/>
    </row>
    <row r="147" spans="1:18" ht="18.600000000000001" customHeight="1" thickBot="1" x14ac:dyDescent="0.35">
      <c r="A147" s="99" t="s">
        <v>24</v>
      </c>
      <c r="B147" s="100"/>
      <c r="C147" s="101"/>
      <c r="D147" s="100"/>
      <c r="E147" s="100"/>
      <c r="F147" s="102">
        <f t="shared" ref="F147:Q147" si="2">SUM(F121:F146)</f>
        <v>0</v>
      </c>
      <c r="G147" s="102">
        <f t="shared" si="2"/>
        <v>0</v>
      </c>
      <c r="H147" s="102">
        <f t="shared" si="2"/>
        <v>0</v>
      </c>
      <c r="I147" s="102">
        <f t="shared" si="2"/>
        <v>0</v>
      </c>
      <c r="J147" s="102">
        <f t="shared" si="2"/>
        <v>0</v>
      </c>
      <c r="K147" s="102">
        <f t="shared" si="2"/>
        <v>0</v>
      </c>
      <c r="L147" s="102">
        <f t="shared" si="2"/>
        <v>0</v>
      </c>
      <c r="M147" s="102">
        <f t="shared" si="2"/>
        <v>0</v>
      </c>
      <c r="N147" s="102">
        <f t="shared" si="2"/>
        <v>0</v>
      </c>
      <c r="O147" s="102">
        <f t="shared" si="2"/>
        <v>0</v>
      </c>
      <c r="P147" s="102">
        <f t="shared" si="2"/>
        <v>0</v>
      </c>
      <c r="Q147" s="102">
        <f t="shared" si="2"/>
        <v>0</v>
      </c>
      <c r="R147" s="103"/>
    </row>
    <row r="148" spans="1:18" ht="14.4" thickTop="1" x14ac:dyDescent="0.3">
      <c r="A148" s="104"/>
      <c r="B148" s="105"/>
      <c r="C148" s="104"/>
      <c r="D148" s="105"/>
      <c r="E148" s="105"/>
      <c r="F148" s="87"/>
      <c r="G148" s="87"/>
      <c r="H148" s="87"/>
      <c r="I148" s="87"/>
      <c r="J148" s="87"/>
      <c r="K148" s="87"/>
      <c r="L148" s="87"/>
      <c r="M148" s="87"/>
      <c r="N148" s="87"/>
      <c r="O148" s="87"/>
      <c r="P148" s="87"/>
      <c r="Q148" s="87"/>
      <c r="R148" s="88"/>
    </row>
    <row r="149" spans="1:18" x14ac:dyDescent="0.3">
      <c r="A149" s="104"/>
      <c r="B149" s="105"/>
      <c r="C149" s="104"/>
      <c r="D149" s="105"/>
      <c r="E149" s="105"/>
      <c r="F149" s="104"/>
      <c r="G149" s="104"/>
      <c r="H149" s="104"/>
      <c r="I149" s="104"/>
      <c r="J149" s="104"/>
      <c r="K149" s="104"/>
      <c r="L149" s="104"/>
      <c r="M149" s="104"/>
      <c r="N149" s="87"/>
      <c r="O149" s="87"/>
      <c r="P149" s="87"/>
      <c r="Q149" s="87"/>
      <c r="R149" s="88"/>
    </row>
    <row r="150" spans="1:18" x14ac:dyDescent="0.3">
      <c r="A150" s="87" t="s">
        <v>20</v>
      </c>
      <c r="B150" s="88"/>
      <c r="C150" s="87"/>
      <c r="D150" s="88" t="s">
        <v>21</v>
      </c>
      <c r="E150" s="88"/>
      <c r="F150" s="87"/>
      <c r="G150" s="87"/>
      <c r="H150" s="87"/>
      <c r="I150" s="87"/>
      <c r="J150" s="87"/>
      <c r="K150" s="87"/>
      <c r="L150" s="87"/>
      <c r="M150" s="87"/>
      <c r="N150" s="87"/>
      <c r="O150" s="87"/>
      <c r="P150" s="87"/>
      <c r="Q150" s="87"/>
      <c r="R150" s="88"/>
    </row>
    <row r="151" spans="1:18" x14ac:dyDescent="0.3">
      <c r="A151" s="87" t="s">
        <v>12</v>
      </c>
      <c r="B151" s="88"/>
      <c r="C151" s="87"/>
      <c r="D151" s="88" t="s">
        <v>16</v>
      </c>
      <c r="E151" s="88"/>
      <c r="F151" s="87"/>
      <c r="G151" s="87"/>
      <c r="H151" s="87"/>
      <c r="I151" s="87"/>
      <c r="J151" s="87"/>
      <c r="K151" s="87"/>
      <c r="L151" s="87"/>
      <c r="M151" s="87"/>
      <c r="N151" s="87"/>
      <c r="O151" s="87"/>
      <c r="P151" s="87"/>
      <c r="Q151" s="87"/>
      <c r="R151" s="88"/>
    </row>
    <row r="152" spans="1:18" x14ac:dyDescent="0.3">
      <c r="A152" s="87"/>
      <c r="B152" s="88"/>
      <c r="C152" s="87"/>
      <c r="D152" s="88" t="s">
        <v>22</v>
      </c>
      <c r="E152" s="88"/>
      <c r="F152" s="87"/>
      <c r="G152" s="87"/>
      <c r="H152" s="87"/>
      <c r="I152" s="87"/>
      <c r="J152" s="87"/>
      <c r="K152" s="87"/>
      <c r="L152" s="87"/>
      <c r="M152" s="87"/>
      <c r="N152" s="87"/>
      <c r="O152" s="87"/>
      <c r="P152" s="87"/>
      <c r="Q152" s="87"/>
      <c r="R152" s="88"/>
    </row>
  </sheetData>
  <mergeCells count="12">
    <mergeCell ref="J54:R54"/>
    <mergeCell ref="C103:E103"/>
    <mergeCell ref="P103:R103"/>
    <mergeCell ref="A105:I105"/>
    <mergeCell ref="J105:R105"/>
    <mergeCell ref="A54:I54"/>
    <mergeCell ref="C1:E1"/>
    <mergeCell ref="P1:R1"/>
    <mergeCell ref="A3:I3"/>
    <mergeCell ref="J3:R3"/>
    <mergeCell ref="C52:E52"/>
    <mergeCell ref="P52:R52"/>
  </mergeCells>
  <conditionalFormatting sqref="B19">
    <cfRule type="duplicateValues" dxfId="190" priority="140"/>
    <cfRule type="duplicateValues" dxfId="189" priority="141"/>
    <cfRule type="duplicateValues" dxfId="188" priority="142"/>
    <cfRule type="duplicateValues" dxfId="187" priority="143"/>
  </conditionalFormatting>
  <conditionalFormatting sqref="B19:B31">
    <cfRule type="duplicateValues" dxfId="186" priority="138"/>
    <cfRule type="duplicateValues" dxfId="185" priority="139"/>
    <cfRule type="duplicateValues" dxfId="184" priority="137"/>
    <cfRule type="duplicateValues" dxfId="183" priority="136"/>
  </conditionalFormatting>
  <conditionalFormatting sqref="B19:B32">
    <cfRule type="duplicateValues" dxfId="182" priority="135"/>
    <cfRule type="duplicateValues" dxfId="181" priority="134"/>
    <cfRule type="duplicateValues" dxfId="180" priority="133"/>
    <cfRule type="duplicateValues" dxfId="179" priority="132"/>
  </conditionalFormatting>
  <conditionalFormatting sqref="B19:B34">
    <cfRule type="duplicateValues" dxfId="178" priority="131"/>
  </conditionalFormatting>
  <conditionalFormatting sqref="B19:B44">
    <cfRule type="duplicateValues" dxfId="177" priority="200"/>
    <cfRule type="duplicateValues" dxfId="176" priority="198"/>
    <cfRule type="duplicateValues" dxfId="175" priority="197"/>
    <cfRule type="duplicateValues" dxfId="174" priority="194"/>
    <cfRule type="duplicateValues" dxfId="173" priority="196"/>
    <cfRule type="duplicateValues" dxfId="172" priority="195"/>
    <cfRule type="duplicateValues" dxfId="171" priority="193"/>
    <cfRule type="duplicateValues" dxfId="170" priority="192"/>
    <cfRule type="duplicateValues" dxfId="169" priority="190"/>
    <cfRule type="duplicateValues" dxfId="168" priority="189"/>
    <cfRule type="duplicateValues" dxfId="167" priority="188"/>
    <cfRule type="duplicateValues" dxfId="166" priority="187"/>
    <cfRule type="duplicateValues" dxfId="165" priority="186"/>
    <cfRule type="duplicateValues" dxfId="164" priority="191"/>
    <cfRule type="duplicateValues" dxfId="163" priority="205"/>
    <cfRule type="duplicateValues" dxfId="162" priority="185"/>
    <cfRule type="duplicateValues" dxfId="161" priority="207"/>
    <cfRule type="duplicateValues" dxfId="160" priority="206"/>
    <cfRule type="duplicateValues" dxfId="159" priority="199"/>
    <cfRule type="duplicateValues" dxfId="158" priority="204"/>
    <cfRule type="duplicateValues" dxfId="157" priority="203"/>
    <cfRule type="duplicateValues" dxfId="156" priority="202"/>
    <cfRule type="duplicateValues" dxfId="155" priority="201"/>
  </conditionalFormatting>
  <conditionalFormatting sqref="B32">
    <cfRule type="duplicateValues" dxfId="154" priority="107"/>
  </conditionalFormatting>
  <conditionalFormatting sqref="B33">
    <cfRule type="duplicateValues" dxfId="153" priority="106"/>
  </conditionalFormatting>
  <conditionalFormatting sqref="B35:B44">
    <cfRule type="duplicateValues" dxfId="152" priority="208"/>
    <cfRule type="duplicateValues" dxfId="151" priority="209"/>
  </conditionalFormatting>
  <conditionalFormatting sqref="B70">
    <cfRule type="duplicateValues" dxfId="150" priority="55"/>
    <cfRule type="duplicateValues" dxfId="149" priority="54"/>
    <cfRule type="duplicateValues" dxfId="148" priority="53"/>
    <cfRule type="duplicateValues" dxfId="147" priority="52"/>
  </conditionalFormatting>
  <conditionalFormatting sqref="B70:B82">
    <cfRule type="duplicateValues" dxfId="146" priority="48"/>
    <cfRule type="duplicateValues" dxfId="145" priority="49"/>
    <cfRule type="duplicateValues" dxfId="144" priority="50"/>
    <cfRule type="duplicateValues" dxfId="143" priority="51"/>
  </conditionalFormatting>
  <conditionalFormatting sqref="B70:B83">
    <cfRule type="duplicateValues" dxfId="142" priority="44"/>
    <cfRule type="duplicateValues" dxfId="141" priority="45"/>
    <cfRule type="duplicateValues" dxfId="140" priority="46"/>
    <cfRule type="duplicateValues" dxfId="139" priority="47"/>
  </conditionalFormatting>
  <conditionalFormatting sqref="B70:B85">
    <cfRule type="duplicateValues" dxfId="138" priority="43"/>
  </conditionalFormatting>
  <conditionalFormatting sqref="B70:B95">
    <cfRule type="duplicateValues" dxfId="137" priority="77"/>
    <cfRule type="duplicateValues" dxfId="136" priority="78"/>
    <cfRule type="duplicateValues" dxfId="135" priority="56"/>
    <cfRule type="duplicateValues" dxfId="134" priority="57"/>
    <cfRule type="duplicateValues" dxfId="133" priority="58"/>
    <cfRule type="duplicateValues" dxfId="132" priority="59"/>
    <cfRule type="duplicateValues" dxfId="131" priority="60"/>
    <cfRule type="duplicateValues" dxfId="130" priority="61"/>
    <cfRule type="duplicateValues" dxfId="129" priority="62"/>
    <cfRule type="duplicateValues" dxfId="128" priority="63"/>
    <cfRule type="duplicateValues" dxfId="127" priority="64"/>
    <cfRule type="duplicateValues" dxfId="126" priority="65"/>
    <cfRule type="duplicateValues" dxfId="125" priority="66"/>
    <cfRule type="duplicateValues" dxfId="124" priority="67"/>
    <cfRule type="duplicateValues" dxfId="123" priority="68"/>
    <cfRule type="duplicateValues" dxfId="122" priority="69"/>
    <cfRule type="duplicateValues" dxfId="121" priority="70"/>
    <cfRule type="duplicateValues" dxfId="120" priority="71"/>
    <cfRule type="duplicateValues" dxfId="119" priority="72"/>
    <cfRule type="duplicateValues" dxfId="118" priority="73"/>
    <cfRule type="duplicateValues" dxfId="117" priority="74"/>
    <cfRule type="duplicateValues" dxfId="116" priority="75"/>
    <cfRule type="duplicateValues" dxfId="115" priority="76"/>
  </conditionalFormatting>
  <conditionalFormatting sqref="B83">
    <cfRule type="duplicateValues" dxfId="114" priority="42"/>
  </conditionalFormatting>
  <conditionalFormatting sqref="B84">
    <cfRule type="duplicateValues" dxfId="113" priority="41"/>
  </conditionalFormatting>
  <conditionalFormatting sqref="B86:B95">
    <cfRule type="duplicateValues" dxfId="112" priority="79"/>
    <cfRule type="duplicateValues" dxfId="111" priority="80"/>
  </conditionalFormatting>
  <conditionalFormatting sqref="B121">
    <cfRule type="duplicateValues" dxfId="110" priority="12"/>
    <cfRule type="duplicateValues" dxfId="109" priority="13"/>
    <cfRule type="duplicateValues" dxfId="108" priority="14"/>
    <cfRule type="duplicateValues" dxfId="107" priority="15"/>
  </conditionalFormatting>
  <conditionalFormatting sqref="B121:B133">
    <cfRule type="duplicateValues" dxfId="106" priority="8"/>
    <cfRule type="duplicateValues" dxfId="105" priority="11"/>
    <cfRule type="duplicateValues" dxfId="104" priority="10"/>
    <cfRule type="duplicateValues" dxfId="103" priority="9"/>
  </conditionalFormatting>
  <conditionalFormatting sqref="B121:B134">
    <cfRule type="duplicateValues" dxfId="102" priority="7"/>
    <cfRule type="duplicateValues" dxfId="101" priority="6"/>
    <cfRule type="duplicateValues" dxfId="100" priority="5"/>
    <cfRule type="duplicateValues" dxfId="99" priority="4"/>
  </conditionalFormatting>
  <conditionalFormatting sqref="B121:B136">
    <cfRule type="duplicateValues" dxfId="98" priority="3"/>
  </conditionalFormatting>
  <conditionalFormatting sqref="B121:B146">
    <cfRule type="duplicateValues" dxfId="97" priority="29"/>
    <cfRule type="duplicateValues" dxfId="96" priority="28"/>
    <cfRule type="duplicateValues" dxfId="95" priority="27"/>
    <cfRule type="duplicateValues" dxfId="94" priority="26"/>
    <cfRule type="duplicateValues" dxfId="93" priority="25"/>
    <cfRule type="duplicateValues" dxfId="92" priority="16"/>
    <cfRule type="duplicateValues" dxfId="91" priority="23"/>
    <cfRule type="duplicateValues" dxfId="90" priority="22"/>
    <cfRule type="duplicateValues" dxfId="89" priority="21"/>
    <cfRule type="duplicateValues" dxfId="88" priority="20"/>
    <cfRule type="duplicateValues" dxfId="87" priority="19"/>
    <cfRule type="duplicateValues" dxfId="86" priority="31"/>
    <cfRule type="duplicateValues" dxfId="85" priority="18"/>
    <cfRule type="duplicateValues" dxfId="84" priority="17"/>
    <cfRule type="duplicateValues" dxfId="83" priority="38"/>
    <cfRule type="duplicateValues" dxfId="82" priority="37"/>
    <cfRule type="duplicateValues" dxfId="81" priority="36"/>
    <cfRule type="duplicateValues" dxfId="80" priority="24"/>
    <cfRule type="duplicateValues" dxfId="79" priority="35"/>
    <cfRule type="duplicateValues" dxfId="78" priority="34"/>
    <cfRule type="duplicateValues" dxfId="77" priority="33"/>
    <cfRule type="duplicateValues" dxfId="76" priority="32"/>
    <cfRule type="duplicateValues" dxfId="75" priority="30"/>
  </conditionalFormatting>
  <conditionalFormatting sqref="B134">
    <cfRule type="duplicateValues" dxfId="74" priority="2"/>
  </conditionalFormatting>
  <conditionalFormatting sqref="B135">
    <cfRule type="duplicateValues" dxfId="73" priority="1"/>
  </conditionalFormatting>
  <conditionalFormatting sqref="B137:B146">
    <cfRule type="duplicateValues" dxfId="72" priority="39"/>
    <cfRule type="duplicateValues" dxfId="71" priority="40"/>
  </conditionalFormatting>
  <pageMargins left="0.7" right="0.7" top="0.75" bottom="0.75" header="0.3" footer="0.3"/>
  <pageSetup paperSize="9" scale="54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X604"/>
  <sheetViews>
    <sheetView topLeftCell="B460" zoomScale="87" zoomScaleNormal="87" zoomScaleSheetLayoutView="59" workbookViewId="0">
      <selection activeCell="P473" sqref="P473"/>
    </sheetView>
  </sheetViews>
  <sheetFormatPr defaultColWidth="9.109375" defaultRowHeight="13.8" x14ac:dyDescent="0.3"/>
  <cols>
    <col min="1" max="1" width="0" style="108" hidden="1" customWidth="1"/>
    <col min="2" max="2" width="9.44140625" style="108" customWidth="1"/>
    <col min="3" max="3" width="15.109375" style="108" customWidth="1"/>
    <col min="4" max="4" width="8.5546875" style="108" customWidth="1"/>
    <col min="5" max="5" width="12.33203125" style="108" bestFit="1" customWidth="1"/>
    <col min="6" max="16" width="6.109375" style="113" customWidth="1"/>
    <col min="17" max="17" width="29.109375" style="108" customWidth="1"/>
    <col min="18" max="18" width="11.5546875" style="108" customWidth="1"/>
    <col min="19" max="20" width="9.109375" style="108"/>
    <col min="21" max="24" width="9.109375" style="113"/>
    <col min="25" max="16384" width="9.109375" style="108"/>
  </cols>
  <sheetData>
    <row r="1" spans="1:24" ht="14.4" customHeight="1" x14ac:dyDescent="0.35">
      <c r="B1" s="109" t="s">
        <v>41</v>
      </c>
      <c r="C1" s="109"/>
      <c r="D1" s="109" t="str">
        <f>INVOICE!B1</f>
        <v>S A M Perera</v>
      </c>
      <c r="E1" s="109"/>
      <c r="F1" s="110"/>
      <c r="G1" s="110"/>
      <c r="H1" s="110"/>
      <c r="I1" s="110"/>
      <c r="J1" s="110"/>
      <c r="K1" s="110"/>
      <c r="L1" s="110"/>
      <c r="M1" s="110"/>
      <c r="N1" s="111" t="s">
        <v>40</v>
      </c>
      <c r="O1" s="111"/>
      <c r="P1" s="111"/>
      <c r="Q1" s="112" t="str">
        <f>CONCATENATE(INVOICE!H5,"-",INVOICE!H9)</f>
        <v>SAM/CENTRAL/KY/NC/26/DEC/1-A</v>
      </c>
    </row>
    <row r="2" spans="1:24" ht="16.2" x14ac:dyDescent="0.35">
      <c r="B2" s="114"/>
      <c r="C2" s="114"/>
      <c r="D2" s="114"/>
      <c r="E2" s="114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8"/>
    </row>
    <row r="3" spans="1:24" ht="24.9" customHeight="1" x14ac:dyDescent="0.3">
      <c r="B3" s="236" t="s">
        <v>121</v>
      </c>
      <c r="C3" s="236"/>
      <c r="D3" s="236"/>
      <c r="E3" s="236"/>
      <c r="F3" s="236"/>
      <c r="G3" s="236"/>
      <c r="H3" s="236"/>
      <c r="I3" s="236"/>
      <c r="J3" s="236"/>
      <c r="K3" s="236"/>
      <c r="L3" s="236"/>
      <c r="M3" s="236"/>
      <c r="N3" s="236"/>
      <c r="O3" s="236"/>
      <c r="P3" s="236"/>
      <c r="Q3" s="236"/>
      <c r="R3" s="115"/>
    </row>
    <row r="4" spans="1:24" ht="70.95" customHeight="1" x14ac:dyDescent="0.3">
      <c r="A4" s="108" t="s">
        <v>17</v>
      </c>
      <c r="B4" s="116" t="s">
        <v>17</v>
      </c>
      <c r="C4" s="116" t="s">
        <v>18</v>
      </c>
      <c r="D4" s="117" t="s">
        <v>30</v>
      </c>
      <c r="E4" s="118" t="s">
        <v>19</v>
      </c>
      <c r="F4" s="119" t="s">
        <v>23</v>
      </c>
      <c r="G4" s="119" t="s">
        <v>38</v>
      </c>
      <c r="H4" s="119" t="s">
        <v>42</v>
      </c>
      <c r="I4" s="119" t="s">
        <v>43</v>
      </c>
      <c r="J4" s="119" t="s">
        <v>33</v>
      </c>
      <c r="K4" s="119" t="s">
        <v>44</v>
      </c>
      <c r="L4" s="119" t="s">
        <v>53</v>
      </c>
      <c r="M4" s="119" t="s">
        <v>91</v>
      </c>
      <c r="N4" s="119" t="s">
        <v>92</v>
      </c>
      <c r="O4" s="119" t="s">
        <v>34</v>
      </c>
      <c r="P4" s="119" t="s">
        <v>90</v>
      </c>
      <c r="Q4" s="116" t="s">
        <v>39</v>
      </c>
    </row>
    <row r="5" spans="1:24" x14ac:dyDescent="0.3">
      <c r="A5" s="108">
        <v>1</v>
      </c>
      <c r="B5" s="120">
        <v>1</v>
      </c>
      <c r="C5" s="121"/>
      <c r="D5" s="51"/>
      <c r="E5" s="122"/>
      <c r="F5" s="96"/>
      <c r="G5" s="96"/>
      <c r="H5" s="96"/>
      <c r="I5" s="51"/>
      <c r="J5" s="96"/>
      <c r="K5" s="96"/>
      <c r="L5" s="96"/>
      <c r="M5" s="96"/>
      <c r="N5" s="96"/>
      <c r="O5" s="51"/>
      <c r="P5" s="96"/>
      <c r="Q5" s="123"/>
      <c r="U5" s="124"/>
      <c r="V5" s="124"/>
      <c r="W5" s="124"/>
      <c r="X5" s="124"/>
    </row>
    <row r="6" spans="1:24" x14ac:dyDescent="0.3">
      <c r="A6" s="108">
        <v>2</v>
      </c>
      <c r="B6" s="120">
        <v>2</v>
      </c>
      <c r="C6" s="125"/>
      <c r="D6" s="51"/>
      <c r="E6" s="126"/>
      <c r="F6" s="127"/>
      <c r="G6" s="127"/>
      <c r="H6" s="127"/>
      <c r="I6" s="128"/>
      <c r="J6" s="127"/>
      <c r="K6" s="127"/>
      <c r="L6" s="127"/>
      <c r="M6" s="127"/>
      <c r="N6" s="127"/>
      <c r="O6" s="51"/>
      <c r="P6" s="96"/>
      <c r="Q6" s="120"/>
    </row>
    <row r="7" spans="1:24" x14ac:dyDescent="0.3">
      <c r="A7" s="108">
        <v>3</v>
      </c>
      <c r="B7" s="120">
        <v>3</v>
      </c>
      <c r="C7" s="125"/>
      <c r="D7" s="51"/>
      <c r="E7" s="126"/>
      <c r="F7" s="127"/>
      <c r="G7" s="127"/>
      <c r="H7" s="127"/>
      <c r="I7" s="128"/>
      <c r="J7" s="127"/>
      <c r="K7" s="127"/>
      <c r="L7" s="127"/>
      <c r="M7" s="127"/>
      <c r="N7" s="127"/>
      <c r="O7" s="51"/>
      <c r="P7" s="96"/>
      <c r="Q7" s="120"/>
    </row>
    <row r="8" spans="1:24" x14ac:dyDescent="0.3">
      <c r="A8" s="108">
        <v>4</v>
      </c>
      <c r="B8" s="120">
        <v>4</v>
      </c>
      <c r="C8" s="125"/>
      <c r="D8" s="51"/>
      <c r="E8" s="126"/>
      <c r="F8" s="127"/>
      <c r="G8" s="127"/>
      <c r="H8" s="127"/>
      <c r="I8" s="128"/>
      <c r="J8" s="127"/>
      <c r="K8" s="127"/>
      <c r="L8" s="127"/>
      <c r="M8" s="127"/>
      <c r="N8" s="127"/>
      <c r="O8" s="51"/>
      <c r="P8" s="96"/>
      <c r="Q8" s="120"/>
    </row>
    <row r="9" spans="1:24" x14ac:dyDescent="0.3">
      <c r="A9" s="108">
        <v>5</v>
      </c>
      <c r="B9" s="120">
        <v>5</v>
      </c>
      <c r="C9" s="125"/>
      <c r="D9" s="51"/>
      <c r="E9" s="126"/>
      <c r="F9" s="127"/>
      <c r="G9" s="127"/>
      <c r="H9" s="127"/>
      <c r="I9" s="128"/>
      <c r="J9" s="127"/>
      <c r="K9" s="127"/>
      <c r="L9" s="127"/>
      <c r="M9" s="127"/>
      <c r="N9" s="127"/>
      <c r="O9" s="51"/>
      <c r="P9" s="96"/>
      <c r="Q9" s="120"/>
    </row>
    <row r="10" spans="1:24" x14ac:dyDescent="0.3">
      <c r="A10" s="108">
        <v>6</v>
      </c>
      <c r="B10" s="120">
        <v>6</v>
      </c>
      <c r="C10" s="125"/>
      <c r="D10" s="51"/>
      <c r="E10" s="126"/>
      <c r="F10" s="127"/>
      <c r="G10" s="127"/>
      <c r="H10" s="127"/>
      <c r="I10" s="128"/>
      <c r="J10" s="127"/>
      <c r="K10" s="127"/>
      <c r="L10" s="127"/>
      <c r="M10" s="127"/>
      <c r="N10" s="127"/>
      <c r="O10" s="51"/>
      <c r="P10" s="96"/>
      <c r="Q10" s="120"/>
    </row>
    <row r="11" spans="1:24" x14ac:dyDescent="0.3">
      <c r="A11" s="108">
        <v>7</v>
      </c>
      <c r="B11" s="120">
        <v>7</v>
      </c>
      <c r="C11" s="125"/>
      <c r="D11" s="51"/>
      <c r="E11" s="126"/>
      <c r="F11" s="127"/>
      <c r="G11" s="127"/>
      <c r="H11" s="127"/>
      <c r="I11" s="128"/>
      <c r="J11" s="127"/>
      <c r="K11" s="127"/>
      <c r="L11" s="127"/>
      <c r="M11" s="127"/>
      <c r="N11" s="127"/>
      <c r="O11" s="51"/>
      <c r="P11" s="96"/>
      <c r="Q11" s="120"/>
    </row>
    <row r="12" spans="1:24" x14ac:dyDescent="0.3">
      <c r="A12" s="108">
        <v>8</v>
      </c>
      <c r="B12" s="120">
        <v>8</v>
      </c>
      <c r="C12" s="125"/>
      <c r="D12" s="51"/>
      <c r="E12" s="126"/>
      <c r="F12" s="127"/>
      <c r="G12" s="127"/>
      <c r="H12" s="127"/>
      <c r="I12" s="128"/>
      <c r="J12" s="127"/>
      <c r="K12" s="127"/>
      <c r="L12" s="127"/>
      <c r="M12" s="127"/>
      <c r="N12" s="127"/>
      <c r="O12" s="51"/>
      <c r="P12" s="96"/>
      <c r="Q12" s="120"/>
    </row>
    <row r="13" spans="1:24" x14ac:dyDescent="0.3">
      <c r="A13" s="108">
        <v>9</v>
      </c>
      <c r="B13" s="120">
        <v>9</v>
      </c>
      <c r="C13" s="121"/>
      <c r="D13" s="51"/>
      <c r="E13" s="122"/>
      <c r="F13" s="96"/>
      <c r="G13" s="96"/>
      <c r="H13" s="96"/>
      <c r="I13" s="51"/>
      <c r="J13" s="96"/>
      <c r="K13" s="96"/>
      <c r="L13" s="96"/>
      <c r="M13" s="96"/>
      <c r="N13" s="96"/>
      <c r="O13" s="51"/>
      <c r="P13" s="96"/>
      <c r="Q13" s="120"/>
    </row>
    <row r="14" spans="1:24" x14ac:dyDescent="0.3">
      <c r="A14" s="108">
        <v>10</v>
      </c>
      <c r="B14" s="120">
        <v>10</v>
      </c>
      <c r="C14" s="125"/>
      <c r="D14" s="51"/>
      <c r="E14" s="126"/>
      <c r="F14" s="127"/>
      <c r="G14" s="127"/>
      <c r="H14" s="127"/>
      <c r="I14" s="128"/>
      <c r="J14" s="127"/>
      <c r="K14" s="127"/>
      <c r="L14" s="127"/>
      <c r="M14" s="127"/>
      <c r="N14" s="127"/>
      <c r="O14" s="51"/>
      <c r="P14" s="96"/>
      <c r="Q14" s="120"/>
    </row>
    <row r="15" spans="1:24" x14ac:dyDescent="0.3">
      <c r="A15" s="108">
        <v>11</v>
      </c>
      <c r="B15" s="120">
        <v>11</v>
      </c>
      <c r="C15" s="125"/>
      <c r="D15" s="51"/>
      <c r="E15" s="126"/>
      <c r="F15" s="127"/>
      <c r="G15" s="127"/>
      <c r="H15" s="127"/>
      <c r="I15" s="128"/>
      <c r="J15" s="127"/>
      <c r="K15" s="127"/>
      <c r="L15" s="127"/>
      <c r="M15" s="127"/>
      <c r="N15" s="127"/>
      <c r="O15" s="51"/>
      <c r="P15" s="96"/>
      <c r="Q15" s="120"/>
    </row>
    <row r="16" spans="1:24" x14ac:dyDescent="0.3">
      <c r="A16" s="108">
        <v>12</v>
      </c>
      <c r="B16" s="120">
        <v>12</v>
      </c>
      <c r="C16" s="125"/>
      <c r="D16" s="51"/>
      <c r="E16" s="126"/>
      <c r="F16" s="127"/>
      <c r="G16" s="127"/>
      <c r="H16" s="127"/>
      <c r="I16" s="128"/>
      <c r="J16" s="127"/>
      <c r="K16" s="127"/>
      <c r="L16" s="127"/>
      <c r="M16" s="127"/>
      <c r="N16" s="127"/>
      <c r="O16" s="51"/>
      <c r="P16" s="96"/>
      <c r="Q16" s="120"/>
    </row>
    <row r="17" spans="1:17" x14ac:dyDescent="0.3">
      <c r="A17" s="108">
        <v>13</v>
      </c>
      <c r="B17" s="120">
        <v>13</v>
      </c>
      <c r="C17" s="125"/>
      <c r="D17" s="51"/>
      <c r="E17" s="126"/>
      <c r="F17" s="127"/>
      <c r="G17" s="127"/>
      <c r="H17" s="127"/>
      <c r="I17" s="128"/>
      <c r="J17" s="127"/>
      <c r="K17" s="127"/>
      <c r="L17" s="127"/>
      <c r="M17" s="127"/>
      <c r="N17" s="127"/>
      <c r="O17" s="51"/>
      <c r="P17" s="96"/>
      <c r="Q17" s="120"/>
    </row>
    <row r="18" spans="1:17" x14ac:dyDescent="0.3">
      <c r="A18" s="108">
        <v>14</v>
      </c>
      <c r="B18" s="120">
        <v>14</v>
      </c>
      <c r="C18" s="125"/>
      <c r="D18" s="51"/>
      <c r="E18" s="126"/>
      <c r="F18" s="127"/>
      <c r="G18" s="127"/>
      <c r="H18" s="127"/>
      <c r="I18" s="128"/>
      <c r="J18" s="127"/>
      <c r="K18" s="127"/>
      <c r="L18" s="127"/>
      <c r="M18" s="127"/>
      <c r="N18" s="127"/>
      <c r="O18" s="51"/>
      <c r="P18" s="96"/>
      <c r="Q18" s="120"/>
    </row>
    <row r="19" spans="1:17" x14ac:dyDescent="0.3">
      <c r="A19" s="108">
        <v>15</v>
      </c>
      <c r="B19" s="120">
        <v>15</v>
      </c>
      <c r="C19" s="125"/>
      <c r="D19" s="51"/>
      <c r="E19" s="126"/>
      <c r="F19" s="127"/>
      <c r="G19" s="127"/>
      <c r="H19" s="127"/>
      <c r="I19" s="128"/>
      <c r="J19" s="127"/>
      <c r="K19" s="127"/>
      <c r="L19" s="127"/>
      <c r="M19" s="127"/>
      <c r="N19" s="127"/>
      <c r="O19" s="51"/>
      <c r="P19" s="96"/>
      <c r="Q19" s="120"/>
    </row>
    <row r="20" spans="1:17" x14ac:dyDescent="0.3">
      <c r="A20" s="108">
        <v>16</v>
      </c>
      <c r="B20" s="120">
        <v>16</v>
      </c>
      <c r="C20" s="125"/>
      <c r="D20" s="51"/>
      <c r="E20" s="126"/>
      <c r="F20" s="127"/>
      <c r="G20" s="127"/>
      <c r="H20" s="127"/>
      <c r="I20" s="128"/>
      <c r="J20" s="127"/>
      <c r="K20" s="127"/>
      <c r="L20" s="127"/>
      <c r="M20" s="127"/>
      <c r="N20" s="127"/>
      <c r="O20" s="51"/>
      <c r="P20" s="96"/>
      <c r="Q20" s="120"/>
    </row>
    <row r="21" spans="1:17" x14ac:dyDescent="0.3">
      <c r="A21" s="108">
        <v>17</v>
      </c>
      <c r="B21" s="120">
        <v>17</v>
      </c>
      <c r="C21" s="125"/>
      <c r="D21" s="51"/>
      <c r="E21" s="126"/>
      <c r="F21" s="127"/>
      <c r="G21" s="127"/>
      <c r="H21" s="127"/>
      <c r="I21" s="128"/>
      <c r="J21" s="127"/>
      <c r="K21" s="127"/>
      <c r="L21" s="127"/>
      <c r="M21" s="127"/>
      <c r="N21" s="127"/>
      <c r="O21" s="51"/>
      <c r="P21" s="96"/>
      <c r="Q21" s="120"/>
    </row>
    <row r="22" spans="1:17" x14ac:dyDescent="0.3">
      <c r="A22" s="108">
        <v>18</v>
      </c>
      <c r="B22" s="120">
        <v>18</v>
      </c>
      <c r="C22" s="125"/>
      <c r="D22" s="51"/>
      <c r="E22" s="126"/>
      <c r="F22" s="127"/>
      <c r="G22" s="127"/>
      <c r="H22" s="127"/>
      <c r="I22" s="128"/>
      <c r="J22" s="127"/>
      <c r="K22" s="127"/>
      <c r="L22" s="127"/>
      <c r="M22" s="127"/>
      <c r="N22" s="127"/>
      <c r="O22" s="51"/>
      <c r="P22" s="96"/>
      <c r="Q22" s="120"/>
    </row>
    <row r="23" spans="1:17" x14ac:dyDescent="0.3">
      <c r="A23" s="108">
        <v>19</v>
      </c>
      <c r="B23" s="120">
        <v>19</v>
      </c>
      <c r="C23" s="125"/>
      <c r="D23" s="51"/>
      <c r="E23" s="126"/>
      <c r="F23" s="127"/>
      <c r="G23" s="127"/>
      <c r="H23" s="127"/>
      <c r="I23" s="127"/>
      <c r="J23" s="127"/>
      <c r="K23" s="127"/>
      <c r="L23" s="127"/>
      <c r="M23" s="127"/>
      <c r="N23" s="127"/>
      <c r="O23" s="51"/>
      <c r="P23" s="96"/>
      <c r="Q23" s="120"/>
    </row>
    <row r="24" spans="1:17" x14ac:dyDescent="0.3">
      <c r="B24" s="120">
        <v>20</v>
      </c>
      <c r="C24" s="125"/>
      <c r="D24" s="51"/>
      <c r="E24" s="126"/>
      <c r="F24" s="127"/>
      <c r="G24" s="127"/>
      <c r="H24" s="127"/>
      <c r="I24" s="127"/>
      <c r="J24" s="127"/>
      <c r="K24" s="127"/>
      <c r="L24" s="127"/>
      <c r="M24" s="127"/>
      <c r="N24" s="127"/>
      <c r="O24" s="51"/>
      <c r="P24" s="96"/>
      <c r="Q24" s="120"/>
    </row>
    <row r="25" spans="1:17" ht="14.4" thickBot="1" x14ac:dyDescent="0.35">
      <c r="A25" s="108">
        <v>0</v>
      </c>
      <c r="B25" s="129" t="s">
        <v>24</v>
      </c>
      <c r="C25" s="130"/>
      <c r="D25" s="130"/>
      <c r="E25" s="130"/>
      <c r="F25" s="131">
        <f t="shared" ref="F25:P25" si="0">SUM(F5:F24)</f>
        <v>0</v>
      </c>
      <c r="G25" s="131">
        <f t="shared" si="0"/>
        <v>0</v>
      </c>
      <c r="H25" s="131">
        <f t="shared" si="0"/>
        <v>0</v>
      </c>
      <c r="I25" s="131">
        <f t="shared" si="0"/>
        <v>0</v>
      </c>
      <c r="J25" s="131">
        <f t="shared" si="0"/>
        <v>0</v>
      </c>
      <c r="K25" s="131">
        <f t="shared" si="0"/>
        <v>0</v>
      </c>
      <c r="L25" s="131">
        <f t="shared" si="0"/>
        <v>0</v>
      </c>
      <c r="M25" s="131">
        <f t="shared" si="0"/>
        <v>0</v>
      </c>
      <c r="N25" s="131">
        <f t="shared" si="0"/>
        <v>0</v>
      </c>
      <c r="O25" s="131">
        <f t="shared" si="0"/>
        <v>0</v>
      </c>
      <c r="P25" s="131">
        <f t="shared" si="0"/>
        <v>0</v>
      </c>
      <c r="Q25" s="103"/>
    </row>
    <row r="26" spans="1:17" ht="14.4" thickTop="1" x14ac:dyDescent="0.3">
      <c r="B26" s="88"/>
      <c r="C26" s="88"/>
      <c r="D26" s="88"/>
      <c r="E26" s="88"/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88"/>
    </row>
    <row r="27" spans="1:17" x14ac:dyDescent="0.3">
      <c r="B27" s="88"/>
      <c r="C27" s="88"/>
      <c r="D27" s="88"/>
      <c r="E27" s="88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88"/>
    </row>
    <row r="28" spans="1:17" x14ac:dyDescent="0.3">
      <c r="A28" s="108">
        <v>0</v>
      </c>
      <c r="B28" s="88" t="s">
        <v>20</v>
      </c>
      <c r="C28" s="88"/>
      <c r="F28" s="87"/>
      <c r="G28" s="87"/>
      <c r="H28" s="87" t="s">
        <v>21</v>
      </c>
      <c r="I28" s="87"/>
      <c r="J28" s="87"/>
      <c r="K28" s="87"/>
      <c r="L28" s="87"/>
      <c r="M28" s="87"/>
      <c r="N28" s="87"/>
      <c r="O28" s="87"/>
      <c r="P28" s="87"/>
      <c r="Q28" s="88"/>
    </row>
    <row r="29" spans="1:17" x14ac:dyDescent="0.3">
      <c r="A29" s="108">
        <v>0</v>
      </c>
      <c r="B29" s="88" t="s">
        <v>12</v>
      </c>
      <c r="C29" s="88"/>
      <c r="F29" s="87"/>
      <c r="G29" s="87"/>
      <c r="H29" s="87" t="s">
        <v>16</v>
      </c>
      <c r="I29" s="87"/>
      <c r="J29" s="87"/>
      <c r="K29" s="87"/>
      <c r="L29" s="87"/>
      <c r="M29" s="87"/>
      <c r="N29" s="87"/>
      <c r="O29" s="87"/>
      <c r="P29" s="87"/>
      <c r="Q29" s="88"/>
    </row>
    <row r="30" spans="1:17" x14ac:dyDescent="0.3">
      <c r="A30" s="108">
        <v>0</v>
      </c>
      <c r="B30" s="88"/>
      <c r="C30" s="88"/>
      <c r="F30" s="87"/>
      <c r="G30" s="87"/>
      <c r="H30" s="87" t="s">
        <v>22</v>
      </c>
      <c r="I30" s="87"/>
      <c r="J30" s="87"/>
      <c r="K30" s="87"/>
      <c r="L30" s="87"/>
      <c r="M30" s="87"/>
      <c r="N30" s="87"/>
      <c r="O30" s="87"/>
      <c r="P30" s="87"/>
      <c r="Q30" s="88"/>
    </row>
    <row r="31" spans="1:17" ht="14.4" customHeight="1" x14ac:dyDescent="0.3">
      <c r="A31" s="108">
        <v>0</v>
      </c>
      <c r="B31" s="88" t="s">
        <v>41</v>
      </c>
      <c r="C31" s="88"/>
      <c r="D31" s="88" t="str">
        <f>D1</f>
        <v>S A M Perera</v>
      </c>
      <c r="E31" s="88"/>
      <c r="F31" s="87"/>
      <c r="G31" s="87"/>
      <c r="H31" s="87"/>
      <c r="I31" s="87"/>
      <c r="J31" s="87"/>
      <c r="K31" s="87"/>
      <c r="L31" s="87"/>
      <c r="M31" s="87"/>
      <c r="N31" s="87" t="s">
        <v>40</v>
      </c>
      <c r="O31" s="87"/>
      <c r="P31" s="87"/>
      <c r="Q31" s="88" t="str">
        <f>Q1</f>
        <v>SAM/CENTRAL/KY/NC/26/DEC/1-A</v>
      </c>
    </row>
    <row r="32" spans="1:17" x14ac:dyDescent="0.3">
      <c r="A32" s="108">
        <v>0</v>
      </c>
      <c r="B32" s="88"/>
      <c r="C32" s="88"/>
      <c r="D32" s="88"/>
      <c r="E32" s="88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8"/>
    </row>
    <row r="33" spans="1:18" ht="24.9" customHeight="1" x14ac:dyDescent="0.3">
      <c r="A33" s="108">
        <v>0</v>
      </c>
      <c r="B33" s="236" t="s">
        <v>121</v>
      </c>
      <c r="C33" s="236"/>
      <c r="D33" s="236"/>
      <c r="E33" s="236"/>
      <c r="F33" s="236"/>
      <c r="G33" s="236"/>
      <c r="H33" s="236"/>
      <c r="I33" s="236"/>
      <c r="J33" s="236"/>
      <c r="K33" s="236"/>
      <c r="L33" s="236"/>
      <c r="M33" s="236"/>
      <c r="N33" s="236"/>
      <c r="O33" s="236"/>
      <c r="P33" s="236"/>
      <c r="Q33" s="236"/>
      <c r="R33" s="115"/>
    </row>
    <row r="34" spans="1:18" ht="60.6" customHeight="1" x14ac:dyDescent="0.3">
      <c r="A34" s="108">
        <v>0</v>
      </c>
      <c r="B34" s="116" t="s">
        <v>17</v>
      </c>
      <c r="C34" s="116" t="s">
        <v>18</v>
      </c>
      <c r="D34" s="117" t="s">
        <v>30</v>
      </c>
      <c r="E34" s="118" t="s">
        <v>19</v>
      </c>
      <c r="F34" s="119" t="s">
        <v>23</v>
      </c>
      <c r="G34" s="119" t="s">
        <v>38</v>
      </c>
      <c r="H34" s="119" t="s">
        <v>42</v>
      </c>
      <c r="I34" s="119" t="s">
        <v>43</v>
      </c>
      <c r="J34" s="119" t="s">
        <v>33</v>
      </c>
      <c r="K34" s="119" t="s">
        <v>44</v>
      </c>
      <c r="L34" s="119" t="s">
        <v>53</v>
      </c>
      <c r="M34" s="119" t="s">
        <v>91</v>
      </c>
      <c r="N34" s="119" t="s">
        <v>92</v>
      </c>
      <c r="O34" s="119" t="s">
        <v>34</v>
      </c>
      <c r="P34" s="119" t="s">
        <v>90</v>
      </c>
      <c r="Q34" s="116" t="s">
        <v>39</v>
      </c>
    </row>
    <row r="35" spans="1:18" x14ac:dyDescent="0.3">
      <c r="A35" s="108">
        <v>1</v>
      </c>
      <c r="B35" s="120">
        <v>1</v>
      </c>
      <c r="C35" s="125"/>
      <c r="D35" s="51"/>
      <c r="E35" s="126"/>
      <c r="F35" s="127"/>
      <c r="G35" s="127"/>
      <c r="H35" s="127"/>
      <c r="I35" s="51"/>
      <c r="J35" s="127"/>
      <c r="K35" s="51"/>
      <c r="L35" s="51"/>
      <c r="M35" s="127"/>
      <c r="N35" s="127"/>
      <c r="O35" s="128"/>
      <c r="P35" s="96"/>
      <c r="Q35" s="120"/>
    </row>
    <row r="36" spans="1:18" x14ac:dyDescent="0.3">
      <c r="A36" s="108">
        <v>2</v>
      </c>
      <c r="B36" s="120">
        <v>2</v>
      </c>
      <c r="C36" s="125"/>
      <c r="D36" s="51"/>
      <c r="E36" s="126"/>
      <c r="F36" s="127"/>
      <c r="G36" s="127"/>
      <c r="H36" s="127"/>
      <c r="I36" s="51"/>
      <c r="J36" s="127"/>
      <c r="K36" s="51"/>
      <c r="L36" s="51"/>
      <c r="M36" s="127"/>
      <c r="N36" s="127"/>
      <c r="O36" s="128"/>
      <c r="P36" s="96"/>
      <c r="Q36" s="120"/>
    </row>
    <row r="37" spans="1:18" x14ac:dyDescent="0.3">
      <c r="A37" s="108">
        <v>3</v>
      </c>
      <c r="B37" s="120">
        <v>3</v>
      </c>
      <c r="C37" s="125"/>
      <c r="D37" s="51"/>
      <c r="E37" s="126"/>
      <c r="F37" s="127"/>
      <c r="G37" s="127"/>
      <c r="H37" s="127"/>
      <c r="I37" s="51"/>
      <c r="J37" s="127"/>
      <c r="K37" s="51"/>
      <c r="L37" s="51"/>
      <c r="M37" s="127"/>
      <c r="N37" s="127"/>
      <c r="O37" s="128"/>
      <c r="P37" s="96"/>
      <c r="Q37" s="120"/>
    </row>
    <row r="38" spans="1:18" x14ac:dyDescent="0.3">
      <c r="A38" s="108">
        <v>4</v>
      </c>
      <c r="B38" s="120">
        <v>4</v>
      </c>
      <c r="C38" s="125"/>
      <c r="D38" s="51"/>
      <c r="E38" s="126"/>
      <c r="F38" s="127"/>
      <c r="G38" s="127"/>
      <c r="H38" s="127"/>
      <c r="I38" s="51"/>
      <c r="J38" s="127"/>
      <c r="K38" s="51"/>
      <c r="L38" s="51"/>
      <c r="M38" s="127"/>
      <c r="N38" s="127"/>
      <c r="O38" s="128"/>
      <c r="P38" s="96"/>
      <c r="Q38" s="120"/>
    </row>
    <row r="39" spans="1:18" x14ac:dyDescent="0.3">
      <c r="A39" s="108">
        <v>5</v>
      </c>
      <c r="B39" s="120">
        <v>5</v>
      </c>
      <c r="C39" s="125"/>
      <c r="D39" s="51"/>
      <c r="E39" s="126"/>
      <c r="F39" s="127"/>
      <c r="G39" s="127"/>
      <c r="H39" s="127"/>
      <c r="I39" s="51"/>
      <c r="J39" s="127"/>
      <c r="K39" s="51"/>
      <c r="L39" s="51"/>
      <c r="M39" s="127"/>
      <c r="N39" s="127"/>
      <c r="O39" s="128"/>
      <c r="P39" s="96"/>
      <c r="Q39" s="120"/>
    </row>
    <row r="40" spans="1:18" x14ac:dyDescent="0.3">
      <c r="A40" s="108">
        <v>6</v>
      </c>
      <c r="B40" s="120">
        <v>6</v>
      </c>
      <c r="C40" s="125"/>
      <c r="D40" s="51"/>
      <c r="E40" s="126"/>
      <c r="F40" s="127"/>
      <c r="G40" s="127"/>
      <c r="H40" s="127"/>
      <c r="I40" s="51"/>
      <c r="J40" s="127"/>
      <c r="K40" s="51"/>
      <c r="L40" s="51"/>
      <c r="M40" s="127"/>
      <c r="N40" s="127"/>
      <c r="O40" s="128"/>
      <c r="P40" s="96"/>
      <c r="Q40" s="120"/>
    </row>
    <row r="41" spans="1:18" x14ac:dyDescent="0.3">
      <c r="A41" s="108">
        <v>7</v>
      </c>
      <c r="B41" s="120">
        <v>7</v>
      </c>
      <c r="C41" s="125"/>
      <c r="D41" s="51"/>
      <c r="E41" s="126"/>
      <c r="F41" s="127"/>
      <c r="G41" s="127"/>
      <c r="H41" s="127"/>
      <c r="I41" s="51"/>
      <c r="J41" s="127"/>
      <c r="K41" s="51"/>
      <c r="L41" s="51"/>
      <c r="M41" s="127"/>
      <c r="N41" s="127"/>
      <c r="O41" s="128"/>
      <c r="P41" s="96"/>
      <c r="Q41" s="120"/>
    </row>
    <row r="42" spans="1:18" x14ac:dyDescent="0.3">
      <c r="A42" s="108">
        <v>8</v>
      </c>
      <c r="B42" s="120">
        <v>8</v>
      </c>
      <c r="C42" s="125"/>
      <c r="D42" s="51"/>
      <c r="E42" s="126"/>
      <c r="F42" s="127"/>
      <c r="G42" s="127"/>
      <c r="H42" s="127"/>
      <c r="I42" s="51"/>
      <c r="J42" s="127"/>
      <c r="K42" s="51"/>
      <c r="L42" s="51"/>
      <c r="M42" s="127"/>
      <c r="N42" s="127"/>
      <c r="O42" s="128"/>
      <c r="P42" s="96"/>
      <c r="Q42" s="120"/>
    </row>
    <row r="43" spans="1:18" x14ac:dyDescent="0.3">
      <c r="A43" s="108">
        <v>9</v>
      </c>
      <c r="B43" s="120">
        <v>9</v>
      </c>
      <c r="C43" s="125"/>
      <c r="D43" s="51"/>
      <c r="E43" s="126"/>
      <c r="F43" s="127"/>
      <c r="G43" s="127"/>
      <c r="H43" s="127"/>
      <c r="I43" s="51"/>
      <c r="J43" s="127"/>
      <c r="K43" s="51"/>
      <c r="L43" s="51"/>
      <c r="M43" s="127"/>
      <c r="N43" s="127"/>
      <c r="O43" s="128"/>
      <c r="P43" s="96"/>
      <c r="Q43" s="120"/>
    </row>
    <row r="44" spans="1:18" x14ac:dyDescent="0.3">
      <c r="A44" s="108">
        <v>10</v>
      </c>
      <c r="B44" s="120">
        <v>10</v>
      </c>
      <c r="C44" s="125"/>
      <c r="D44" s="51"/>
      <c r="E44" s="126"/>
      <c r="F44" s="127"/>
      <c r="G44" s="127"/>
      <c r="H44" s="127"/>
      <c r="I44" s="51"/>
      <c r="J44" s="127"/>
      <c r="K44" s="51"/>
      <c r="L44" s="51"/>
      <c r="M44" s="127"/>
      <c r="N44" s="127"/>
      <c r="O44" s="128"/>
      <c r="P44" s="96"/>
      <c r="Q44" s="120"/>
    </row>
    <row r="45" spans="1:18" x14ac:dyDescent="0.3">
      <c r="A45" s="108">
        <v>11</v>
      </c>
      <c r="B45" s="120">
        <v>11</v>
      </c>
      <c r="C45" s="125"/>
      <c r="D45" s="51"/>
      <c r="E45" s="126"/>
      <c r="F45" s="127"/>
      <c r="G45" s="127"/>
      <c r="H45" s="127"/>
      <c r="I45" s="51"/>
      <c r="J45" s="127"/>
      <c r="K45" s="51"/>
      <c r="L45" s="51"/>
      <c r="M45" s="127"/>
      <c r="N45" s="127"/>
      <c r="O45" s="128"/>
      <c r="P45" s="96"/>
      <c r="Q45" s="120"/>
    </row>
    <row r="46" spans="1:18" x14ac:dyDescent="0.3">
      <c r="A46" s="108">
        <v>12</v>
      </c>
      <c r="B46" s="120">
        <v>12</v>
      </c>
      <c r="C46" s="125"/>
      <c r="D46" s="51"/>
      <c r="E46" s="126"/>
      <c r="F46" s="127"/>
      <c r="G46" s="127"/>
      <c r="H46" s="127"/>
      <c r="I46" s="51"/>
      <c r="J46" s="127"/>
      <c r="K46" s="51"/>
      <c r="L46" s="51"/>
      <c r="M46" s="127"/>
      <c r="N46" s="127"/>
      <c r="O46" s="128"/>
      <c r="P46" s="96"/>
      <c r="Q46" s="120"/>
    </row>
    <row r="47" spans="1:18" x14ac:dyDescent="0.3">
      <c r="A47" s="108">
        <v>13</v>
      </c>
      <c r="B47" s="120">
        <v>13</v>
      </c>
      <c r="C47" s="125"/>
      <c r="D47" s="51"/>
      <c r="E47" s="126"/>
      <c r="F47" s="127"/>
      <c r="G47" s="127"/>
      <c r="H47" s="127"/>
      <c r="I47" s="51"/>
      <c r="J47" s="127"/>
      <c r="K47" s="51"/>
      <c r="L47" s="51"/>
      <c r="M47" s="127"/>
      <c r="N47" s="127"/>
      <c r="O47" s="128"/>
      <c r="P47" s="96"/>
      <c r="Q47" s="120"/>
    </row>
    <row r="48" spans="1:18" x14ac:dyDescent="0.3">
      <c r="A48" s="108">
        <v>14</v>
      </c>
      <c r="B48" s="120">
        <v>14</v>
      </c>
      <c r="C48" s="125"/>
      <c r="D48" s="51"/>
      <c r="E48" s="126"/>
      <c r="F48" s="127"/>
      <c r="G48" s="128"/>
      <c r="H48" s="128"/>
      <c r="I48" s="51"/>
      <c r="J48" s="127"/>
      <c r="K48" s="51"/>
      <c r="L48" s="51"/>
      <c r="M48" s="128"/>
      <c r="N48" s="128"/>
      <c r="O48" s="128"/>
      <c r="P48" s="96"/>
      <c r="Q48" s="120"/>
    </row>
    <row r="49" spans="1:18" x14ac:dyDescent="0.3">
      <c r="A49" s="108">
        <v>15</v>
      </c>
      <c r="B49" s="120">
        <v>15</v>
      </c>
      <c r="C49" s="125"/>
      <c r="D49" s="51"/>
      <c r="E49" s="126"/>
      <c r="F49" s="127"/>
      <c r="G49" s="128"/>
      <c r="H49" s="128"/>
      <c r="I49" s="51"/>
      <c r="J49" s="127"/>
      <c r="K49" s="51"/>
      <c r="L49" s="51"/>
      <c r="M49" s="128"/>
      <c r="N49" s="128"/>
      <c r="O49" s="128"/>
      <c r="P49" s="96"/>
      <c r="Q49" s="120"/>
    </row>
    <row r="50" spans="1:18" x14ac:dyDescent="0.3">
      <c r="A50" s="108">
        <v>16</v>
      </c>
      <c r="B50" s="120">
        <v>16</v>
      </c>
      <c r="C50" s="125"/>
      <c r="D50" s="51"/>
      <c r="E50" s="126"/>
      <c r="F50" s="127"/>
      <c r="G50" s="128"/>
      <c r="H50" s="128"/>
      <c r="I50" s="51"/>
      <c r="J50" s="127"/>
      <c r="K50" s="51"/>
      <c r="L50" s="51"/>
      <c r="M50" s="128"/>
      <c r="N50" s="128"/>
      <c r="O50" s="128"/>
      <c r="P50" s="96"/>
      <c r="Q50" s="120"/>
    </row>
    <row r="51" spans="1:18" x14ac:dyDescent="0.3">
      <c r="A51" s="108">
        <v>17</v>
      </c>
      <c r="B51" s="120">
        <v>17</v>
      </c>
      <c r="C51" s="96"/>
      <c r="D51" s="51"/>
      <c r="E51" s="132"/>
      <c r="F51" s="51"/>
      <c r="G51" s="51"/>
      <c r="H51" s="51"/>
      <c r="I51" s="51"/>
      <c r="J51" s="51"/>
      <c r="K51" s="51"/>
      <c r="L51" s="51"/>
      <c r="M51" s="51"/>
      <c r="N51" s="51"/>
      <c r="O51" s="128"/>
      <c r="P51" s="96"/>
      <c r="Q51" s="120"/>
    </row>
    <row r="52" spans="1:18" x14ac:dyDescent="0.3">
      <c r="A52" s="108">
        <v>18</v>
      </c>
      <c r="B52" s="120">
        <v>18</v>
      </c>
      <c r="C52" s="96"/>
      <c r="D52" s="51"/>
      <c r="E52" s="132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96"/>
      <c r="Q52" s="120"/>
    </row>
    <row r="53" spans="1:18" x14ac:dyDescent="0.3">
      <c r="A53" s="108">
        <v>19</v>
      </c>
      <c r="B53" s="120">
        <v>19</v>
      </c>
      <c r="C53" s="96"/>
      <c r="D53" s="51"/>
      <c r="E53" s="132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96"/>
      <c r="Q53" s="120"/>
    </row>
    <row r="54" spans="1:18" x14ac:dyDescent="0.3">
      <c r="B54" s="120">
        <v>20</v>
      </c>
      <c r="C54" s="96"/>
      <c r="D54" s="51"/>
      <c r="E54" s="132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96"/>
      <c r="Q54" s="120"/>
    </row>
    <row r="55" spans="1:18" ht="14.4" thickBot="1" x14ac:dyDescent="0.35">
      <c r="A55" s="108">
        <v>0</v>
      </c>
      <c r="B55" s="129" t="s">
        <v>24</v>
      </c>
      <c r="C55" s="130"/>
      <c r="D55" s="130"/>
      <c r="E55" s="130"/>
      <c r="F55" s="133">
        <f t="shared" ref="F55:P55" si="1">SUM(F35:F54)</f>
        <v>0</v>
      </c>
      <c r="G55" s="133">
        <f t="shared" si="1"/>
        <v>0</v>
      </c>
      <c r="H55" s="133">
        <f t="shared" si="1"/>
        <v>0</v>
      </c>
      <c r="I55" s="133">
        <f t="shared" si="1"/>
        <v>0</v>
      </c>
      <c r="J55" s="133">
        <f t="shared" si="1"/>
        <v>0</v>
      </c>
      <c r="K55" s="133">
        <f t="shared" si="1"/>
        <v>0</v>
      </c>
      <c r="L55" s="133">
        <f t="shared" si="1"/>
        <v>0</v>
      </c>
      <c r="M55" s="133">
        <f t="shared" si="1"/>
        <v>0</v>
      </c>
      <c r="N55" s="133">
        <f t="shared" si="1"/>
        <v>0</v>
      </c>
      <c r="O55" s="133">
        <f t="shared" si="1"/>
        <v>0</v>
      </c>
      <c r="P55" s="133">
        <f t="shared" si="1"/>
        <v>0</v>
      </c>
      <c r="Q55" s="103"/>
    </row>
    <row r="56" spans="1:18" ht="14.4" thickTop="1" x14ac:dyDescent="0.3">
      <c r="B56" s="88"/>
      <c r="C56" s="88"/>
      <c r="D56" s="88"/>
      <c r="E56" s="88"/>
      <c r="F56" s="87"/>
      <c r="G56" s="87"/>
      <c r="H56" s="87"/>
      <c r="I56" s="87"/>
      <c r="J56" s="87"/>
      <c r="K56" s="87"/>
      <c r="L56" s="87"/>
      <c r="M56" s="87"/>
      <c r="N56" s="87"/>
      <c r="O56" s="87"/>
      <c r="P56" s="87"/>
      <c r="Q56" s="88"/>
    </row>
    <row r="57" spans="1:18" x14ac:dyDescent="0.3">
      <c r="B57" s="88"/>
      <c r="C57" s="88"/>
      <c r="D57" s="88"/>
      <c r="E57" s="88"/>
      <c r="F57" s="87"/>
      <c r="G57" s="87"/>
      <c r="H57" s="87"/>
      <c r="I57" s="87"/>
      <c r="J57" s="87"/>
      <c r="K57" s="87"/>
      <c r="L57" s="87"/>
      <c r="M57" s="87"/>
      <c r="N57" s="87"/>
      <c r="O57" s="87"/>
      <c r="P57" s="87"/>
      <c r="Q57" s="88"/>
    </row>
    <row r="58" spans="1:18" x14ac:dyDescent="0.3">
      <c r="A58" s="108">
        <v>0</v>
      </c>
      <c r="B58" s="88"/>
      <c r="C58" s="88"/>
      <c r="D58" s="88"/>
      <c r="E58" s="88"/>
      <c r="F58" s="87"/>
      <c r="G58" s="87"/>
      <c r="H58" s="87"/>
      <c r="I58" s="87"/>
      <c r="J58" s="87"/>
      <c r="K58" s="87"/>
      <c r="L58" s="87"/>
      <c r="M58" s="87"/>
      <c r="N58" s="87"/>
      <c r="O58" s="87"/>
      <c r="P58" s="87"/>
      <c r="Q58" s="88"/>
    </row>
    <row r="59" spans="1:18" x14ac:dyDescent="0.3">
      <c r="A59" s="108">
        <v>0</v>
      </c>
      <c r="B59" s="88" t="s">
        <v>20</v>
      </c>
      <c r="C59" s="88"/>
      <c r="F59" s="87"/>
      <c r="G59" s="87"/>
      <c r="H59" s="87" t="s">
        <v>21</v>
      </c>
      <c r="I59" s="87"/>
      <c r="J59" s="87"/>
      <c r="K59" s="87"/>
      <c r="L59" s="87"/>
      <c r="M59" s="87"/>
      <c r="N59" s="87"/>
      <c r="O59" s="87"/>
      <c r="P59" s="87"/>
      <c r="Q59" s="88"/>
    </row>
    <row r="60" spans="1:18" x14ac:dyDescent="0.3">
      <c r="A60" s="108">
        <v>0</v>
      </c>
      <c r="B60" s="88" t="s">
        <v>12</v>
      </c>
      <c r="C60" s="88"/>
      <c r="F60" s="87"/>
      <c r="G60" s="87"/>
      <c r="H60" s="87" t="s">
        <v>16</v>
      </c>
      <c r="I60" s="87"/>
      <c r="J60" s="87"/>
      <c r="K60" s="87"/>
      <c r="L60" s="87"/>
      <c r="M60" s="87"/>
      <c r="N60" s="87"/>
      <c r="O60" s="87"/>
      <c r="P60" s="87"/>
      <c r="Q60" s="88"/>
    </row>
    <row r="61" spans="1:18" x14ac:dyDescent="0.3">
      <c r="A61" s="108">
        <v>0</v>
      </c>
      <c r="B61" s="88"/>
      <c r="C61" s="88"/>
      <c r="F61" s="87"/>
      <c r="G61" s="87"/>
      <c r="H61" s="87" t="s">
        <v>22</v>
      </c>
      <c r="I61" s="87"/>
      <c r="J61" s="87"/>
      <c r="K61" s="87"/>
      <c r="L61" s="87"/>
      <c r="M61" s="87"/>
      <c r="N61" s="87"/>
      <c r="O61" s="87"/>
      <c r="P61" s="87"/>
      <c r="Q61" s="88"/>
    </row>
    <row r="62" spans="1:18" ht="14.4" customHeight="1" x14ac:dyDescent="0.3">
      <c r="A62" s="108">
        <v>0</v>
      </c>
      <c r="B62" s="88" t="s">
        <v>41</v>
      </c>
      <c r="C62" s="88"/>
      <c r="D62" s="88" t="str">
        <f>D1</f>
        <v>S A M Perera</v>
      </c>
      <c r="E62" s="88"/>
      <c r="F62" s="87"/>
      <c r="G62" s="87"/>
      <c r="H62" s="87"/>
      <c r="I62" s="87"/>
      <c r="J62" s="87"/>
      <c r="K62" s="87"/>
      <c r="L62" s="87"/>
      <c r="M62" s="87"/>
      <c r="N62" s="87" t="s">
        <v>40</v>
      </c>
      <c r="O62" s="87"/>
      <c r="P62" s="87"/>
      <c r="Q62" s="88" t="str">
        <f>Q1</f>
        <v>SAM/CENTRAL/KY/NC/26/DEC/1-A</v>
      </c>
    </row>
    <row r="63" spans="1:18" x14ac:dyDescent="0.3">
      <c r="A63" s="108">
        <v>0</v>
      </c>
      <c r="B63" s="88"/>
      <c r="C63" s="88"/>
      <c r="D63" s="88"/>
      <c r="E63" s="88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8"/>
    </row>
    <row r="64" spans="1:18" ht="24.9" customHeight="1" x14ac:dyDescent="0.3">
      <c r="A64" s="108">
        <v>0</v>
      </c>
      <c r="B64" s="236" t="s">
        <v>121</v>
      </c>
      <c r="C64" s="236"/>
      <c r="D64" s="236"/>
      <c r="E64" s="236"/>
      <c r="F64" s="236"/>
      <c r="G64" s="236"/>
      <c r="H64" s="236"/>
      <c r="I64" s="236"/>
      <c r="J64" s="236"/>
      <c r="K64" s="236"/>
      <c r="L64" s="236"/>
      <c r="M64" s="236"/>
      <c r="N64" s="236"/>
      <c r="O64" s="236"/>
      <c r="P64" s="236"/>
      <c r="Q64" s="236"/>
      <c r="R64" s="115"/>
    </row>
    <row r="65" spans="1:17" ht="60.6" customHeight="1" x14ac:dyDescent="0.3">
      <c r="A65" s="108">
        <v>0</v>
      </c>
      <c r="B65" s="116" t="s">
        <v>17</v>
      </c>
      <c r="C65" s="116" t="s">
        <v>18</v>
      </c>
      <c r="D65" s="117" t="s">
        <v>30</v>
      </c>
      <c r="E65" s="118" t="s">
        <v>19</v>
      </c>
      <c r="F65" s="119" t="s">
        <v>23</v>
      </c>
      <c r="G65" s="119" t="s">
        <v>38</v>
      </c>
      <c r="H65" s="119" t="s">
        <v>42</v>
      </c>
      <c r="I65" s="119" t="s">
        <v>43</v>
      </c>
      <c r="J65" s="119" t="s">
        <v>33</v>
      </c>
      <c r="K65" s="119" t="s">
        <v>44</v>
      </c>
      <c r="L65" s="119" t="s">
        <v>53</v>
      </c>
      <c r="M65" s="119" t="s">
        <v>91</v>
      </c>
      <c r="N65" s="119" t="s">
        <v>92</v>
      </c>
      <c r="O65" s="119" t="s">
        <v>34</v>
      </c>
      <c r="P65" s="119" t="s">
        <v>90</v>
      </c>
      <c r="Q65" s="116" t="s">
        <v>39</v>
      </c>
    </row>
    <row r="66" spans="1:17" x14ac:dyDescent="0.3">
      <c r="A66" s="108">
        <v>1</v>
      </c>
      <c r="B66" s="120">
        <v>1</v>
      </c>
      <c r="C66" s="96"/>
      <c r="D66" s="123"/>
      <c r="E66" s="132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134"/>
      <c r="Q66" s="120"/>
    </row>
    <row r="67" spans="1:17" x14ac:dyDescent="0.3">
      <c r="A67" s="108">
        <v>2</v>
      </c>
      <c r="B67" s="120">
        <v>2</v>
      </c>
      <c r="C67" s="96"/>
      <c r="D67" s="123"/>
      <c r="E67" s="132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134"/>
      <c r="Q67" s="120"/>
    </row>
    <row r="68" spans="1:17" x14ac:dyDescent="0.3">
      <c r="A68" s="108">
        <v>3</v>
      </c>
      <c r="B68" s="120">
        <v>3</v>
      </c>
      <c r="C68" s="96"/>
      <c r="D68" s="123"/>
      <c r="E68" s="132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134"/>
      <c r="Q68" s="120"/>
    </row>
    <row r="69" spans="1:17" x14ac:dyDescent="0.3">
      <c r="A69" s="108">
        <v>4</v>
      </c>
      <c r="B69" s="120">
        <v>4</v>
      </c>
      <c r="C69" s="135"/>
      <c r="D69" s="123"/>
      <c r="E69" s="136"/>
      <c r="F69" s="96"/>
      <c r="G69" s="96"/>
      <c r="H69" s="137"/>
      <c r="I69" s="134"/>
      <c r="J69" s="96"/>
      <c r="K69" s="134"/>
      <c r="L69" s="134"/>
      <c r="M69" s="96"/>
      <c r="N69" s="96"/>
      <c r="O69" s="134"/>
      <c r="P69" s="134"/>
      <c r="Q69" s="120"/>
    </row>
    <row r="70" spans="1:17" x14ac:dyDescent="0.3">
      <c r="A70" s="108">
        <v>5</v>
      </c>
      <c r="B70" s="120">
        <v>5</v>
      </c>
      <c r="C70" s="135"/>
      <c r="D70" s="123"/>
      <c r="E70" s="136"/>
      <c r="F70" s="96"/>
      <c r="G70" s="96"/>
      <c r="H70" s="137"/>
      <c r="I70" s="134"/>
      <c r="J70" s="96"/>
      <c r="K70" s="134"/>
      <c r="L70" s="134"/>
      <c r="M70" s="96"/>
      <c r="N70" s="96"/>
      <c r="O70" s="134"/>
      <c r="P70" s="134"/>
      <c r="Q70" s="120"/>
    </row>
    <row r="71" spans="1:17" x14ac:dyDescent="0.3">
      <c r="A71" s="108">
        <v>6</v>
      </c>
      <c r="B71" s="120">
        <v>6</v>
      </c>
      <c r="C71" s="138"/>
      <c r="D71" s="120"/>
      <c r="E71" s="139"/>
      <c r="F71" s="134"/>
      <c r="G71" s="134"/>
      <c r="H71" s="134"/>
      <c r="I71" s="134"/>
      <c r="J71" s="134"/>
      <c r="K71" s="134"/>
      <c r="L71" s="134"/>
      <c r="M71" s="134"/>
      <c r="N71" s="134"/>
      <c r="O71" s="134"/>
      <c r="P71" s="134"/>
      <c r="Q71" s="120"/>
    </row>
    <row r="72" spans="1:17" x14ac:dyDescent="0.3">
      <c r="A72" s="108">
        <v>7</v>
      </c>
      <c r="B72" s="120">
        <v>7</v>
      </c>
      <c r="C72" s="138"/>
      <c r="D72" s="120"/>
      <c r="E72" s="139"/>
      <c r="F72" s="134"/>
      <c r="G72" s="134"/>
      <c r="H72" s="134"/>
      <c r="I72" s="134"/>
      <c r="J72" s="134"/>
      <c r="K72" s="134"/>
      <c r="L72" s="134"/>
      <c r="M72" s="134"/>
      <c r="N72" s="134"/>
      <c r="O72" s="134"/>
      <c r="P72" s="134"/>
      <c r="Q72" s="120"/>
    </row>
    <row r="73" spans="1:17" x14ac:dyDescent="0.3">
      <c r="A73" s="108">
        <v>8</v>
      </c>
      <c r="B73" s="120">
        <v>8</v>
      </c>
      <c r="C73" s="138"/>
      <c r="D73" s="120"/>
      <c r="E73" s="139"/>
      <c r="F73" s="134"/>
      <c r="G73" s="134"/>
      <c r="H73" s="134"/>
      <c r="I73" s="134"/>
      <c r="J73" s="134"/>
      <c r="K73" s="134"/>
      <c r="L73" s="134"/>
      <c r="M73" s="134"/>
      <c r="N73" s="134"/>
      <c r="O73" s="134"/>
      <c r="P73" s="134"/>
      <c r="Q73" s="120"/>
    </row>
    <row r="74" spans="1:17" x14ac:dyDescent="0.3">
      <c r="A74" s="108">
        <v>9</v>
      </c>
      <c r="B74" s="120">
        <v>9</v>
      </c>
      <c r="C74" s="138"/>
      <c r="D74" s="120"/>
      <c r="E74" s="139"/>
      <c r="F74" s="134"/>
      <c r="G74" s="134"/>
      <c r="H74" s="134"/>
      <c r="I74" s="134"/>
      <c r="J74" s="134"/>
      <c r="K74" s="134"/>
      <c r="L74" s="134"/>
      <c r="M74" s="134"/>
      <c r="N74" s="134"/>
      <c r="O74" s="134"/>
      <c r="P74" s="134"/>
      <c r="Q74" s="120"/>
    </row>
    <row r="75" spans="1:17" x14ac:dyDescent="0.3">
      <c r="A75" s="108">
        <v>10</v>
      </c>
      <c r="B75" s="120">
        <v>10</v>
      </c>
      <c r="C75" s="138"/>
      <c r="D75" s="120"/>
      <c r="E75" s="139"/>
      <c r="F75" s="134"/>
      <c r="G75" s="134"/>
      <c r="H75" s="134"/>
      <c r="I75" s="134"/>
      <c r="J75" s="134"/>
      <c r="K75" s="134"/>
      <c r="L75" s="134"/>
      <c r="M75" s="134"/>
      <c r="N75" s="134"/>
      <c r="O75" s="134"/>
      <c r="P75" s="134"/>
      <c r="Q75" s="120"/>
    </row>
    <row r="76" spans="1:17" x14ac:dyDescent="0.3">
      <c r="A76" s="108">
        <v>11</v>
      </c>
      <c r="B76" s="120">
        <v>11</v>
      </c>
      <c r="C76" s="138"/>
      <c r="D76" s="120"/>
      <c r="E76" s="139"/>
      <c r="F76" s="134"/>
      <c r="G76" s="134"/>
      <c r="H76" s="134"/>
      <c r="I76" s="134"/>
      <c r="J76" s="134"/>
      <c r="K76" s="134"/>
      <c r="L76" s="134"/>
      <c r="M76" s="134"/>
      <c r="N76" s="134"/>
      <c r="O76" s="134"/>
      <c r="P76" s="134"/>
      <c r="Q76" s="120"/>
    </row>
    <row r="77" spans="1:17" x14ac:dyDescent="0.3">
      <c r="A77" s="108">
        <v>12</v>
      </c>
      <c r="B77" s="120">
        <v>12</v>
      </c>
      <c r="C77" s="138"/>
      <c r="D77" s="120"/>
      <c r="E77" s="139"/>
      <c r="F77" s="134"/>
      <c r="G77" s="134"/>
      <c r="H77" s="134"/>
      <c r="I77" s="134"/>
      <c r="J77" s="134"/>
      <c r="K77" s="134"/>
      <c r="L77" s="134"/>
      <c r="M77" s="134"/>
      <c r="N77" s="134"/>
      <c r="O77" s="134"/>
      <c r="P77" s="134"/>
      <c r="Q77" s="120"/>
    </row>
    <row r="78" spans="1:17" x14ac:dyDescent="0.3">
      <c r="A78" s="108">
        <v>13</v>
      </c>
      <c r="B78" s="120">
        <v>13</v>
      </c>
      <c r="C78" s="138"/>
      <c r="D78" s="120"/>
      <c r="E78" s="139"/>
      <c r="F78" s="134"/>
      <c r="G78" s="134"/>
      <c r="H78" s="134"/>
      <c r="I78" s="134"/>
      <c r="J78" s="134"/>
      <c r="K78" s="134"/>
      <c r="L78" s="134"/>
      <c r="M78" s="134"/>
      <c r="N78" s="134"/>
      <c r="O78" s="134"/>
      <c r="P78" s="134"/>
      <c r="Q78" s="120"/>
    </row>
    <row r="79" spans="1:17" x14ac:dyDescent="0.3">
      <c r="A79" s="108">
        <v>14</v>
      </c>
      <c r="B79" s="120">
        <v>14</v>
      </c>
      <c r="C79" s="138"/>
      <c r="D79" s="120"/>
      <c r="E79" s="139"/>
      <c r="F79" s="134"/>
      <c r="G79" s="134"/>
      <c r="H79" s="134"/>
      <c r="I79" s="134"/>
      <c r="J79" s="134"/>
      <c r="K79" s="134"/>
      <c r="L79" s="134"/>
      <c r="M79" s="134"/>
      <c r="N79" s="134"/>
      <c r="O79" s="134"/>
      <c r="P79" s="134"/>
      <c r="Q79" s="120"/>
    </row>
    <row r="80" spans="1:17" x14ac:dyDescent="0.3">
      <c r="A80" s="108">
        <v>15</v>
      </c>
      <c r="B80" s="120">
        <v>15</v>
      </c>
      <c r="C80" s="138"/>
      <c r="D80" s="120"/>
      <c r="E80" s="139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20"/>
    </row>
    <row r="81" spans="1:18" x14ac:dyDescent="0.3">
      <c r="A81" s="108">
        <v>16</v>
      </c>
      <c r="B81" s="120">
        <v>16</v>
      </c>
      <c r="C81" s="138"/>
      <c r="D81" s="120"/>
      <c r="E81" s="139"/>
      <c r="F81" s="134"/>
      <c r="G81" s="134"/>
      <c r="H81" s="134"/>
      <c r="I81" s="134"/>
      <c r="J81" s="134"/>
      <c r="K81" s="134"/>
      <c r="L81" s="134"/>
      <c r="M81" s="134"/>
      <c r="N81" s="134"/>
      <c r="O81" s="134"/>
      <c r="P81" s="134"/>
      <c r="Q81" s="120"/>
    </row>
    <row r="82" spans="1:18" x14ac:dyDescent="0.3">
      <c r="A82" s="108">
        <v>17</v>
      </c>
      <c r="B82" s="120">
        <v>17</v>
      </c>
      <c r="C82" s="138"/>
      <c r="D82" s="120"/>
      <c r="E82" s="139"/>
      <c r="F82" s="134"/>
      <c r="G82" s="134"/>
      <c r="H82" s="134"/>
      <c r="I82" s="134"/>
      <c r="J82" s="134"/>
      <c r="K82" s="134"/>
      <c r="L82" s="134"/>
      <c r="M82" s="134"/>
      <c r="N82" s="134"/>
      <c r="O82" s="134"/>
      <c r="P82" s="134"/>
      <c r="Q82" s="120"/>
    </row>
    <row r="83" spans="1:18" x14ac:dyDescent="0.3">
      <c r="A83" s="108">
        <v>18</v>
      </c>
      <c r="B83" s="120">
        <v>18</v>
      </c>
      <c r="C83" s="138"/>
      <c r="D83" s="120"/>
      <c r="E83" s="139"/>
      <c r="F83" s="134"/>
      <c r="G83" s="134"/>
      <c r="H83" s="134"/>
      <c r="I83" s="134"/>
      <c r="J83" s="134"/>
      <c r="K83" s="134"/>
      <c r="L83" s="134"/>
      <c r="M83" s="134"/>
      <c r="N83" s="134"/>
      <c r="O83" s="134"/>
      <c r="P83" s="134"/>
      <c r="Q83" s="120"/>
    </row>
    <row r="84" spans="1:18" x14ac:dyDescent="0.3">
      <c r="A84" s="108">
        <v>19</v>
      </c>
      <c r="B84" s="120">
        <v>19</v>
      </c>
      <c r="C84" s="138"/>
      <c r="D84" s="120"/>
      <c r="E84" s="139"/>
      <c r="F84" s="134"/>
      <c r="G84" s="134"/>
      <c r="H84" s="134"/>
      <c r="I84" s="134"/>
      <c r="J84" s="134"/>
      <c r="K84" s="134"/>
      <c r="L84" s="134"/>
      <c r="M84" s="134"/>
      <c r="N84" s="134"/>
      <c r="O84" s="134"/>
      <c r="P84" s="134"/>
      <c r="Q84" s="120"/>
    </row>
    <row r="85" spans="1:18" x14ac:dyDescent="0.3">
      <c r="A85" s="108">
        <v>20</v>
      </c>
      <c r="B85" s="120">
        <v>20</v>
      </c>
      <c r="C85" s="138"/>
      <c r="D85" s="120"/>
      <c r="E85" s="139"/>
      <c r="F85" s="134"/>
      <c r="G85" s="134"/>
      <c r="H85" s="134"/>
      <c r="I85" s="134"/>
      <c r="J85" s="134"/>
      <c r="K85" s="134"/>
      <c r="L85" s="134"/>
      <c r="M85" s="134"/>
      <c r="N85" s="134"/>
      <c r="O85" s="134"/>
      <c r="P85" s="134"/>
      <c r="Q85" s="120"/>
    </row>
    <row r="86" spans="1:18" ht="14.4" thickBot="1" x14ac:dyDescent="0.35">
      <c r="A86" s="108">
        <v>0</v>
      </c>
      <c r="B86" s="129" t="s">
        <v>24</v>
      </c>
      <c r="C86" s="130"/>
      <c r="D86" s="130"/>
      <c r="E86" s="130"/>
      <c r="F86" s="133">
        <f>SUM(F66:F85)</f>
        <v>0</v>
      </c>
      <c r="G86" s="133">
        <f t="shared" ref="G86:P86" si="2">SUM(G66:G85)</f>
        <v>0</v>
      </c>
      <c r="H86" s="133">
        <f t="shared" si="2"/>
        <v>0</v>
      </c>
      <c r="I86" s="133">
        <f t="shared" si="2"/>
        <v>0</v>
      </c>
      <c r="J86" s="133">
        <f t="shared" si="2"/>
        <v>0</v>
      </c>
      <c r="K86" s="133">
        <f t="shared" si="2"/>
        <v>0</v>
      </c>
      <c r="L86" s="133">
        <f t="shared" si="2"/>
        <v>0</v>
      </c>
      <c r="M86" s="133">
        <f t="shared" si="2"/>
        <v>0</v>
      </c>
      <c r="N86" s="133">
        <f t="shared" si="2"/>
        <v>0</v>
      </c>
      <c r="O86" s="133">
        <f t="shared" si="2"/>
        <v>0</v>
      </c>
      <c r="P86" s="133">
        <f t="shared" si="2"/>
        <v>0</v>
      </c>
      <c r="Q86" s="103"/>
    </row>
    <row r="87" spans="1:18" ht="14.4" thickTop="1" x14ac:dyDescent="0.3">
      <c r="A87" s="108">
        <v>0</v>
      </c>
      <c r="B87" s="88"/>
      <c r="C87" s="88"/>
      <c r="D87" s="88"/>
      <c r="E87" s="88"/>
      <c r="F87" s="87"/>
      <c r="G87" s="87"/>
      <c r="H87" s="87"/>
      <c r="I87" s="87"/>
      <c r="J87" s="87"/>
      <c r="K87" s="87"/>
      <c r="L87" s="87"/>
      <c r="M87" s="87"/>
      <c r="N87" s="87"/>
      <c r="O87" s="87"/>
      <c r="P87" s="87"/>
      <c r="Q87" s="88"/>
    </row>
    <row r="88" spans="1:18" x14ac:dyDescent="0.3">
      <c r="A88" s="108">
        <v>0</v>
      </c>
      <c r="B88" s="88"/>
      <c r="C88" s="88"/>
      <c r="D88" s="88"/>
      <c r="E88" s="88"/>
      <c r="F88" s="87"/>
      <c r="G88" s="87"/>
      <c r="H88" s="87"/>
      <c r="I88" s="87"/>
      <c r="J88" s="87"/>
      <c r="K88" s="87"/>
      <c r="L88" s="87"/>
      <c r="M88" s="87"/>
      <c r="N88" s="87"/>
      <c r="O88" s="87"/>
      <c r="P88" s="87"/>
      <c r="Q88" s="88"/>
    </row>
    <row r="89" spans="1:18" x14ac:dyDescent="0.3">
      <c r="A89" s="108">
        <v>0</v>
      </c>
      <c r="B89" s="88" t="s">
        <v>20</v>
      </c>
      <c r="C89" s="88"/>
      <c r="F89" s="87"/>
      <c r="G89" s="87"/>
      <c r="H89" s="87" t="s">
        <v>21</v>
      </c>
      <c r="I89" s="87"/>
      <c r="J89" s="87"/>
      <c r="K89" s="87"/>
      <c r="L89" s="87"/>
      <c r="M89" s="87"/>
      <c r="N89" s="87"/>
      <c r="O89" s="87"/>
      <c r="P89" s="87"/>
      <c r="Q89" s="88"/>
    </row>
    <row r="90" spans="1:18" x14ac:dyDescent="0.3">
      <c r="A90" s="108">
        <v>0</v>
      </c>
      <c r="B90" s="88" t="s">
        <v>12</v>
      </c>
      <c r="C90" s="88"/>
      <c r="F90" s="87"/>
      <c r="G90" s="87"/>
      <c r="H90" s="87" t="s">
        <v>16</v>
      </c>
      <c r="I90" s="87"/>
      <c r="J90" s="87"/>
      <c r="K90" s="87"/>
      <c r="L90" s="87"/>
      <c r="M90" s="87"/>
      <c r="N90" s="87"/>
      <c r="O90" s="87"/>
      <c r="P90" s="87"/>
      <c r="Q90" s="88"/>
    </row>
    <row r="91" spans="1:18" x14ac:dyDescent="0.3">
      <c r="A91" s="108">
        <v>0</v>
      </c>
      <c r="B91" s="88"/>
      <c r="C91" s="88"/>
      <c r="F91" s="87"/>
      <c r="G91" s="87"/>
      <c r="H91" s="87" t="s">
        <v>22</v>
      </c>
      <c r="I91" s="87"/>
      <c r="J91" s="87"/>
      <c r="K91" s="87"/>
      <c r="L91" s="87"/>
      <c r="M91" s="87"/>
      <c r="N91" s="87"/>
      <c r="O91" s="87"/>
      <c r="P91" s="87"/>
      <c r="Q91" s="88"/>
    </row>
    <row r="92" spans="1:18" ht="14.4" customHeight="1" x14ac:dyDescent="0.3">
      <c r="A92" s="108">
        <v>0</v>
      </c>
      <c r="B92" s="88" t="s">
        <v>41</v>
      </c>
      <c r="C92" s="88"/>
      <c r="D92" s="88" t="str">
        <f>D1</f>
        <v>S A M Perera</v>
      </c>
      <c r="E92" s="88"/>
      <c r="F92" s="87"/>
      <c r="G92" s="87"/>
      <c r="H92" s="87"/>
      <c r="I92" s="87"/>
      <c r="J92" s="87"/>
      <c r="K92" s="87"/>
      <c r="L92" s="87"/>
      <c r="M92" s="87"/>
      <c r="N92" s="87" t="s">
        <v>40</v>
      </c>
      <c r="O92" s="87"/>
      <c r="P92" s="87"/>
      <c r="Q92" s="88" t="str">
        <f>Q1</f>
        <v>SAM/CENTRAL/KY/NC/26/DEC/1-A</v>
      </c>
    </row>
    <row r="93" spans="1:18" x14ac:dyDescent="0.3">
      <c r="A93" s="108">
        <v>0</v>
      </c>
      <c r="B93" s="88"/>
      <c r="C93" s="88"/>
      <c r="D93" s="88"/>
      <c r="E93" s="88"/>
      <c r="F93" s="87"/>
      <c r="G93" s="87"/>
      <c r="H93" s="87"/>
      <c r="I93" s="87"/>
      <c r="J93" s="87"/>
      <c r="K93" s="87"/>
      <c r="L93" s="87"/>
      <c r="M93" s="87"/>
      <c r="N93" s="87"/>
      <c r="O93" s="87"/>
      <c r="P93" s="87"/>
      <c r="Q93" s="88"/>
    </row>
    <row r="94" spans="1:18" ht="24.9" customHeight="1" x14ac:dyDescent="0.3">
      <c r="A94" s="108">
        <v>0</v>
      </c>
      <c r="B94" s="140" t="s">
        <v>47</v>
      </c>
      <c r="C94" s="141"/>
      <c r="D94" s="141"/>
      <c r="E94" s="141"/>
      <c r="F94" s="142"/>
      <c r="G94" s="142"/>
      <c r="H94" s="142"/>
      <c r="I94" s="142"/>
      <c r="J94" s="142"/>
      <c r="K94" s="142"/>
      <c r="L94" s="142"/>
      <c r="M94" s="142"/>
      <c r="N94" s="142"/>
      <c r="O94" s="142"/>
      <c r="P94" s="142"/>
      <c r="Q94" s="141"/>
      <c r="R94" s="115"/>
    </row>
    <row r="95" spans="1:18" ht="60.6" customHeight="1" x14ac:dyDescent="0.3">
      <c r="A95" s="108">
        <v>0</v>
      </c>
      <c r="B95" s="143" t="s">
        <v>17</v>
      </c>
      <c r="C95" s="143" t="s">
        <v>18</v>
      </c>
      <c r="D95" s="144" t="s">
        <v>30</v>
      </c>
      <c r="E95" s="145" t="s">
        <v>19</v>
      </c>
      <c r="F95" s="146" t="s">
        <v>23</v>
      </c>
      <c r="G95" s="146" t="s">
        <v>38</v>
      </c>
      <c r="H95" s="146" t="s">
        <v>42</v>
      </c>
      <c r="I95" s="146" t="s">
        <v>43</v>
      </c>
      <c r="J95" s="146" t="s">
        <v>33</v>
      </c>
      <c r="K95" s="146" t="s">
        <v>44</v>
      </c>
      <c r="L95" s="146" t="s">
        <v>53</v>
      </c>
      <c r="M95" s="146" t="s">
        <v>91</v>
      </c>
      <c r="N95" s="146" t="s">
        <v>92</v>
      </c>
      <c r="O95" s="146" t="s">
        <v>34</v>
      </c>
      <c r="P95" s="146" t="s">
        <v>90</v>
      </c>
      <c r="Q95" s="143" t="s">
        <v>39</v>
      </c>
    </row>
    <row r="96" spans="1:18" x14ac:dyDescent="0.3">
      <c r="A96" s="108">
        <v>1</v>
      </c>
      <c r="B96" s="120">
        <v>1</v>
      </c>
      <c r="C96" s="138"/>
      <c r="D96" s="120"/>
      <c r="E96" s="139"/>
      <c r="F96" s="134"/>
      <c r="G96" s="134"/>
      <c r="H96" s="134"/>
      <c r="I96" s="134"/>
      <c r="J96" s="134"/>
      <c r="K96" s="134"/>
      <c r="L96" s="134"/>
      <c r="M96" s="134"/>
      <c r="N96" s="134"/>
      <c r="O96" s="134"/>
      <c r="P96" s="134"/>
      <c r="Q96" s="120"/>
    </row>
    <row r="97" spans="1:17" x14ac:dyDescent="0.3">
      <c r="A97" s="108">
        <v>2</v>
      </c>
      <c r="B97" s="120">
        <v>2</v>
      </c>
      <c r="C97" s="138"/>
      <c r="D97" s="120"/>
      <c r="E97" s="139"/>
      <c r="F97" s="134"/>
      <c r="G97" s="134"/>
      <c r="H97" s="134"/>
      <c r="I97" s="134"/>
      <c r="J97" s="134"/>
      <c r="K97" s="134"/>
      <c r="L97" s="134"/>
      <c r="M97" s="134"/>
      <c r="N97" s="134"/>
      <c r="O97" s="134"/>
      <c r="P97" s="134"/>
      <c r="Q97" s="120"/>
    </row>
    <row r="98" spans="1:17" x14ac:dyDescent="0.3">
      <c r="A98" s="108">
        <v>3</v>
      </c>
      <c r="B98" s="120">
        <v>3</v>
      </c>
      <c r="C98" s="138"/>
      <c r="D98" s="120"/>
      <c r="E98" s="139"/>
      <c r="F98" s="134"/>
      <c r="G98" s="134"/>
      <c r="H98" s="134"/>
      <c r="I98" s="134"/>
      <c r="J98" s="134"/>
      <c r="K98" s="134"/>
      <c r="L98" s="134"/>
      <c r="M98" s="134"/>
      <c r="N98" s="134"/>
      <c r="O98" s="134"/>
      <c r="P98" s="134"/>
      <c r="Q98" s="120"/>
    </row>
    <row r="99" spans="1:17" x14ac:dyDescent="0.3">
      <c r="A99" s="108">
        <v>4</v>
      </c>
      <c r="B99" s="120">
        <v>4</v>
      </c>
      <c r="C99" s="138"/>
      <c r="D99" s="120"/>
      <c r="E99" s="139"/>
      <c r="F99" s="134"/>
      <c r="G99" s="134"/>
      <c r="H99" s="134"/>
      <c r="I99" s="134"/>
      <c r="J99" s="134"/>
      <c r="K99" s="134"/>
      <c r="L99" s="134"/>
      <c r="M99" s="134"/>
      <c r="N99" s="134"/>
      <c r="O99" s="134"/>
      <c r="P99" s="134"/>
      <c r="Q99" s="120"/>
    </row>
    <row r="100" spans="1:17" x14ac:dyDescent="0.3">
      <c r="A100" s="108">
        <v>5</v>
      </c>
      <c r="B100" s="120">
        <v>5</v>
      </c>
      <c r="C100" s="138"/>
      <c r="D100" s="120"/>
      <c r="E100" s="139"/>
      <c r="F100" s="134"/>
      <c r="G100" s="134"/>
      <c r="H100" s="134"/>
      <c r="I100" s="134"/>
      <c r="J100" s="134"/>
      <c r="K100" s="134"/>
      <c r="L100" s="134"/>
      <c r="M100" s="134"/>
      <c r="N100" s="134"/>
      <c r="O100" s="134"/>
      <c r="P100" s="134"/>
      <c r="Q100" s="120"/>
    </row>
    <row r="101" spans="1:17" x14ac:dyDescent="0.3">
      <c r="A101" s="108">
        <v>6</v>
      </c>
      <c r="B101" s="120">
        <v>6</v>
      </c>
      <c r="C101" s="138"/>
      <c r="D101" s="120"/>
      <c r="E101" s="139"/>
      <c r="F101" s="134"/>
      <c r="G101" s="134"/>
      <c r="H101" s="134"/>
      <c r="I101" s="134"/>
      <c r="J101" s="134"/>
      <c r="K101" s="134"/>
      <c r="L101" s="134"/>
      <c r="M101" s="134"/>
      <c r="N101" s="134"/>
      <c r="O101" s="134"/>
      <c r="P101" s="134"/>
      <c r="Q101" s="120"/>
    </row>
    <row r="102" spans="1:17" x14ac:dyDescent="0.3">
      <c r="A102" s="108">
        <v>7</v>
      </c>
      <c r="B102" s="120">
        <v>7</v>
      </c>
      <c r="C102" s="138"/>
      <c r="D102" s="120"/>
      <c r="E102" s="139"/>
      <c r="F102" s="134"/>
      <c r="G102" s="134"/>
      <c r="H102" s="134"/>
      <c r="I102" s="134"/>
      <c r="J102" s="134"/>
      <c r="K102" s="134"/>
      <c r="L102" s="134"/>
      <c r="M102" s="134"/>
      <c r="N102" s="134"/>
      <c r="O102" s="134"/>
      <c r="P102" s="134"/>
      <c r="Q102" s="120"/>
    </row>
    <row r="103" spans="1:17" x14ac:dyDescent="0.3">
      <c r="A103" s="108">
        <v>8</v>
      </c>
      <c r="B103" s="120">
        <v>8</v>
      </c>
      <c r="C103" s="138"/>
      <c r="D103" s="120"/>
      <c r="E103" s="139"/>
      <c r="F103" s="134"/>
      <c r="G103" s="134"/>
      <c r="H103" s="134"/>
      <c r="I103" s="134"/>
      <c r="J103" s="134"/>
      <c r="K103" s="134"/>
      <c r="L103" s="134"/>
      <c r="M103" s="134"/>
      <c r="N103" s="134"/>
      <c r="O103" s="134"/>
      <c r="P103" s="134"/>
      <c r="Q103" s="120"/>
    </row>
    <row r="104" spans="1:17" x14ac:dyDescent="0.3">
      <c r="A104" s="108">
        <v>9</v>
      </c>
      <c r="B104" s="120">
        <v>9</v>
      </c>
      <c r="C104" s="138"/>
      <c r="D104" s="120"/>
      <c r="E104" s="139"/>
      <c r="F104" s="134"/>
      <c r="G104" s="134"/>
      <c r="H104" s="134"/>
      <c r="I104" s="134"/>
      <c r="J104" s="134"/>
      <c r="K104" s="134"/>
      <c r="L104" s="134"/>
      <c r="M104" s="134"/>
      <c r="N104" s="134"/>
      <c r="O104" s="134"/>
      <c r="P104" s="134"/>
      <c r="Q104" s="120"/>
    </row>
    <row r="105" spans="1:17" x14ac:dyDescent="0.3">
      <c r="A105" s="108">
        <v>10</v>
      </c>
      <c r="B105" s="120">
        <v>10</v>
      </c>
      <c r="C105" s="138"/>
      <c r="D105" s="120"/>
      <c r="E105" s="139"/>
      <c r="F105" s="134"/>
      <c r="G105" s="134"/>
      <c r="H105" s="134"/>
      <c r="I105" s="134"/>
      <c r="J105" s="134"/>
      <c r="K105" s="134"/>
      <c r="L105" s="134"/>
      <c r="M105" s="134"/>
      <c r="N105" s="134"/>
      <c r="O105" s="134"/>
      <c r="P105" s="134"/>
      <c r="Q105" s="120"/>
    </row>
    <row r="106" spans="1:17" x14ac:dyDescent="0.3">
      <c r="A106" s="108">
        <v>11</v>
      </c>
      <c r="B106" s="120">
        <v>11</v>
      </c>
      <c r="C106" s="138"/>
      <c r="D106" s="120"/>
      <c r="E106" s="139"/>
      <c r="F106" s="134"/>
      <c r="G106" s="134"/>
      <c r="H106" s="134"/>
      <c r="I106" s="134"/>
      <c r="J106" s="134"/>
      <c r="K106" s="134"/>
      <c r="L106" s="134"/>
      <c r="M106" s="134"/>
      <c r="N106" s="134"/>
      <c r="O106" s="134"/>
      <c r="P106" s="134"/>
      <c r="Q106" s="120"/>
    </row>
    <row r="107" spans="1:17" x14ac:dyDescent="0.3">
      <c r="A107" s="108">
        <v>12</v>
      </c>
      <c r="B107" s="120">
        <v>12</v>
      </c>
      <c r="C107" s="138"/>
      <c r="D107" s="120"/>
      <c r="E107" s="139"/>
      <c r="F107" s="134"/>
      <c r="G107" s="134"/>
      <c r="H107" s="134"/>
      <c r="I107" s="134"/>
      <c r="J107" s="134"/>
      <c r="K107" s="134"/>
      <c r="L107" s="134"/>
      <c r="M107" s="134"/>
      <c r="N107" s="134"/>
      <c r="O107" s="134"/>
      <c r="P107" s="134"/>
      <c r="Q107" s="120"/>
    </row>
    <row r="108" spans="1:17" x14ac:dyDescent="0.3">
      <c r="A108" s="108">
        <v>13</v>
      </c>
      <c r="B108" s="120">
        <v>13</v>
      </c>
      <c r="C108" s="138"/>
      <c r="D108" s="120"/>
      <c r="E108" s="139"/>
      <c r="F108" s="134"/>
      <c r="G108" s="134"/>
      <c r="H108" s="134"/>
      <c r="I108" s="134"/>
      <c r="J108" s="134"/>
      <c r="K108" s="134"/>
      <c r="L108" s="134"/>
      <c r="M108" s="134"/>
      <c r="N108" s="134"/>
      <c r="O108" s="134"/>
      <c r="P108" s="134"/>
      <c r="Q108" s="120"/>
    </row>
    <row r="109" spans="1:17" x14ac:dyDescent="0.3">
      <c r="A109" s="108">
        <v>14</v>
      </c>
      <c r="B109" s="120">
        <v>14</v>
      </c>
      <c r="C109" s="138"/>
      <c r="D109" s="120"/>
      <c r="E109" s="139"/>
      <c r="F109" s="134"/>
      <c r="G109" s="134"/>
      <c r="H109" s="134"/>
      <c r="I109" s="134"/>
      <c r="J109" s="134"/>
      <c r="K109" s="134"/>
      <c r="L109" s="134"/>
      <c r="M109" s="134"/>
      <c r="N109" s="134"/>
      <c r="O109" s="134"/>
      <c r="P109" s="134"/>
      <c r="Q109" s="120"/>
    </row>
    <row r="110" spans="1:17" x14ac:dyDescent="0.3">
      <c r="A110" s="108">
        <v>15</v>
      </c>
      <c r="B110" s="120">
        <v>15</v>
      </c>
      <c r="C110" s="138"/>
      <c r="D110" s="120"/>
      <c r="E110" s="139"/>
      <c r="F110" s="134"/>
      <c r="G110" s="134"/>
      <c r="H110" s="134"/>
      <c r="I110" s="134"/>
      <c r="J110" s="134"/>
      <c r="K110" s="134"/>
      <c r="L110" s="134"/>
      <c r="M110" s="134"/>
      <c r="N110" s="134"/>
      <c r="O110" s="134"/>
      <c r="P110" s="134"/>
      <c r="Q110" s="120"/>
    </row>
    <row r="111" spans="1:17" x14ac:dyDescent="0.3">
      <c r="A111" s="108">
        <v>16</v>
      </c>
      <c r="B111" s="120">
        <v>16</v>
      </c>
      <c r="C111" s="138"/>
      <c r="D111" s="120"/>
      <c r="E111" s="139"/>
      <c r="F111" s="134"/>
      <c r="G111" s="134"/>
      <c r="H111" s="134"/>
      <c r="I111" s="134"/>
      <c r="J111" s="134"/>
      <c r="K111" s="134"/>
      <c r="L111" s="134"/>
      <c r="M111" s="134"/>
      <c r="N111" s="134"/>
      <c r="O111" s="134"/>
      <c r="P111" s="134"/>
      <c r="Q111" s="120"/>
    </row>
    <row r="112" spans="1:17" x14ac:dyDescent="0.3">
      <c r="A112" s="108">
        <v>17</v>
      </c>
      <c r="B112" s="120">
        <v>17</v>
      </c>
      <c r="C112" s="138"/>
      <c r="D112" s="120"/>
      <c r="E112" s="139"/>
      <c r="F112" s="134"/>
      <c r="G112" s="134"/>
      <c r="H112" s="134"/>
      <c r="I112" s="134"/>
      <c r="J112" s="134"/>
      <c r="K112" s="134"/>
      <c r="L112" s="134"/>
      <c r="M112" s="134"/>
      <c r="N112" s="134"/>
      <c r="O112" s="134"/>
      <c r="P112" s="134"/>
      <c r="Q112" s="120"/>
    </row>
    <row r="113" spans="1:18" x14ac:dyDescent="0.3">
      <c r="A113" s="108">
        <v>18</v>
      </c>
      <c r="B113" s="120">
        <v>18</v>
      </c>
      <c r="C113" s="138"/>
      <c r="D113" s="120"/>
      <c r="E113" s="139"/>
      <c r="F113" s="134"/>
      <c r="G113" s="134"/>
      <c r="H113" s="134"/>
      <c r="I113" s="134"/>
      <c r="J113" s="134"/>
      <c r="K113" s="134"/>
      <c r="L113" s="134"/>
      <c r="M113" s="134"/>
      <c r="N113" s="134"/>
      <c r="O113" s="134"/>
      <c r="P113" s="134"/>
      <c r="Q113" s="120"/>
    </row>
    <row r="114" spans="1:18" x14ac:dyDescent="0.3">
      <c r="A114" s="108">
        <v>19</v>
      </c>
      <c r="B114" s="120">
        <v>19</v>
      </c>
      <c r="C114" s="138"/>
      <c r="D114" s="120"/>
      <c r="E114" s="139"/>
      <c r="F114" s="134"/>
      <c r="G114" s="134"/>
      <c r="H114" s="134"/>
      <c r="I114" s="134"/>
      <c r="J114" s="134"/>
      <c r="K114" s="134"/>
      <c r="L114" s="134"/>
      <c r="M114" s="134"/>
      <c r="N114" s="134"/>
      <c r="O114" s="134"/>
      <c r="P114" s="134"/>
      <c r="Q114" s="120"/>
    </row>
    <row r="115" spans="1:18" x14ac:dyDescent="0.3">
      <c r="A115" s="108">
        <v>20</v>
      </c>
      <c r="B115" s="120">
        <v>20</v>
      </c>
      <c r="C115" s="138"/>
      <c r="D115" s="120"/>
      <c r="E115" s="139"/>
      <c r="F115" s="134"/>
      <c r="G115" s="134"/>
      <c r="H115" s="134"/>
      <c r="I115" s="134"/>
      <c r="J115" s="134"/>
      <c r="K115" s="134"/>
      <c r="L115" s="134"/>
      <c r="M115" s="134"/>
      <c r="N115" s="134"/>
      <c r="O115" s="134"/>
      <c r="P115" s="134"/>
      <c r="Q115" s="120"/>
    </row>
    <row r="116" spans="1:18" ht="14.4" thickBot="1" x14ac:dyDescent="0.35">
      <c r="A116" s="108">
        <v>0</v>
      </c>
      <c r="B116" s="129" t="s">
        <v>24</v>
      </c>
      <c r="C116" s="130"/>
      <c r="D116" s="130"/>
      <c r="E116" s="130"/>
      <c r="F116" s="133">
        <f>SUM(F96:F115)</f>
        <v>0</v>
      </c>
      <c r="G116" s="133">
        <f t="shared" ref="G116:P116" si="3">SUM(G96:G115)</f>
        <v>0</v>
      </c>
      <c r="H116" s="133">
        <f t="shared" si="3"/>
        <v>0</v>
      </c>
      <c r="I116" s="133">
        <f t="shared" si="3"/>
        <v>0</v>
      </c>
      <c r="J116" s="133">
        <f t="shared" si="3"/>
        <v>0</v>
      </c>
      <c r="K116" s="133">
        <f t="shared" si="3"/>
        <v>0</v>
      </c>
      <c r="L116" s="133">
        <f t="shared" si="3"/>
        <v>0</v>
      </c>
      <c r="M116" s="133">
        <f t="shared" si="3"/>
        <v>0</v>
      </c>
      <c r="N116" s="133">
        <f t="shared" si="3"/>
        <v>0</v>
      </c>
      <c r="O116" s="133">
        <f t="shared" si="3"/>
        <v>0</v>
      </c>
      <c r="P116" s="133">
        <f t="shared" si="3"/>
        <v>0</v>
      </c>
      <c r="Q116" s="103"/>
    </row>
    <row r="117" spans="1:18" ht="14.4" thickTop="1" x14ac:dyDescent="0.3">
      <c r="A117" s="108">
        <v>0</v>
      </c>
      <c r="B117" s="88"/>
      <c r="C117" s="88"/>
      <c r="D117" s="88"/>
      <c r="E117" s="88"/>
      <c r="F117" s="87"/>
      <c r="G117" s="87"/>
      <c r="H117" s="87"/>
      <c r="I117" s="87"/>
      <c r="J117" s="87"/>
      <c r="K117" s="87"/>
      <c r="L117" s="87"/>
      <c r="M117" s="87"/>
      <c r="N117" s="87"/>
      <c r="O117" s="87"/>
      <c r="P117" s="87"/>
      <c r="Q117" s="88"/>
    </row>
    <row r="118" spans="1:18" x14ac:dyDescent="0.3">
      <c r="A118" s="108">
        <v>0</v>
      </c>
      <c r="B118" s="88"/>
      <c r="C118" s="88"/>
      <c r="D118" s="88"/>
      <c r="E118" s="88"/>
      <c r="F118" s="87"/>
      <c r="G118" s="87"/>
      <c r="H118" s="87"/>
      <c r="I118" s="87"/>
      <c r="J118" s="87"/>
      <c r="K118" s="87"/>
      <c r="L118" s="87"/>
      <c r="M118" s="87"/>
      <c r="N118" s="87"/>
      <c r="O118" s="87"/>
      <c r="P118" s="87"/>
      <c r="Q118" s="88"/>
    </row>
    <row r="119" spans="1:18" x14ac:dyDescent="0.3">
      <c r="A119" s="108">
        <v>0</v>
      </c>
      <c r="B119" s="88" t="s">
        <v>20</v>
      </c>
      <c r="C119" s="88"/>
      <c r="F119" s="87"/>
      <c r="G119" s="87"/>
      <c r="H119" s="87" t="s">
        <v>21</v>
      </c>
      <c r="I119" s="87"/>
      <c r="J119" s="87"/>
      <c r="K119" s="87"/>
      <c r="L119" s="87"/>
      <c r="M119" s="87"/>
      <c r="N119" s="87"/>
      <c r="O119" s="87"/>
      <c r="P119" s="87"/>
      <c r="Q119" s="88"/>
    </row>
    <row r="120" spans="1:18" x14ac:dyDescent="0.3">
      <c r="A120" s="108">
        <v>0</v>
      </c>
      <c r="B120" s="88" t="s">
        <v>12</v>
      </c>
      <c r="C120" s="88"/>
      <c r="F120" s="87"/>
      <c r="G120" s="87"/>
      <c r="H120" s="87" t="s">
        <v>16</v>
      </c>
      <c r="I120" s="87"/>
      <c r="J120" s="87"/>
      <c r="K120" s="87"/>
      <c r="L120" s="87"/>
      <c r="M120" s="87"/>
      <c r="N120" s="87"/>
      <c r="O120" s="87"/>
      <c r="P120" s="87"/>
      <c r="Q120" s="88"/>
    </row>
    <row r="121" spans="1:18" x14ac:dyDescent="0.3">
      <c r="A121" s="108">
        <v>0</v>
      </c>
      <c r="B121" s="88"/>
      <c r="C121" s="88"/>
      <c r="F121" s="87"/>
      <c r="G121" s="87"/>
      <c r="H121" s="87" t="s">
        <v>22</v>
      </c>
      <c r="I121" s="87"/>
      <c r="J121" s="87"/>
      <c r="K121" s="87"/>
      <c r="L121" s="87"/>
      <c r="M121" s="87"/>
      <c r="N121" s="87"/>
      <c r="O121" s="87"/>
      <c r="P121" s="87"/>
      <c r="Q121" s="88"/>
    </row>
    <row r="122" spans="1:18" ht="14.4" customHeight="1" x14ac:dyDescent="0.3">
      <c r="A122" s="108">
        <v>0</v>
      </c>
      <c r="B122" s="88" t="s">
        <v>41</v>
      </c>
      <c r="C122" s="88"/>
      <c r="D122" s="88" t="str">
        <f>D1</f>
        <v>S A M Perera</v>
      </c>
      <c r="E122" s="88"/>
      <c r="F122" s="87"/>
      <c r="G122" s="87"/>
      <c r="H122" s="87"/>
      <c r="I122" s="87"/>
      <c r="J122" s="87"/>
      <c r="K122" s="87"/>
      <c r="L122" s="87"/>
      <c r="M122" s="87"/>
      <c r="N122" s="87" t="s">
        <v>40</v>
      </c>
      <c r="O122" s="87"/>
      <c r="P122" s="87"/>
      <c r="Q122" s="88" t="str">
        <f>Q1</f>
        <v>SAM/CENTRAL/KY/NC/26/DEC/1-A</v>
      </c>
    </row>
    <row r="123" spans="1:18" x14ac:dyDescent="0.3">
      <c r="A123" s="108">
        <v>0</v>
      </c>
      <c r="B123" s="88"/>
      <c r="C123" s="88"/>
      <c r="D123" s="88"/>
      <c r="E123" s="88"/>
      <c r="F123" s="87"/>
      <c r="G123" s="87"/>
      <c r="H123" s="87"/>
      <c r="I123" s="87"/>
      <c r="J123" s="87"/>
      <c r="K123" s="87"/>
      <c r="L123" s="87"/>
      <c r="M123" s="87"/>
      <c r="N123" s="87"/>
      <c r="O123" s="87"/>
      <c r="P123" s="87"/>
      <c r="Q123" s="88"/>
    </row>
    <row r="124" spans="1:18" ht="24.9" customHeight="1" x14ac:dyDescent="0.3">
      <c r="A124" s="108">
        <v>0</v>
      </c>
      <c r="B124" s="140" t="s">
        <v>47</v>
      </c>
      <c r="C124" s="141"/>
      <c r="D124" s="141"/>
      <c r="E124" s="141"/>
      <c r="F124" s="142"/>
      <c r="G124" s="142"/>
      <c r="H124" s="142"/>
      <c r="I124" s="142"/>
      <c r="J124" s="142"/>
      <c r="K124" s="142"/>
      <c r="L124" s="142"/>
      <c r="M124" s="142"/>
      <c r="N124" s="142"/>
      <c r="O124" s="142"/>
      <c r="P124" s="142"/>
      <c r="Q124" s="141"/>
      <c r="R124" s="115"/>
    </row>
    <row r="125" spans="1:18" ht="60.6" customHeight="1" x14ac:dyDescent="0.3">
      <c r="A125" s="108">
        <v>0</v>
      </c>
      <c r="B125" s="143" t="s">
        <v>17</v>
      </c>
      <c r="C125" s="143" t="s">
        <v>18</v>
      </c>
      <c r="D125" s="144" t="s">
        <v>30</v>
      </c>
      <c r="E125" s="145" t="s">
        <v>19</v>
      </c>
      <c r="F125" s="146" t="s">
        <v>23</v>
      </c>
      <c r="G125" s="146" t="s">
        <v>38</v>
      </c>
      <c r="H125" s="146" t="s">
        <v>42</v>
      </c>
      <c r="I125" s="146" t="s">
        <v>43</v>
      </c>
      <c r="J125" s="146" t="s">
        <v>33</v>
      </c>
      <c r="K125" s="146" t="s">
        <v>44</v>
      </c>
      <c r="L125" s="146" t="s">
        <v>53</v>
      </c>
      <c r="M125" s="146" t="s">
        <v>91</v>
      </c>
      <c r="N125" s="146" t="s">
        <v>92</v>
      </c>
      <c r="O125" s="146" t="s">
        <v>34</v>
      </c>
      <c r="P125" s="146" t="s">
        <v>90</v>
      </c>
      <c r="Q125" s="143" t="s">
        <v>39</v>
      </c>
    </row>
    <row r="126" spans="1:18" x14ac:dyDescent="0.3">
      <c r="A126" s="108">
        <v>1</v>
      </c>
      <c r="B126" s="120">
        <v>1</v>
      </c>
      <c r="C126" s="138"/>
      <c r="D126" s="120"/>
      <c r="E126" s="139"/>
      <c r="F126" s="134"/>
      <c r="G126" s="134"/>
      <c r="H126" s="134"/>
      <c r="I126" s="134"/>
      <c r="J126" s="134"/>
      <c r="K126" s="134"/>
      <c r="L126" s="134"/>
      <c r="M126" s="134"/>
      <c r="N126" s="134"/>
      <c r="O126" s="134"/>
      <c r="P126" s="134"/>
      <c r="Q126" s="120"/>
    </row>
    <row r="127" spans="1:18" x14ac:dyDescent="0.3">
      <c r="A127" s="108">
        <v>2</v>
      </c>
      <c r="B127" s="120">
        <v>2</v>
      </c>
      <c r="C127" s="138"/>
      <c r="D127" s="120"/>
      <c r="E127" s="139"/>
      <c r="F127" s="134"/>
      <c r="G127" s="134"/>
      <c r="H127" s="134"/>
      <c r="I127" s="134"/>
      <c r="J127" s="134"/>
      <c r="K127" s="134"/>
      <c r="L127" s="134"/>
      <c r="M127" s="134"/>
      <c r="N127" s="134"/>
      <c r="O127" s="134"/>
      <c r="P127" s="134"/>
      <c r="Q127" s="120"/>
    </row>
    <row r="128" spans="1:18" x14ac:dyDescent="0.3">
      <c r="A128" s="108">
        <v>3</v>
      </c>
      <c r="B128" s="120">
        <v>3</v>
      </c>
      <c r="C128" s="138"/>
      <c r="D128" s="120"/>
      <c r="E128" s="139"/>
      <c r="F128" s="134"/>
      <c r="G128" s="134"/>
      <c r="H128" s="134"/>
      <c r="I128" s="134"/>
      <c r="J128" s="134"/>
      <c r="K128" s="134"/>
      <c r="L128" s="134"/>
      <c r="M128" s="134"/>
      <c r="N128" s="134"/>
      <c r="O128" s="134"/>
      <c r="P128" s="134"/>
      <c r="Q128" s="120"/>
    </row>
    <row r="129" spans="1:17" x14ac:dyDescent="0.3">
      <c r="A129" s="108">
        <v>4</v>
      </c>
      <c r="B129" s="120">
        <v>4</v>
      </c>
      <c r="C129" s="138"/>
      <c r="D129" s="120"/>
      <c r="E129" s="139"/>
      <c r="F129" s="134"/>
      <c r="G129" s="134"/>
      <c r="H129" s="134"/>
      <c r="I129" s="134"/>
      <c r="J129" s="134"/>
      <c r="K129" s="134"/>
      <c r="L129" s="134"/>
      <c r="M129" s="134"/>
      <c r="N129" s="134"/>
      <c r="O129" s="134"/>
      <c r="P129" s="134"/>
      <c r="Q129" s="120"/>
    </row>
    <row r="130" spans="1:17" x14ac:dyDescent="0.3">
      <c r="A130" s="108">
        <v>5</v>
      </c>
      <c r="B130" s="120">
        <v>5</v>
      </c>
      <c r="C130" s="138"/>
      <c r="D130" s="120"/>
      <c r="E130" s="139"/>
      <c r="F130" s="134"/>
      <c r="G130" s="134"/>
      <c r="H130" s="134"/>
      <c r="I130" s="134"/>
      <c r="J130" s="134"/>
      <c r="K130" s="134"/>
      <c r="L130" s="134"/>
      <c r="M130" s="134"/>
      <c r="N130" s="134"/>
      <c r="O130" s="134"/>
      <c r="P130" s="134"/>
      <c r="Q130" s="120"/>
    </row>
    <row r="131" spans="1:17" x14ac:dyDescent="0.3">
      <c r="A131" s="108">
        <v>6</v>
      </c>
      <c r="B131" s="120">
        <v>6</v>
      </c>
      <c r="C131" s="138"/>
      <c r="D131" s="120"/>
      <c r="E131" s="139"/>
      <c r="F131" s="134"/>
      <c r="G131" s="134"/>
      <c r="H131" s="134"/>
      <c r="I131" s="134"/>
      <c r="J131" s="134"/>
      <c r="K131" s="134"/>
      <c r="L131" s="134"/>
      <c r="M131" s="134"/>
      <c r="N131" s="134"/>
      <c r="O131" s="134"/>
      <c r="P131" s="134"/>
      <c r="Q131" s="120"/>
    </row>
    <row r="132" spans="1:17" x14ac:dyDescent="0.3">
      <c r="A132" s="108">
        <v>7</v>
      </c>
      <c r="B132" s="120">
        <v>7</v>
      </c>
      <c r="C132" s="138"/>
      <c r="D132" s="120"/>
      <c r="E132" s="139"/>
      <c r="F132" s="134"/>
      <c r="G132" s="134"/>
      <c r="H132" s="134"/>
      <c r="I132" s="134"/>
      <c r="J132" s="134"/>
      <c r="K132" s="134"/>
      <c r="L132" s="134"/>
      <c r="M132" s="134"/>
      <c r="N132" s="134"/>
      <c r="O132" s="134"/>
      <c r="P132" s="134"/>
      <c r="Q132" s="120"/>
    </row>
    <row r="133" spans="1:17" x14ac:dyDescent="0.3">
      <c r="A133" s="108">
        <v>8</v>
      </c>
      <c r="B133" s="120">
        <v>8</v>
      </c>
      <c r="C133" s="138"/>
      <c r="D133" s="120"/>
      <c r="E133" s="139"/>
      <c r="F133" s="134"/>
      <c r="G133" s="134"/>
      <c r="H133" s="134"/>
      <c r="I133" s="134"/>
      <c r="J133" s="134"/>
      <c r="K133" s="134"/>
      <c r="L133" s="134"/>
      <c r="M133" s="134"/>
      <c r="N133" s="134"/>
      <c r="O133" s="134"/>
      <c r="P133" s="134"/>
      <c r="Q133" s="120"/>
    </row>
    <row r="134" spans="1:17" x14ac:dyDescent="0.3">
      <c r="A134" s="108">
        <v>9</v>
      </c>
      <c r="B134" s="120">
        <v>9</v>
      </c>
      <c r="C134" s="138"/>
      <c r="D134" s="120"/>
      <c r="E134" s="139"/>
      <c r="F134" s="134"/>
      <c r="G134" s="134"/>
      <c r="H134" s="134"/>
      <c r="I134" s="134"/>
      <c r="J134" s="134"/>
      <c r="K134" s="134"/>
      <c r="L134" s="134"/>
      <c r="M134" s="134"/>
      <c r="N134" s="134"/>
      <c r="O134" s="134"/>
      <c r="P134" s="134"/>
      <c r="Q134" s="120"/>
    </row>
    <row r="135" spans="1:17" x14ac:dyDescent="0.3">
      <c r="A135" s="108">
        <v>10</v>
      </c>
      <c r="B135" s="120">
        <v>10</v>
      </c>
      <c r="C135" s="138"/>
      <c r="D135" s="120"/>
      <c r="E135" s="139"/>
      <c r="F135" s="134"/>
      <c r="G135" s="134"/>
      <c r="H135" s="134"/>
      <c r="I135" s="134"/>
      <c r="J135" s="134"/>
      <c r="K135" s="134"/>
      <c r="L135" s="134"/>
      <c r="M135" s="134"/>
      <c r="N135" s="134"/>
      <c r="O135" s="134"/>
      <c r="P135" s="134"/>
      <c r="Q135" s="120"/>
    </row>
    <row r="136" spans="1:17" x14ac:dyDescent="0.3">
      <c r="A136" s="108">
        <v>11</v>
      </c>
      <c r="B136" s="120">
        <v>11</v>
      </c>
      <c r="C136" s="138"/>
      <c r="D136" s="120"/>
      <c r="E136" s="139"/>
      <c r="F136" s="134"/>
      <c r="G136" s="134"/>
      <c r="H136" s="134"/>
      <c r="I136" s="134"/>
      <c r="J136" s="134"/>
      <c r="K136" s="134"/>
      <c r="L136" s="134"/>
      <c r="M136" s="134"/>
      <c r="N136" s="134"/>
      <c r="O136" s="134"/>
      <c r="P136" s="134"/>
      <c r="Q136" s="120"/>
    </row>
    <row r="137" spans="1:17" x14ac:dyDescent="0.3">
      <c r="A137" s="108">
        <v>12</v>
      </c>
      <c r="B137" s="120">
        <v>12</v>
      </c>
      <c r="C137" s="138"/>
      <c r="D137" s="120"/>
      <c r="E137" s="139"/>
      <c r="F137" s="134"/>
      <c r="G137" s="134"/>
      <c r="H137" s="134"/>
      <c r="I137" s="134"/>
      <c r="J137" s="134"/>
      <c r="K137" s="134"/>
      <c r="L137" s="134"/>
      <c r="M137" s="134"/>
      <c r="N137" s="134"/>
      <c r="O137" s="134"/>
      <c r="P137" s="134"/>
      <c r="Q137" s="120"/>
    </row>
    <row r="138" spans="1:17" x14ac:dyDescent="0.3">
      <c r="A138" s="108">
        <v>13</v>
      </c>
      <c r="B138" s="120">
        <v>13</v>
      </c>
      <c r="C138" s="138"/>
      <c r="D138" s="120"/>
      <c r="E138" s="139"/>
      <c r="F138" s="134"/>
      <c r="G138" s="134"/>
      <c r="H138" s="134"/>
      <c r="I138" s="134"/>
      <c r="J138" s="134"/>
      <c r="K138" s="134"/>
      <c r="L138" s="134"/>
      <c r="M138" s="134"/>
      <c r="N138" s="134"/>
      <c r="O138" s="134"/>
      <c r="P138" s="134"/>
      <c r="Q138" s="120"/>
    </row>
    <row r="139" spans="1:17" x14ac:dyDescent="0.3">
      <c r="A139" s="108">
        <v>14</v>
      </c>
      <c r="B139" s="120">
        <v>14</v>
      </c>
      <c r="C139" s="138"/>
      <c r="D139" s="120"/>
      <c r="E139" s="139"/>
      <c r="F139" s="134"/>
      <c r="G139" s="134"/>
      <c r="H139" s="134"/>
      <c r="I139" s="134"/>
      <c r="J139" s="134"/>
      <c r="K139" s="134"/>
      <c r="L139" s="134"/>
      <c r="M139" s="134"/>
      <c r="N139" s="134"/>
      <c r="O139" s="134"/>
      <c r="P139" s="134"/>
      <c r="Q139" s="120"/>
    </row>
    <row r="140" spans="1:17" x14ac:dyDescent="0.3">
      <c r="A140" s="108">
        <v>15</v>
      </c>
      <c r="B140" s="120">
        <v>15</v>
      </c>
      <c r="C140" s="138"/>
      <c r="D140" s="120"/>
      <c r="E140" s="139"/>
      <c r="F140" s="134"/>
      <c r="G140" s="134"/>
      <c r="H140" s="134"/>
      <c r="I140" s="134"/>
      <c r="J140" s="134"/>
      <c r="K140" s="134"/>
      <c r="L140" s="134"/>
      <c r="M140" s="134"/>
      <c r="N140" s="134"/>
      <c r="O140" s="134"/>
      <c r="P140" s="134"/>
      <c r="Q140" s="120"/>
    </row>
    <row r="141" spans="1:17" x14ac:dyDescent="0.3">
      <c r="A141" s="108">
        <v>16</v>
      </c>
      <c r="B141" s="120">
        <v>16</v>
      </c>
      <c r="C141" s="138"/>
      <c r="D141" s="120"/>
      <c r="E141" s="139"/>
      <c r="F141" s="134"/>
      <c r="G141" s="134"/>
      <c r="H141" s="134"/>
      <c r="I141" s="134"/>
      <c r="J141" s="134"/>
      <c r="K141" s="134"/>
      <c r="L141" s="134"/>
      <c r="M141" s="134"/>
      <c r="N141" s="134"/>
      <c r="O141" s="134"/>
      <c r="P141" s="134"/>
      <c r="Q141" s="120"/>
    </row>
    <row r="142" spans="1:17" x14ac:dyDescent="0.3">
      <c r="A142" s="108">
        <v>17</v>
      </c>
      <c r="B142" s="120">
        <v>17</v>
      </c>
      <c r="C142" s="138"/>
      <c r="D142" s="120"/>
      <c r="E142" s="139"/>
      <c r="F142" s="134"/>
      <c r="G142" s="134"/>
      <c r="H142" s="134"/>
      <c r="I142" s="134"/>
      <c r="J142" s="134"/>
      <c r="K142" s="134"/>
      <c r="L142" s="134"/>
      <c r="M142" s="134"/>
      <c r="N142" s="134"/>
      <c r="O142" s="134"/>
      <c r="P142" s="134"/>
      <c r="Q142" s="120"/>
    </row>
    <row r="143" spans="1:17" x14ac:dyDescent="0.3">
      <c r="A143" s="108">
        <v>18</v>
      </c>
      <c r="B143" s="120">
        <v>18</v>
      </c>
      <c r="C143" s="138"/>
      <c r="D143" s="120"/>
      <c r="E143" s="139"/>
      <c r="F143" s="134"/>
      <c r="G143" s="134"/>
      <c r="H143" s="134"/>
      <c r="I143" s="134"/>
      <c r="J143" s="134"/>
      <c r="K143" s="134"/>
      <c r="L143" s="134"/>
      <c r="M143" s="134"/>
      <c r="N143" s="134"/>
      <c r="O143" s="134"/>
      <c r="P143" s="134"/>
      <c r="Q143" s="120"/>
    </row>
    <row r="144" spans="1:17" x14ac:dyDescent="0.3">
      <c r="A144" s="108">
        <v>19</v>
      </c>
      <c r="B144" s="120">
        <v>19</v>
      </c>
      <c r="C144" s="138"/>
      <c r="D144" s="120"/>
      <c r="E144" s="139"/>
      <c r="F144" s="134"/>
      <c r="G144" s="134"/>
      <c r="H144" s="134"/>
      <c r="I144" s="134"/>
      <c r="J144" s="134"/>
      <c r="K144" s="134"/>
      <c r="L144" s="134"/>
      <c r="M144" s="134"/>
      <c r="N144" s="134"/>
      <c r="O144" s="134"/>
      <c r="P144" s="134"/>
      <c r="Q144" s="120"/>
    </row>
    <row r="145" spans="1:18" x14ac:dyDescent="0.3">
      <c r="A145" s="108">
        <v>20</v>
      </c>
      <c r="B145" s="120">
        <v>20</v>
      </c>
      <c r="C145" s="138"/>
      <c r="D145" s="120"/>
      <c r="E145" s="139"/>
      <c r="F145" s="134"/>
      <c r="G145" s="134"/>
      <c r="H145" s="134"/>
      <c r="I145" s="134"/>
      <c r="J145" s="134"/>
      <c r="K145" s="134"/>
      <c r="L145" s="134"/>
      <c r="M145" s="134"/>
      <c r="N145" s="134"/>
      <c r="O145" s="134"/>
      <c r="P145" s="134"/>
      <c r="Q145" s="120"/>
    </row>
    <row r="146" spans="1:18" ht="14.4" thickBot="1" x14ac:dyDescent="0.35">
      <c r="A146" s="108">
        <v>0</v>
      </c>
      <c r="B146" s="129" t="s">
        <v>24</v>
      </c>
      <c r="C146" s="130"/>
      <c r="D146" s="130"/>
      <c r="E146" s="130"/>
      <c r="F146" s="133">
        <f>SUM(F126:F145)</f>
        <v>0</v>
      </c>
      <c r="G146" s="133">
        <f t="shared" ref="G146:P146" si="4">SUM(G126:G145)</f>
        <v>0</v>
      </c>
      <c r="H146" s="133">
        <f t="shared" si="4"/>
        <v>0</v>
      </c>
      <c r="I146" s="133">
        <f t="shared" si="4"/>
        <v>0</v>
      </c>
      <c r="J146" s="133">
        <f t="shared" si="4"/>
        <v>0</v>
      </c>
      <c r="K146" s="133">
        <f t="shared" si="4"/>
        <v>0</v>
      </c>
      <c r="L146" s="133">
        <f t="shared" si="4"/>
        <v>0</v>
      </c>
      <c r="M146" s="133">
        <f t="shared" si="4"/>
        <v>0</v>
      </c>
      <c r="N146" s="133">
        <f t="shared" si="4"/>
        <v>0</v>
      </c>
      <c r="O146" s="133">
        <f t="shared" si="4"/>
        <v>0</v>
      </c>
      <c r="P146" s="133">
        <f t="shared" si="4"/>
        <v>0</v>
      </c>
      <c r="Q146" s="103"/>
    </row>
    <row r="147" spans="1:18" ht="14.4" thickTop="1" x14ac:dyDescent="0.3">
      <c r="A147" s="108">
        <v>0</v>
      </c>
      <c r="B147" s="88"/>
      <c r="C147" s="88"/>
      <c r="D147" s="88"/>
      <c r="E147" s="88"/>
      <c r="F147" s="87"/>
      <c r="G147" s="87"/>
      <c r="H147" s="87"/>
      <c r="I147" s="87"/>
      <c r="J147" s="87"/>
      <c r="K147" s="87"/>
      <c r="L147" s="87"/>
      <c r="M147" s="87"/>
      <c r="N147" s="87"/>
      <c r="O147" s="87"/>
      <c r="P147" s="87"/>
      <c r="Q147" s="88"/>
    </row>
    <row r="148" spans="1:18" x14ac:dyDescent="0.3">
      <c r="A148" s="108">
        <v>0</v>
      </c>
      <c r="B148" s="88"/>
      <c r="C148" s="88"/>
      <c r="D148" s="88"/>
      <c r="E148" s="88"/>
      <c r="F148" s="87"/>
      <c r="G148" s="87"/>
      <c r="H148" s="87"/>
      <c r="I148" s="87"/>
      <c r="J148" s="87"/>
      <c r="K148" s="87"/>
      <c r="L148" s="87"/>
      <c r="M148" s="87"/>
      <c r="N148" s="87"/>
      <c r="O148" s="87"/>
      <c r="P148" s="87"/>
      <c r="Q148" s="88"/>
    </row>
    <row r="149" spans="1:18" x14ac:dyDescent="0.3">
      <c r="A149" s="108">
        <v>0</v>
      </c>
      <c r="B149" s="88" t="s">
        <v>20</v>
      </c>
      <c r="C149" s="88"/>
      <c r="D149" s="88" t="s">
        <v>21</v>
      </c>
      <c r="E149" s="88"/>
      <c r="F149" s="87"/>
      <c r="G149" s="87"/>
      <c r="H149" s="87"/>
      <c r="I149" s="87"/>
      <c r="J149" s="87"/>
      <c r="K149" s="87"/>
      <c r="L149" s="87"/>
      <c r="M149" s="87"/>
      <c r="N149" s="87"/>
      <c r="O149" s="87"/>
      <c r="P149" s="87"/>
      <c r="Q149" s="88"/>
    </row>
    <row r="150" spans="1:18" x14ac:dyDescent="0.3">
      <c r="A150" s="108">
        <v>0</v>
      </c>
      <c r="B150" s="88" t="s">
        <v>12</v>
      </c>
      <c r="C150" s="88"/>
      <c r="D150" s="88" t="s">
        <v>16</v>
      </c>
      <c r="E150" s="88"/>
      <c r="F150" s="87"/>
      <c r="G150" s="87"/>
      <c r="H150" s="87"/>
      <c r="I150" s="87"/>
      <c r="J150" s="87"/>
      <c r="K150" s="87"/>
      <c r="L150" s="87"/>
      <c r="M150" s="87"/>
      <c r="N150" s="87"/>
      <c r="O150" s="87"/>
      <c r="P150" s="87"/>
      <c r="Q150" s="88"/>
    </row>
    <row r="151" spans="1:18" x14ac:dyDescent="0.3">
      <c r="A151" s="108">
        <v>0</v>
      </c>
      <c r="B151" s="88"/>
      <c r="C151" s="88"/>
      <c r="D151" s="88" t="s">
        <v>22</v>
      </c>
      <c r="E151" s="88"/>
      <c r="F151" s="87"/>
      <c r="G151" s="87"/>
      <c r="H151" s="87"/>
      <c r="I151" s="87"/>
      <c r="J151" s="87"/>
      <c r="K151" s="87"/>
      <c r="L151" s="87"/>
      <c r="M151" s="87"/>
      <c r="N151" s="87"/>
      <c r="O151" s="87"/>
      <c r="P151" s="87"/>
      <c r="Q151" s="88"/>
    </row>
    <row r="152" spans="1:18" ht="14.4" customHeight="1" x14ac:dyDescent="0.3">
      <c r="A152" s="108">
        <v>0</v>
      </c>
      <c r="B152" s="88" t="s">
        <v>41</v>
      </c>
      <c r="C152" s="88"/>
      <c r="D152" s="88" t="str">
        <f>D1</f>
        <v>S A M Perera</v>
      </c>
      <c r="E152" s="88"/>
      <c r="F152" s="87"/>
      <c r="G152" s="87"/>
      <c r="H152" s="87"/>
      <c r="I152" s="87"/>
      <c r="J152" s="87"/>
      <c r="K152" s="87"/>
      <c r="L152" s="87"/>
      <c r="M152" s="87"/>
      <c r="N152" s="87" t="s">
        <v>40</v>
      </c>
      <c r="O152" s="87"/>
      <c r="P152" s="87"/>
      <c r="Q152" s="88" t="str">
        <f>Q1</f>
        <v>SAM/CENTRAL/KY/NC/26/DEC/1-A</v>
      </c>
    </row>
    <row r="153" spans="1:18" x14ac:dyDescent="0.3">
      <c r="A153" s="108">
        <v>0</v>
      </c>
      <c r="B153" s="88"/>
      <c r="C153" s="88"/>
      <c r="D153" s="88"/>
      <c r="E153" s="88"/>
      <c r="F153" s="87"/>
      <c r="G153" s="87"/>
      <c r="H153" s="87"/>
      <c r="I153" s="87"/>
      <c r="J153" s="87"/>
      <c r="K153" s="87"/>
      <c r="L153" s="87"/>
      <c r="M153" s="87"/>
      <c r="N153" s="87"/>
      <c r="O153" s="87"/>
      <c r="P153" s="87"/>
      <c r="Q153" s="88"/>
    </row>
    <row r="154" spans="1:18" ht="24.9" customHeight="1" x14ac:dyDescent="0.3">
      <c r="A154" s="108">
        <v>0</v>
      </c>
      <c r="B154" s="140" t="s">
        <v>47</v>
      </c>
      <c r="C154" s="141"/>
      <c r="D154" s="141"/>
      <c r="E154" s="141"/>
      <c r="F154" s="142"/>
      <c r="G154" s="142"/>
      <c r="H154" s="142"/>
      <c r="I154" s="142"/>
      <c r="J154" s="142"/>
      <c r="K154" s="142"/>
      <c r="L154" s="142"/>
      <c r="M154" s="142"/>
      <c r="N154" s="142"/>
      <c r="O154" s="142"/>
      <c r="P154" s="142"/>
      <c r="Q154" s="141"/>
      <c r="R154" s="115"/>
    </row>
    <row r="155" spans="1:18" ht="60.6" customHeight="1" x14ac:dyDescent="0.3">
      <c r="A155" s="108">
        <v>0</v>
      </c>
      <c r="B155" s="143" t="s">
        <v>17</v>
      </c>
      <c r="C155" s="143" t="s">
        <v>18</v>
      </c>
      <c r="D155" s="144" t="s">
        <v>30</v>
      </c>
      <c r="E155" s="145" t="s">
        <v>19</v>
      </c>
      <c r="F155" s="146" t="s">
        <v>23</v>
      </c>
      <c r="G155" s="146" t="s">
        <v>38</v>
      </c>
      <c r="H155" s="146" t="s">
        <v>42</v>
      </c>
      <c r="I155" s="146" t="s">
        <v>43</v>
      </c>
      <c r="J155" s="146" t="s">
        <v>33</v>
      </c>
      <c r="K155" s="146" t="s">
        <v>44</v>
      </c>
      <c r="L155" s="146" t="s">
        <v>53</v>
      </c>
      <c r="M155" s="146" t="s">
        <v>91</v>
      </c>
      <c r="N155" s="146" t="s">
        <v>92</v>
      </c>
      <c r="O155" s="146" t="s">
        <v>34</v>
      </c>
      <c r="P155" s="146" t="s">
        <v>90</v>
      </c>
      <c r="Q155" s="143" t="s">
        <v>39</v>
      </c>
    </row>
    <row r="156" spans="1:18" x14ac:dyDescent="0.3">
      <c r="A156" s="108">
        <v>1</v>
      </c>
      <c r="B156" s="120">
        <v>1</v>
      </c>
      <c r="C156" s="138"/>
      <c r="D156" s="120"/>
      <c r="E156" s="139"/>
      <c r="F156" s="134"/>
      <c r="G156" s="134"/>
      <c r="H156" s="134"/>
      <c r="I156" s="134"/>
      <c r="J156" s="134"/>
      <c r="K156" s="134"/>
      <c r="L156" s="134"/>
      <c r="M156" s="134"/>
      <c r="N156" s="134"/>
      <c r="O156" s="134"/>
      <c r="P156" s="134"/>
      <c r="Q156" s="120"/>
    </row>
    <row r="157" spans="1:18" x14ac:dyDescent="0.3">
      <c r="A157" s="108">
        <v>2</v>
      </c>
      <c r="B157" s="120">
        <v>2</v>
      </c>
      <c r="C157" s="138"/>
      <c r="D157" s="120"/>
      <c r="E157" s="139"/>
      <c r="F157" s="134"/>
      <c r="G157" s="134"/>
      <c r="H157" s="134"/>
      <c r="I157" s="134"/>
      <c r="J157" s="134"/>
      <c r="K157" s="134"/>
      <c r="L157" s="134"/>
      <c r="M157" s="134"/>
      <c r="N157" s="134"/>
      <c r="O157" s="134"/>
      <c r="P157" s="134"/>
      <c r="Q157" s="120"/>
    </row>
    <row r="158" spans="1:18" x14ac:dyDescent="0.3">
      <c r="A158" s="108">
        <v>3</v>
      </c>
      <c r="B158" s="120">
        <v>3</v>
      </c>
      <c r="C158" s="138"/>
      <c r="D158" s="120"/>
      <c r="E158" s="139"/>
      <c r="F158" s="134"/>
      <c r="G158" s="134"/>
      <c r="H158" s="134"/>
      <c r="I158" s="134"/>
      <c r="J158" s="134"/>
      <c r="K158" s="134"/>
      <c r="L158" s="134"/>
      <c r="M158" s="134"/>
      <c r="N158" s="134"/>
      <c r="O158" s="134"/>
      <c r="P158" s="134"/>
      <c r="Q158" s="120"/>
    </row>
    <row r="159" spans="1:18" x14ac:dyDescent="0.3">
      <c r="A159" s="108">
        <v>4</v>
      </c>
      <c r="B159" s="120">
        <v>4</v>
      </c>
      <c r="C159" s="138"/>
      <c r="D159" s="120"/>
      <c r="E159" s="139"/>
      <c r="F159" s="134"/>
      <c r="G159" s="134"/>
      <c r="H159" s="134"/>
      <c r="I159" s="134"/>
      <c r="J159" s="134"/>
      <c r="K159" s="134"/>
      <c r="L159" s="134"/>
      <c r="M159" s="134"/>
      <c r="N159" s="134"/>
      <c r="O159" s="134"/>
      <c r="P159" s="134"/>
      <c r="Q159" s="120"/>
    </row>
    <row r="160" spans="1:18" x14ac:dyDescent="0.3">
      <c r="A160" s="108">
        <v>5</v>
      </c>
      <c r="B160" s="120">
        <v>5</v>
      </c>
      <c r="C160" s="138"/>
      <c r="D160" s="120"/>
      <c r="E160" s="139"/>
      <c r="F160" s="134"/>
      <c r="G160" s="134"/>
      <c r="H160" s="134"/>
      <c r="I160" s="134"/>
      <c r="J160" s="134"/>
      <c r="K160" s="134"/>
      <c r="L160" s="134"/>
      <c r="M160" s="134"/>
      <c r="N160" s="134"/>
      <c r="O160" s="134"/>
      <c r="P160" s="134"/>
      <c r="Q160" s="120"/>
    </row>
    <row r="161" spans="1:17" x14ac:dyDescent="0.3">
      <c r="A161" s="108">
        <v>6</v>
      </c>
      <c r="B161" s="120">
        <v>6</v>
      </c>
      <c r="C161" s="138"/>
      <c r="D161" s="120"/>
      <c r="E161" s="139"/>
      <c r="F161" s="134"/>
      <c r="G161" s="134"/>
      <c r="H161" s="134"/>
      <c r="I161" s="134"/>
      <c r="J161" s="134"/>
      <c r="K161" s="134"/>
      <c r="L161" s="134"/>
      <c r="M161" s="134"/>
      <c r="N161" s="134"/>
      <c r="O161" s="134"/>
      <c r="P161" s="134"/>
      <c r="Q161" s="120"/>
    </row>
    <row r="162" spans="1:17" x14ac:dyDescent="0.3">
      <c r="A162" s="108">
        <v>7</v>
      </c>
      <c r="B162" s="120">
        <v>7</v>
      </c>
      <c r="C162" s="138"/>
      <c r="D162" s="120"/>
      <c r="E162" s="139"/>
      <c r="F162" s="134"/>
      <c r="G162" s="134"/>
      <c r="H162" s="134"/>
      <c r="I162" s="134"/>
      <c r="J162" s="134"/>
      <c r="K162" s="134"/>
      <c r="L162" s="134"/>
      <c r="M162" s="134"/>
      <c r="N162" s="134"/>
      <c r="O162" s="134"/>
      <c r="P162" s="134"/>
      <c r="Q162" s="120"/>
    </row>
    <row r="163" spans="1:17" x14ac:dyDescent="0.3">
      <c r="A163" s="108">
        <v>8</v>
      </c>
      <c r="B163" s="120">
        <v>8</v>
      </c>
      <c r="C163" s="138"/>
      <c r="D163" s="120"/>
      <c r="E163" s="139"/>
      <c r="F163" s="134"/>
      <c r="G163" s="134"/>
      <c r="H163" s="134"/>
      <c r="I163" s="134"/>
      <c r="J163" s="134"/>
      <c r="K163" s="134"/>
      <c r="L163" s="134"/>
      <c r="M163" s="134"/>
      <c r="N163" s="134"/>
      <c r="O163" s="134"/>
      <c r="P163" s="134"/>
      <c r="Q163" s="120"/>
    </row>
    <row r="164" spans="1:17" x14ac:dyDescent="0.3">
      <c r="A164" s="108">
        <v>9</v>
      </c>
      <c r="B164" s="120">
        <v>9</v>
      </c>
      <c r="C164" s="138"/>
      <c r="D164" s="120"/>
      <c r="E164" s="139"/>
      <c r="F164" s="134"/>
      <c r="G164" s="134"/>
      <c r="H164" s="134"/>
      <c r="I164" s="134"/>
      <c r="J164" s="134"/>
      <c r="K164" s="134"/>
      <c r="L164" s="134"/>
      <c r="M164" s="134"/>
      <c r="N164" s="134"/>
      <c r="O164" s="134"/>
      <c r="P164" s="134"/>
      <c r="Q164" s="120"/>
    </row>
    <row r="165" spans="1:17" x14ac:dyDescent="0.3">
      <c r="A165" s="108">
        <v>10</v>
      </c>
      <c r="B165" s="120">
        <v>10</v>
      </c>
      <c r="C165" s="138"/>
      <c r="D165" s="120"/>
      <c r="E165" s="139"/>
      <c r="F165" s="134"/>
      <c r="G165" s="134"/>
      <c r="H165" s="134"/>
      <c r="I165" s="134"/>
      <c r="J165" s="134"/>
      <c r="K165" s="134"/>
      <c r="L165" s="134"/>
      <c r="M165" s="134"/>
      <c r="N165" s="134"/>
      <c r="O165" s="134"/>
      <c r="P165" s="134"/>
      <c r="Q165" s="120"/>
    </row>
    <row r="166" spans="1:17" x14ac:dyDescent="0.3">
      <c r="A166" s="108">
        <v>11</v>
      </c>
      <c r="B166" s="120">
        <v>11</v>
      </c>
      <c r="C166" s="138"/>
      <c r="D166" s="120"/>
      <c r="E166" s="139"/>
      <c r="F166" s="134"/>
      <c r="G166" s="134"/>
      <c r="H166" s="134"/>
      <c r="I166" s="134"/>
      <c r="J166" s="134"/>
      <c r="K166" s="134"/>
      <c r="L166" s="134"/>
      <c r="M166" s="134"/>
      <c r="N166" s="134"/>
      <c r="O166" s="134"/>
      <c r="P166" s="134"/>
      <c r="Q166" s="120"/>
    </row>
    <row r="167" spans="1:17" x14ac:dyDescent="0.3">
      <c r="A167" s="108">
        <v>12</v>
      </c>
      <c r="B167" s="120">
        <v>12</v>
      </c>
      <c r="C167" s="138"/>
      <c r="D167" s="120"/>
      <c r="E167" s="139"/>
      <c r="F167" s="134"/>
      <c r="G167" s="134"/>
      <c r="H167" s="134"/>
      <c r="I167" s="134"/>
      <c r="J167" s="134"/>
      <c r="K167" s="134"/>
      <c r="L167" s="134"/>
      <c r="M167" s="134"/>
      <c r="N167" s="134"/>
      <c r="O167" s="134"/>
      <c r="P167" s="134"/>
      <c r="Q167" s="120"/>
    </row>
    <row r="168" spans="1:17" x14ac:dyDescent="0.3">
      <c r="A168" s="108">
        <v>13</v>
      </c>
      <c r="B168" s="120">
        <v>13</v>
      </c>
      <c r="C168" s="138"/>
      <c r="D168" s="120"/>
      <c r="E168" s="139"/>
      <c r="F168" s="134"/>
      <c r="G168" s="134"/>
      <c r="H168" s="134"/>
      <c r="I168" s="134"/>
      <c r="J168" s="134"/>
      <c r="K168" s="134"/>
      <c r="L168" s="134"/>
      <c r="M168" s="134"/>
      <c r="N168" s="134"/>
      <c r="O168" s="134"/>
      <c r="P168" s="134"/>
      <c r="Q168" s="120"/>
    </row>
    <row r="169" spans="1:17" x14ac:dyDescent="0.3">
      <c r="A169" s="108">
        <v>14</v>
      </c>
      <c r="B169" s="120">
        <v>14</v>
      </c>
      <c r="C169" s="138"/>
      <c r="D169" s="120"/>
      <c r="E169" s="139"/>
      <c r="F169" s="134"/>
      <c r="G169" s="134"/>
      <c r="H169" s="134"/>
      <c r="I169" s="134"/>
      <c r="J169" s="134"/>
      <c r="K169" s="134"/>
      <c r="L169" s="134"/>
      <c r="M169" s="134"/>
      <c r="N169" s="134"/>
      <c r="O169" s="134"/>
      <c r="P169" s="134"/>
      <c r="Q169" s="120"/>
    </row>
    <row r="170" spans="1:17" x14ac:dyDescent="0.3">
      <c r="A170" s="108">
        <v>15</v>
      </c>
      <c r="B170" s="120">
        <v>15</v>
      </c>
      <c r="C170" s="138"/>
      <c r="D170" s="120"/>
      <c r="E170" s="139"/>
      <c r="F170" s="134"/>
      <c r="G170" s="134"/>
      <c r="H170" s="134"/>
      <c r="I170" s="134"/>
      <c r="J170" s="134"/>
      <c r="K170" s="134"/>
      <c r="L170" s="134"/>
      <c r="M170" s="134"/>
      <c r="N170" s="134"/>
      <c r="O170" s="134"/>
      <c r="P170" s="134"/>
      <c r="Q170" s="120"/>
    </row>
    <row r="171" spans="1:17" x14ac:dyDescent="0.3">
      <c r="A171" s="108">
        <v>16</v>
      </c>
      <c r="B171" s="120">
        <v>16</v>
      </c>
      <c r="C171" s="138"/>
      <c r="D171" s="120"/>
      <c r="E171" s="139"/>
      <c r="F171" s="134"/>
      <c r="G171" s="134"/>
      <c r="H171" s="134"/>
      <c r="I171" s="134"/>
      <c r="J171" s="134"/>
      <c r="K171" s="134"/>
      <c r="L171" s="134"/>
      <c r="M171" s="134"/>
      <c r="N171" s="134"/>
      <c r="O171" s="134"/>
      <c r="P171" s="134"/>
      <c r="Q171" s="120"/>
    </row>
    <row r="172" spans="1:17" x14ac:dyDescent="0.3">
      <c r="A172" s="108">
        <v>17</v>
      </c>
      <c r="B172" s="120">
        <v>17</v>
      </c>
      <c r="C172" s="138"/>
      <c r="D172" s="120"/>
      <c r="E172" s="139"/>
      <c r="F172" s="134"/>
      <c r="G172" s="134"/>
      <c r="H172" s="134"/>
      <c r="I172" s="134"/>
      <c r="J172" s="134"/>
      <c r="K172" s="134"/>
      <c r="L172" s="134"/>
      <c r="M172" s="134"/>
      <c r="N172" s="134"/>
      <c r="O172" s="134"/>
      <c r="P172" s="134"/>
      <c r="Q172" s="120"/>
    </row>
    <row r="173" spans="1:17" x14ac:dyDescent="0.3">
      <c r="A173" s="108">
        <v>18</v>
      </c>
      <c r="B173" s="120">
        <v>18</v>
      </c>
      <c r="C173" s="138"/>
      <c r="D173" s="120"/>
      <c r="E173" s="139"/>
      <c r="F173" s="134"/>
      <c r="G173" s="134"/>
      <c r="H173" s="134"/>
      <c r="I173" s="134"/>
      <c r="J173" s="134"/>
      <c r="K173" s="134"/>
      <c r="L173" s="134"/>
      <c r="M173" s="134"/>
      <c r="N173" s="134"/>
      <c r="O173" s="134"/>
      <c r="P173" s="134"/>
      <c r="Q173" s="120"/>
    </row>
    <row r="174" spans="1:17" x14ac:dyDescent="0.3">
      <c r="A174" s="108">
        <v>19</v>
      </c>
      <c r="B174" s="120">
        <v>19</v>
      </c>
      <c r="C174" s="138"/>
      <c r="D174" s="120"/>
      <c r="E174" s="139"/>
      <c r="F174" s="134"/>
      <c r="G174" s="134"/>
      <c r="H174" s="134"/>
      <c r="I174" s="134"/>
      <c r="J174" s="134"/>
      <c r="K174" s="134"/>
      <c r="L174" s="134"/>
      <c r="M174" s="134"/>
      <c r="N174" s="134"/>
      <c r="O174" s="134"/>
      <c r="P174" s="134"/>
      <c r="Q174" s="120"/>
    </row>
    <row r="175" spans="1:17" x14ac:dyDescent="0.3">
      <c r="A175" s="108">
        <v>20</v>
      </c>
      <c r="B175" s="120">
        <v>20</v>
      </c>
      <c r="C175" s="138"/>
      <c r="D175" s="120"/>
      <c r="E175" s="139"/>
      <c r="F175" s="134"/>
      <c r="G175" s="134"/>
      <c r="H175" s="134"/>
      <c r="I175" s="134"/>
      <c r="J175" s="134"/>
      <c r="K175" s="134"/>
      <c r="L175" s="134"/>
      <c r="M175" s="134"/>
      <c r="N175" s="134"/>
      <c r="O175" s="134"/>
      <c r="P175" s="134"/>
      <c r="Q175" s="120"/>
    </row>
    <row r="176" spans="1:17" ht="14.4" thickBot="1" x14ac:dyDescent="0.35">
      <c r="A176" s="108">
        <v>0</v>
      </c>
      <c r="B176" s="129" t="s">
        <v>24</v>
      </c>
      <c r="C176" s="130"/>
      <c r="D176" s="130"/>
      <c r="E176" s="130"/>
      <c r="F176" s="133">
        <f>SUM(F156:F175)</f>
        <v>0</v>
      </c>
      <c r="G176" s="133">
        <f t="shared" ref="G176:P176" si="5">SUM(G156:G175)</f>
        <v>0</v>
      </c>
      <c r="H176" s="133">
        <f t="shared" si="5"/>
        <v>0</v>
      </c>
      <c r="I176" s="133">
        <f t="shared" si="5"/>
        <v>0</v>
      </c>
      <c r="J176" s="133">
        <f t="shared" si="5"/>
        <v>0</v>
      </c>
      <c r="K176" s="133">
        <f t="shared" si="5"/>
        <v>0</v>
      </c>
      <c r="L176" s="133">
        <f t="shared" si="5"/>
        <v>0</v>
      </c>
      <c r="M176" s="133">
        <f t="shared" si="5"/>
        <v>0</v>
      </c>
      <c r="N176" s="133">
        <f t="shared" si="5"/>
        <v>0</v>
      </c>
      <c r="O176" s="133">
        <f t="shared" si="5"/>
        <v>0</v>
      </c>
      <c r="P176" s="133">
        <f t="shared" si="5"/>
        <v>0</v>
      </c>
      <c r="Q176" s="103"/>
    </row>
    <row r="177" spans="1:18" ht="14.4" thickTop="1" x14ac:dyDescent="0.3">
      <c r="A177" s="108">
        <v>0</v>
      </c>
      <c r="B177" s="88"/>
      <c r="C177" s="88"/>
      <c r="D177" s="88"/>
      <c r="E177" s="88"/>
      <c r="F177" s="87"/>
      <c r="G177" s="87"/>
      <c r="H177" s="87"/>
      <c r="I177" s="87"/>
      <c r="J177" s="87"/>
      <c r="K177" s="87"/>
      <c r="L177" s="87"/>
      <c r="M177" s="87"/>
      <c r="N177" s="87"/>
      <c r="O177" s="87"/>
      <c r="P177" s="87"/>
      <c r="Q177" s="88"/>
    </row>
    <row r="178" spans="1:18" x14ac:dyDescent="0.3">
      <c r="A178" s="108">
        <v>0</v>
      </c>
      <c r="B178" s="88"/>
      <c r="C178" s="88"/>
      <c r="D178" s="88"/>
      <c r="E178" s="88"/>
      <c r="F178" s="87"/>
      <c r="G178" s="87"/>
      <c r="H178" s="87"/>
      <c r="I178" s="87"/>
      <c r="J178" s="87"/>
      <c r="K178" s="87"/>
      <c r="L178" s="87"/>
      <c r="M178" s="87"/>
      <c r="N178" s="87"/>
      <c r="O178" s="87"/>
      <c r="P178" s="87"/>
      <c r="Q178" s="88"/>
    </row>
    <row r="179" spans="1:18" x14ac:dyDescent="0.3">
      <c r="A179" s="108">
        <v>0</v>
      </c>
      <c r="B179" s="88" t="s">
        <v>20</v>
      </c>
      <c r="C179" s="88"/>
      <c r="D179" s="88" t="s">
        <v>21</v>
      </c>
      <c r="E179" s="88"/>
      <c r="F179" s="87"/>
      <c r="G179" s="87"/>
      <c r="H179" s="87"/>
      <c r="I179" s="87"/>
      <c r="J179" s="87"/>
      <c r="K179" s="87"/>
      <c r="L179" s="87"/>
      <c r="M179" s="87"/>
      <c r="N179" s="87"/>
      <c r="O179" s="87"/>
      <c r="P179" s="87"/>
      <c r="Q179" s="88"/>
    </row>
    <row r="180" spans="1:18" x14ac:dyDescent="0.3">
      <c r="A180" s="108">
        <v>0</v>
      </c>
      <c r="B180" s="88" t="s">
        <v>12</v>
      </c>
      <c r="C180" s="88"/>
      <c r="D180" s="88" t="s">
        <v>16</v>
      </c>
      <c r="E180" s="88"/>
      <c r="F180" s="87"/>
      <c r="G180" s="87"/>
      <c r="H180" s="87"/>
      <c r="I180" s="87"/>
      <c r="J180" s="87"/>
      <c r="K180" s="87"/>
      <c r="L180" s="87"/>
      <c r="M180" s="87"/>
      <c r="N180" s="87"/>
      <c r="O180" s="87"/>
      <c r="P180" s="87"/>
      <c r="Q180" s="88"/>
    </row>
    <row r="181" spans="1:18" x14ac:dyDescent="0.3">
      <c r="A181" s="108">
        <v>0</v>
      </c>
      <c r="B181" s="88"/>
      <c r="C181" s="88"/>
      <c r="D181" s="88" t="s">
        <v>22</v>
      </c>
      <c r="E181" s="88"/>
      <c r="F181" s="87"/>
      <c r="G181" s="87"/>
      <c r="H181" s="87"/>
      <c r="I181" s="87"/>
      <c r="J181" s="87"/>
      <c r="K181" s="87"/>
      <c r="L181" s="87"/>
      <c r="M181" s="87"/>
      <c r="N181" s="87"/>
      <c r="O181" s="87"/>
      <c r="P181" s="87"/>
      <c r="Q181" s="88"/>
    </row>
    <row r="182" spans="1:18" ht="14.4" customHeight="1" x14ac:dyDescent="0.3">
      <c r="A182" s="108">
        <v>0</v>
      </c>
      <c r="B182" s="88" t="s">
        <v>41</v>
      </c>
      <c r="C182" s="88"/>
      <c r="D182" s="88" t="str">
        <f>D1</f>
        <v>S A M Perera</v>
      </c>
      <c r="E182" s="88"/>
      <c r="F182" s="87"/>
      <c r="G182" s="87"/>
      <c r="H182" s="87"/>
      <c r="I182" s="87"/>
      <c r="J182" s="87"/>
      <c r="K182" s="87"/>
      <c r="L182" s="87"/>
      <c r="M182" s="87"/>
      <c r="N182" s="87" t="s">
        <v>40</v>
      </c>
      <c r="O182" s="87"/>
      <c r="P182" s="87"/>
      <c r="Q182" s="88" t="str">
        <f>Q1</f>
        <v>SAM/CENTRAL/KY/NC/26/DEC/1-A</v>
      </c>
    </row>
    <row r="183" spans="1:18" x14ac:dyDescent="0.3">
      <c r="A183" s="108">
        <v>0</v>
      </c>
      <c r="B183" s="88"/>
      <c r="C183" s="88"/>
      <c r="D183" s="88"/>
      <c r="E183" s="88"/>
      <c r="F183" s="87"/>
      <c r="G183" s="87"/>
      <c r="H183" s="87"/>
      <c r="I183" s="87"/>
      <c r="J183" s="87"/>
      <c r="K183" s="87"/>
      <c r="L183" s="87"/>
      <c r="M183" s="87"/>
      <c r="N183" s="87"/>
      <c r="O183" s="87"/>
      <c r="P183" s="87"/>
      <c r="Q183" s="88"/>
    </row>
    <row r="184" spans="1:18" ht="24.9" customHeight="1" x14ac:dyDescent="0.3">
      <c r="A184" s="108">
        <v>0</v>
      </c>
      <c r="B184" s="140" t="s">
        <v>47</v>
      </c>
      <c r="C184" s="141"/>
      <c r="D184" s="141"/>
      <c r="E184" s="141"/>
      <c r="F184" s="142"/>
      <c r="G184" s="142"/>
      <c r="H184" s="142"/>
      <c r="I184" s="142"/>
      <c r="J184" s="142"/>
      <c r="K184" s="142"/>
      <c r="L184" s="142"/>
      <c r="M184" s="142"/>
      <c r="N184" s="142"/>
      <c r="O184" s="142"/>
      <c r="P184" s="142"/>
      <c r="Q184" s="141"/>
      <c r="R184" s="115"/>
    </row>
    <row r="185" spans="1:18" ht="60.6" customHeight="1" x14ac:dyDescent="0.3">
      <c r="A185" s="108">
        <v>0</v>
      </c>
      <c r="B185" s="143" t="s">
        <v>17</v>
      </c>
      <c r="C185" s="143" t="s">
        <v>18</v>
      </c>
      <c r="D185" s="144" t="s">
        <v>30</v>
      </c>
      <c r="E185" s="145" t="s">
        <v>19</v>
      </c>
      <c r="F185" s="146" t="s">
        <v>23</v>
      </c>
      <c r="G185" s="146" t="s">
        <v>38</v>
      </c>
      <c r="H185" s="146" t="s">
        <v>42</v>
      </c>
      <c r="I185" s="146" t="s">
        <v>43</v>
      </c>
      <c r="J185" s="146" t="s">
        <v>33</v>
      </c>
      <c r="K185" s="146" t="s">
        <v>44</v>
      </c>
      <c r="L185" s="146" t="s">
        <v>53</v>
      </c>
      <c r="M185" s="146" t="s">
        <v>91</v>
      </c>
      <c r="N185" s="146" t="s">
        <v>92</v>
      </c>
      <c r="O185" s="146" t="s">
        <v>34</v>
      </c>
      <c r="P185" s="146" t="s">
        <v>90</v>
      </c>
      <c r="Q185" s="143" t="s">
        <v>39</v>
      </c>
    </row>
    <row r="186" spans="1:18" x14ac:dyDescent="0.3">
      <c r="A186" s="108">
        <v>1</v>
      </c>
      <c r="B186" s="120">
        <v>1</v>
      </c>
      <c r="C186" s="138"/>
      <c r="D186" s="120"/>
      <c r="E186" s="139"/>
      <c r="F186" s="134"/>
      <c r="G186" s="134"/>
      <c r="H186" s="134"/>
      <c r="I186" s="134"/>
      <c r="J186" s="134"/>
      <c r="K186" s="134"/>
      <c r="L186" s="134"/>
      <c r="M186" s="134"/>
      <c r="N186" s="134"/>
      <c r="O186" s="134"/>
      <c r="P186" s="134"/>
      <c r="Q186" s="120"/>
    </row>
    <row r="187" spans="1:18" x14ac:dyDescent="0.3">
      <c r="A187" s="108">
        <v>2</v>
      </c>
      <c r="B187" s="120">
        <v>2</v>
      </c>
      <c r="C187" s="138"/>
      <c r="D187" s="120"/>
      <c r="E187" s="139"/>
      <c r="F187" s="134"/>
      <c r="G187" s="134"/>
      <c r="H187" s="134"/>
      <c r="I187" s="134"/>
      <c r="J187" s="134"/>
      <c r="K187" s="134"/>
      <c r="L187" s="134"/>
      <c r="M187" s="134"/>
      <c r="N187" s="134"/>
      <c r="O187" s="134"/>
      <c r="P187" s="134"/>
      <c r="Q187" s="120"/>
    </row>
    <row r="188" spans="1:18" x14ac:dyDescent="0.3">
      <c r="A188" s="108">
        <v>3</v>
      </c>
      <c r="B188" s="120">
        <v>3</v>
      </c>
      <c r="C188" s="138"/>
      <c r="D188" s="120"/>
      <c r="E188" s="139"/>
      <c r="F188" s="134"/>
      <c r="G188" s="134"/>
      <c r="H188" s="134"/>
      <c r="I188" s="134"/>
      <c r="J188" s="134"/>
      <c r="K188" s="134"/>
      <c r="L188" s="134"/>
      <c r="M188" s="134"/>
      <c r="N188" s="134"/>
      <c r="O188" s="134"/>
      <c r="P188" s="134"/>
      <c r="Q188" s="120"/>
    </row>
    <row r="189" spans="1:18" x14ac:dyDescent="0.3">
      <c r="A189" s="108">
        <v>4</v>
      </c>
      <c r="B189" s="120">
        <v>4</v>
      </c>
      <c r="C189" s="138"/>
      <c r="D189" s="120"/>
      <c r="E189" s="139"/>
      <c r="F189" s="134"/>
      <c r="G189" s="134"/>
      <c r="H189" s="134"/>
      <c r="I189" s="134"/>
      <c r="J189" s="134"/>
      <c r="K189" s="134"/>
      <c r="L189" s="134"/>
      <c r="M189" s="134"/>
      <c r="N189" s="134"/>
      <c r="O189" s="134"/>
      <c r="P189" s="134"/>
      <c r="Q189" s="120"/>
    </row>
    <row r="190" spans="1:18" x14ac:dyDescent="0.3">
      <c r="A190" s="108">
        <v>5</v>
      </c>
      <c r="B190" s="120">
        <v>5</v>
      </c>
      <c r="C190" s="138"/>
      <c r="D190" s="120"/>
      <c r="E190" s="139"/>
      <c r="F190" s="134"/>
      <c r="G190" s="134"/>
      <c r="H190" s="134"/>
      <c r="I190" s="134"/>
      <c r="J190" s="134"/>
      <c r="K190" s="134"/>
      <c r="L190" s="134"/>
      <c r="M190" s="134"/>
      <c r="N190" s="134"/>
      <c r="O190" s="134"/>
      <c r="P190" s="134"/>
      <c r="Q190" s="120"/>
    </row>
    <row r="191" spans="1:18" x14ac:dyDescent="0.3">
      <c r="A191" s="108">
        <v>6</v>
      </c>
      <c r="B191" s="120">
        <v>6</v>
      </c>
      <c r="C191" s="138"/>
      <c r="D191" s="120"/>
      <c r="E191" s="139"/>
      <c r="F191" s="134"/>
      <c r="G191" s="134"/>
      <c r="H191" s="134"/>
      <c r="I191" s="134"/>
      <c r="J191" s="134"/>
      <c r="K191" s="134"/>
      <c r="L191" s="134"/>
      <c r="M191" s="134"/>
      <c r="N191" s="134"/>
      <c r="O191" s="134"/>
      <c r="P191" s="134"/>
      <c r="Q191" s="120"/>
    </row>
    <row r="192" spans="1:18" x14ac:dyDescent="0.3">
      <c r="A192" s="108">
        <v>7</v>
      </c>
      <c r="B192" s="120">
        <v>7</v>
      </c>
      <c r="C192" s="138"/>
      <c r="D192" s="120"/>
      <c r="E192" s="139"/>
      <c r="F192" s="134"/>
      <c r="G192" s="134"/>
      <c r="H192" s="134"/>
      <c r="I192" s="134"/>
      <c r="J192" s="134"/>
      <c r="K192" s="134"/>
      <c r="L192" s="134"/>
      <c r="M192" s="134"/>
      <c r="N192" s="134"/>
      <c r="O192" s="134"/>
      <c r="P192" s="134"/>
      <c r="Q192" s="120"/>
    </row>
    <row r="193" spans="1:17" x14ac:dyDescent="0.3">
      <c r="A193" s="108">
        <v>8</v>
      </c>
      <c r="B193" s="120">
        <v>8</v>
      </c>
      <c r="C193" s="138"/>
      <c r="D193" s="120"/>
      <c r="E193" s="139"/>
      <c r="F193" s="134"/>
      <c r="G193" s="134"/>
      <c r="H193" s="134"/>
      <c r="I193" s="134"/>
      <c r="J193" s="134"/>
      <c r="K193" s="134"/>
      <c r="L193" s="134"/>
      <c r="M193" s="134"/>
      <c r="N193" s="134"/>
      <c r="O193" s="134"/>
      <c r="P193" s="134"/>
      <c r="Q193" s="120"/>
    </row>
    <row r="194" spans="1:17" x14ac:dyDescent="0.3">
      <c r="A194" s="108">
        <v>9</v>
      </c>
      <c r="B194" s="120">
        <v>9</v>
      </c>
      <c r="C194" s="138"/>
      <c r="D194" s="120"/>
      <c r="E194" s="139"/>
      <c r="F194" s="134"/>
      <c r="G194" s="134"/>
      <c r="H194" s="134"/>
      <c r="I194" s="134"/>
      <c r="J194" s="134"/>
      <c r="K194" s="134"/>
      <c r="L194" s="134"/>
      <c r="M194" s="134"/>
      <c r="N194" s="134"/>
      <c r="O194" s="134"/>
      <c r="P194" s="134"/>
      <c r="Q194" s="120"/>
    </row>
    <row r="195" spans="1:17" x14ac:dyDescent="0.3">
      <c r="A195" s="108">
        <v>10</v>
      </c>
      <c r="B195" s="120">
        <v>10</v>
      </c>
      <c r="C195" s="138"/>
      <c r="D195" s="120"/>
      <c r="E195" s="139"/>
      <c r="F195" s="134"/>
      <c r="G195" s="134"/>
      <c r="H195" s="134"/>
      <c r="I195" s="134"/>
      <c r="J195" s="134"/>
      <c r="K195" s="134"/>
      <c r="L195" s="134"/>
      <c r="M195" s="134"/>
      <c r="N195" s="134"/>
      <c r="O195" s="134"/>
      <c r="P195" s="134"/>
      <c r="Q195" s="120"/>
    </row>
    <row r="196" spans="1:17" x14ac:dyDescent="0.3">
      <c r="A196" s="108">
        <v>11</v>
      </c>
      <c r="B196" s="120">
        <v>11</v>
      </c>
      <c r="C196" s="138"/>
      <c r="D196" s="120"/>
      <c r="E196" s="139"/>
      <c r="F196" s="134"/>
      <c r="G196" s="134"/>
      <c r="H196" s="134"/>
      <c r="I196" s="134"/>
      <c r="J196" s="134"/>
      <c r="K196" s="134"/>
      <c r="L196" s="134"/>
      <c r="M196" s="134"/>
      <c r="N196" s="134"/>
      <c r="O196" s="134"/>
      <c r="P196" s="134"/>
      <c r="Q196" s="120"/>
    </row>
    <row r="197" spans="1:17" x14ac:dyDescent="0.3">
      <c r="A197" s="108">
        <v>12</v>
      </c>
      <c r="B197" s="120">
        <v>12</v>
      </c>
      <c r="C197" s="138"/>
      <c r="D197" s="120"/>
      <c r="E197" s="139"/>
      <c r="F197" s="134"/>
      <c r="G197" s="134"/>
      <c r="H197" s="134"/>
      <c r="I197" s="134"/>
      <c r="J197" s="134"/>
      <c r="K197" s="134"/>
      <c r="L197" s="134"/>
      <c r="M197" s="134"/>
      <c r="N197" s="134"/>
      <c r="O197" s="134"/>
      <c r="P197" s="134"/>
      <c r="Q197" s="120"/>
    </row>
    <row r="198" spans="1:17" x14ac:dyDescent="0.3">
      <c r="A198" s="108">
        <v>13</v>
      </c>
      <c r="B198" s="120">
        <v>13</v>
      </c>
      <c r="C198" s="138"/>
      <c r="D198" s="120"/>
      <c r="E198" s="139"/>
      <c r="F198" s="134"/>
      <c r="G198" s="134"/>
      <c r="H198" s="134"/>
      <c r="I198" s="134"/>
      <c r="J198" s="134"/>
      <c r="K198" s="134"/>
      <c r="L198" s="134"/>
      <c r="M198" s="134"/>
      <c r="N198" s="134"/>
      <c r="O198" s="134"/>
      <c r="P198" s="134"/>
      <c r="Q198" s="120"/>
    </row>
    <row r="199" spans="1:17" x14ac:dyDescent="0.3">
      <c r="A199" s="108">
        <v>14</v>
      </c>
      <c r="B199" s="120">
        <v>14</v>
      </c>
      <c r="C199" s="138"/>
      <c r="D199" s="120"/>
      <c r="E199" s="139"/>
      <c r="F199" s="134"/>
      <c r="G199" s="134"/>
      <c r="H199" s="134"/>
      <c r="I199" s="134"/>
      <c r="J199" s="134"/>
      <c r="K199" s="134"/>
      <c r="L199" s="134"/>
      <c r="M199" s="134"/>
      <c r="N199" s="134"/>
      <c r="O199" s="134"/>
      <c r="P199" s="134"/>
      <c r="Q199" s="120"/>
    </row>
    <row r="200" spans="1:17" x14ac:dyDescent="0.3">
      <c r="A200" s="108">
        <v>15</v>
      </c>
      <c r="B200" s="120">
        <v>15</v>
      </c>
      <c r="C200" s="138"/>
      <c r="D200" s="120"/>
      <c r="E200" s="139"/>
      <c r="F200" s="134"/>
      <c r="G200" s="134"/>
      <c r="H200" s="134"/>
      <c r="I200" s="134"/>
      <c r="J200" s="134"/>
      <c r="K200" s="134"/>
      <c r="L200" s="134"/>
      <c r="M200" s="134"/>
      <c r="N200" s="134"/>
      <c r="O200" s="134"/>
      <c r="P200" s="134"/>
      <c r="Q200" s="120"/>
    </row>
    <row r="201" spans="1:17" x14ac:dyDescent="0.3">
      <c r="A201" s="108">
        <v>16</v>
      </c>
      <c r="B201" s="120">
        <v>16</v>
      </c>
      <c r="C201" s="138"/>
      <c r="D201" s="120"/>
      <c r="E201" s="139"/>
      <c r="F201" s="134"/>
      <c r="G201" s="134"/>
      <c r="H201" s="134"/>
      <c r="I201" s="134"/>
      <c r="J201" s="134"/>
      <c r="K201" s="134"/>
      <c r="L201" s="134"/>
      <c r="M201" s="134"/>
      <c r="N201" s="134"/>
      <c r="O201" s="134"/>
      <c r="P201" s="134"/>
      <c r="Q201" s="120"/>
    </row>
    <row r="202" spans="1:17" x14ac:dyDescent="0.3">
      <c r="A202" s="108">
        <v>17</v>
      </c>
      <c r="B202" s="120">
        <v>17</v>
      </c>
      <c r="C202" s="138"/>
      <c r="D202" s="120"/>
      <c r="E202" s="139"/>
      <c r="F202" s="134"/>
      <c r="G202" s="134"/>
      <c r="H202" s="134"/>
      <c r="I202" s="134"/>
      <c r="J202" s="134"/>
      <c r="K202" s="134"/>
      <c r="L202" s="134"/>
      <c r="M202" s="134"/>
      <c r="N202" s="134"/>
      <c r="O202" s="134"/>
      <c r="P202" s="134"/>
      <c r="Q202" s="120"/>
    </row>
    <row r="203" spans="1:17" x14ac:dyDescent="0.3">
      <c r="A203" s="108">
        <v>18</v>
      </c>
      <c r="B203" s="120">
        <v>18</v>
      </c>
      <c r="C203" s="138"/>
      <c r="D203" s="120"/>
      <c r="E203" s="139"/>
      <c r="F203" s="134"/>
      <c r="G203" s="134"/>
      <c r="H203" s="134"/>
      <c r="I203" s="134"/>
      <c r="J203" s="134"/>
      <c r="K203" s="134"/>
      <c r="L203" s="134"/>
      <c r="M203" s="134"/>
      <c r="N203" s="134"/>
      <c r="O203" s="134"/>
      <c r="P203" s="134"/>
      <c r="Q203" s="120"/>
    </row>
    <row r="204" spans="1:17" x14ac:dyDescent="0.3">
      <c r="A204" s="108">
        <v>19</v>
      </c>
      <c r="B204" s="120">
        <v>19</v>
      </c>
      <c r="C204" s="138"/>
      <c r="D204" s="120"/>
      <c r="E204" s="139"/>
      <c r="F204" s="134"/>
      <c r="G204" s="134"/>
      <c r="H204" s="134"/>
      <c r="I204" s="134"/>
      <c r="J204" s="134"/>
      <c r="K204" s="134"/>
      <c r="L204" s="134"/>
      <c r="M204" s="134"/>
      <c r="N204" s="134"/>
      <c r="O204" s="134"/>
      <c r="P204" s="134"/>
      <c r="Q204" s="120"/>
    </row>
    <row r="205" spans="1:17" x14ac:dyDescent="0.3">
      <c r="A205" s="108">
        <v>20</v>
      </c>
      <c r="B205" s="120">
        <v>20</v>
      </c>
      <c r="C205" s="138"/>
      <c r="D205" s="120"/>
      <c r="E205" s="139"/>
      <c r="F205" s="134"/>
      <c r="G205" s="134"/>
      <c r="H205" s="134"/>
      <c r="I205" s="134"/>
      <c r="J205" s="134"/>
      <c r="K205" s="134"/>
      <c r="L205" s="134"/>
      <c r="M205" s="134"/>
      <c r="N205" s="134"/>
      <c r="O205" s="134"/>
      <c r="P205" s="134"/>
      <c r="Q205" s="120"/>
    </row>
    <row r="206" spans="1:17" ht="14.4" thickBot="1" x14ac:dyDescent="0.35">
      <c r="A206" s="108">
        <v>0</v>
      </c>
      <c r="B206" s="129" t="s">
        <v>24</v>
      </c>
      <c r="C206" s="130"/>
      <c r="D206" s="130"/>
      <c r="E206" s="130"/>
      <c r="F206" s="133">
        <f>SUM(F186:F205)</f>
        <v>0</v>
      </c>
      <c r="G206" s="133">
        <f t="shared" ref="G206:P206" si="6">SUM(G186:G205)</f>
        <v>0</v>
      </c>
      <c r="H206" s="133">
        <f t="shared" si="6"/>
        <v>0</v>
      </c>
      <c r="I206" s="133">
        <f t="shared" si="6"/>
        <v>0</v>
      </c>
      <c r="J206" s="133">
        <f t="shared" si="6"/>
        <v>0</v>
      </c>
      <c r="K206" s="133">
        <f t="shared" si="6"/>
        <v>0</v>
      </c>
      <c r="L206" s="133">
        <f t="shared" si="6"/>
        <v>0</v>
      </c>
      <c r="M206" s="133">
        <f t="shared" si="6"/>
        <v>0</v>
      </c>
      <c r="N206" s="133">
        <f t="shared" si="6"/>
        <v>0</v>
      </c>
      <c r="O206" s="133">
        <f t="shared" si="6"/>
        <v>0</v>
      </c>
      <c r="P206" s="133">
        <f t="shared" si="6"/>
        <v>0</v>
      </c>
      <c r="Q206" s="103"/>
    </row>
    <row r="207" spans="1:17" ht="14.4" thickTop="1" x14ac:dyDescent="0.3">
      <c r="A207" s="108">
        <v>0</v>
      </c>
      <c r="B207" s="88"/>
      <c r="C207" s="88"/>
      <c r="D207" s="88"/>
      <c r="E207" s="88"/>
      <c r="F207" s="87"/>
      <c r="G207" s="87"/>
      <c r="H207" s="87"/>
      <c r="I207" s="87"/>
      <c r="J207" s="87"/>
      <c r="K207" s="87"/>
      <c r="L207" s="87"/>
      <c r="M207" s="87"/>
      <c r="N207" s="87"/>
      <c r="O207" s="87"/>
      <c r="P207" s="87"/>
      <c r="Q207" s="88"/>
    </row>
    <row r="208" spans="1:17" x14ac:dyDescent="0.3">
      <c r="A208" s="108">
        <v>0</v>
      </c>
      <c r="B208" s="88"/>
      <c r="C208" s="88"/>
      <c r="D208" s="88"/>
      <c r="E208" s="88"/>
      <c r="F208" s="87"/>
      <c r="G208" s="87"/>
      <c r="H208" s="87"/>
      <c r="I208" s="87"/>
      <c r="J208" s="87"/>
      <c r="K208" s="87"/>
      <c r="L208" s="87"/>
      <c r="M208" s="87"/>
      <c r="N208" s="87"/>
      <c r="O208" s="87"/>
      <c r="P208" s="87"/>
      <c r="Q208" s="88"/>
    </row>
    <row r="209" spans="1:18" x14ac:dyDescent="0.3">
      <c r="A209" s="108">
        <v>0</v>
      </c>
      <c r="B209" s="88" t="s">
        <v>20</v>
      </c>
      <c r="C209" s="88"/>
      <c r="D209" s="88" t="s">
        <v>21</v>
      </c>
      <c r="E209" s="88"/>
      <c r="F209" s="87"/>
      <c r="G209" s="87"/>
      <c r="H209" s="87"/>
      <c r="I209" s="87"/>
      <c r="J209" s="87"/>
      <c r="K209" s="87"/>
      <c r="L209" s="87"/>
      <c r="M209" s="87"/>
      <c r="N209" s="87"/>
      <c r="O209" s="87"/>
      <c r="P209" s="87"/>
      <c r="Q209" s="88"/>
    </row>
    <row r="210" spans="1:18" x14ac:dyDescent="0.3">
      <c r="A210" s="108">
        <v>0</v>
      </c>
      <c r="B210" s="88" t="s">
        <v>12</v>
      </c>
      <c r="C210" s="88"/>
      <c r="D210" s="88" t="s">
        <v>16</v>
      </c>
      <c r="E210" s="88"/>
      <c r="F210" s="87"/>
      <c r="G210" s="87"/>
      <c r="H210" s="87"/>
      <c r="I210" s="87"/>
      <c r="J210" s="87"/>
      <c r="K210" s="87"/>
      <c r="L210" s="87"/>
      <c r="M210" s="87"/>
      <c r="N210" s="87"/>
      <c r="O210" s="87"/>
      <c r="P210" s="87"/>
      <c r="Q210" s="88"/>
    </row>
    <row r="211" spans="1:18" x14ac:dyDescent="0.3">
      <c r="A211" s="108">
        <v>0</v>
      </c>
      <c r="B211" s="88"/>
      <c r="C211" s="88"/>
      <c r="D211" s="88" t="s">
        <v>22</v>
      </c>
      <c r="E211" s="88"/>
      <c r="F211" s="87"/>
      <c r="G211" s="87"/>
      <c r="H211" s="87"/>
      <c r="I211" s="87"/>
      <c r="J211" s="87"/>
      <c r="K211" s="87"/>
      <c r="L211" s="87"/>
      <c r="M211" s="87"/>
      <c r="N211" s="87"/>
      <c r="O211" s="87"/>
      <c r="P211" s="87"/>
      <c r="Q211" s="88"/>
    </row>
    <row r="212" spans="1:18" ht="14.4" customHeight="1" x14ac:dyDescent="0.3">
      <c r="A212" s="108">
        <v>0</v>
      </c>
      <c r="B212" s="88" t="s">
        <v>41</v>
      </c>
      <c r="C212" s="88"/>
      <c r="D212" s="88" t="str">
        <f>D1</f>
        <v>S A M Perera</v>
      </c>
      <c r="E212" s="88"/>
      <c r="F212" s="87"/>
      <c r="G212" s="87"/>
      <c r="H212" s="87"/>
      <c r="I212" s="87"/>
      <c r="J212" s="87"/>
      <c r="K212" s="87"/>
      <c r="L212" s="87"/>
      <c r="M212" s="87"/>
      <c r="N212" s="87" t="s">
        <v>40</v>
      </c>
      <c r="O212" s="87"/>
      <c r="P212" s="87"/>
      <c r="Q212" s="88" t="str">
        <f>Q1</f>
        <v>SAM/CENTRAL/KY/NC/26/DEC/1-A</v>
      </c>
    </row>
    <row r="213" spans="1:18" x14ac:dyDescent="0.3">
      <c r="A213" s="108">
        <v>0</v>
      </c>
      <c r="B213" s="88"/>
      <c r="C213" s="88"/>
      <c r="D213" s="88"/>
      <c r="E213" s="88"/>
      <c r="F213" s="87"/>
      <c r="G213" s="87"/>
      <c r="H213" s="87"/>
      <c r="I213" s="87"/>
      <c r="J213" s="87"/>
      <c r="K213" s="87"/>
      <c r="L213" s="87"/>
      <c r="M213" s="87"/>
      <c r="N213" s="87"/>
      <c r="O213" s="87"/>
      <c r="P213" s="87"/>
      <c r="Q213" s="88"/>
    </row>
    <row r="214" spans="1:18" ht="24.9" customHeight="1" x14ac:dyDescent="0.3">
      <c r="A214" s="108">
        <v>0</v>
      </c>
      <c r="B214" s="140" t="s">
        <v>47</v>
      </c>
      <c r="C214" s="141"/>
      <c r="D214" s="141"/>
      <c r="E214" s="141"/>
      <c r="F214" s="142"/>
      <c r="G214" s="142"/>
      <c r="H214" s="142"/>
      <c r="I214" s="142"/>
      <c r="J214" s="142"/>
      <c r="K214" s="142"/>
      <c r="L214" s="142"/>
      <c r="M214" s="142"/>
      <c r="N214" s="142"/>
      <c r="O214" s="142"/>
      <c r="P214" s="142"/>
      <c r="Q214" s="141"/>
      <c r="R214" s="115"/>
    </row>
    <row r="215" spans="1:18" ht="60.6" customHeight="1" x14ac:dyDescent="0.3">
      <c r="A215" s="108">
        <v>0</v>
      </c>
      <c r="B215" s="143" t="s">
        <v>17</v>
      </c>
      <c r="C215" s="143" t="s">
        <v>18</v>
      </c>
      <c r="D215" s="144" t="s">
        <v>30</v>
      </c>
      <c r="E215" s="145" t="s">
        <v>19</v>
      </c>
      <c r="F215" s="146" t="s">
        <v>23</v>
      </c>
      <c r="G215" s="146" t="s">
        <v>38</v>
      </c>
      <c r="H215" s="146" t="s">
        <v>42</v>
      </c>
      <c r="I215" s="146" t="s">
        <v>43</v>
      </c>
      <c r="J215" s="146" t="s">
        <v>33</v>
      </c>
      <c r="K215" s="146" t="s">
        <v>44</v>
      </c>
      <c r="L215" s="146" t="s">
        <v>53</v>
      </c>
      <c r="M215" s="146" t="s">
        <v>91</v>
      </c>
      <c r="N215" s="146" t="s">
        <v>92</v>
      </c>
      <c r="O215" s="146" t="s">
        <v>34</v>
      </c>
      <c r="P215" s="146" t="s">
        <v>90</v>
      </c>
      <c r="Q215" s="143" t="s">
        <v>39</v>
      </c>
    </row>
    <row r="216" spans="1:18" x14ac:dyDescent="0.3">
      <c r="A216" s="108">
        <v>1</v>
      </c>
      <c r="B216" s="120">
        <v>1</v>
      </c>
      <c r="C216" s="138"/>
      <c r="D216" s="120"/>
      <c r="E216" s="139"/>
      <c r="F216" s="134"/>
      <c r="G216" s="134"/>
      <c r="H216" s="134"/>
      <c r="I216" s="134"/>
      <c r="J216" s="134"/>
      <c r="K216" s="134"/>
      <c r="L216" s="134"/>
      <c r="M216" s="134"/>
      <c r="N216" s="134"/>
      <c r="O216" s="134"/>
      <c r="P216" s="134"/>
      <c r="Q216" s="120"/>
    </row>
    <row r="217" spans="1:18" x14ac:dyDescent="0.3">
      <c r="A217" s="108">
        <v>2</v>
      </c>
      <c r="B217" s="120">
        <v>2</v>
      </c>
      <c r="C217" s="138"/>
      <c r="D217" s="120"/>
      <c r="E217" s="139"/>
      <c r="F217" s="134"/>
      <c r="G217" s="134"/>
      <c r="H217" s="134"/>
      <c r="I217" s="134"/>
      <c r="J217" s="134"/>
      <c r="K217" s="134"/>
      <c r="L217" s="134"/>
      <c r="M217" s="134"/>
      <c r="N217" s="134"/>
      <c r="O217" s="134"/>
      <c r="P217" s="134"/>
      <c r="Q217" s="120"/>
    </row>
    <row r="218" spans="1:18" x14ac:dyDescent="0.3">
      <c r="A218" s="108">
        <v>3</v>
      </c>
      <c r="B218" s="120">
        <v>3</v>
      </c>
      <c r="C218" s="138"/>
      <c r="D218" s="120"/>
      <c r="E218" s="139"/>
      <c r="F218" s="134"/>
      <c r="G218" s="134"/>
      <c r="H218" s="134"/>
      <c r="I218" s="134"/>
      <c r="J218" s="134"/>
      <c r="K218" s="134"/>
      <c r="L218" s="134"/>
      <c r="M218" s="134"/>
      <c r="N218" s="134"/>
      <c r="O218" s="134"/>
      <c r="P218" s="134"/>
      <c r="Q218" s="120"/>
    </row>
    <row r="219" spans="1:18" x14ac:dyDescent="0.3">
      <c r="A219" s="108">
        <v>4</v>
      </c>
      <c r="B219" s="120">
        <v>4</v>
      </c>
      <c r="C219" s="138"/>
      <c r="D219" s="120"/>
      <c r="E219" s="139"/>
      <c r="F219" s="134"/>
      <c r="G219" s="134"/>
      <c r="H219" s="134"/>
      <c r="I219" s="134"/>
      <c r="J219" s="134"/>
      <c r="K219" s="134"/>
      <c r="L219" s="134"/>
      <c r="M219" s="134"/>
      <c r="N219" s="134"/>
      <c r="O219" s="134"/>
      <c r="P219" s="134"/>
      <c r="Q219" s="120"/>
    </row>
    <row r="220" spans="1:18" x14ac:dyDescent="0.3">
      <c r="A220" s="108">
        <v>5</v>
      </c>
      <c r="B220" s="120">
        <v>5</v>
      </c>
      <c r="C220" s="138"/>
      <c r="D220" s="120"/>
      <c r="E220" s="139"/>
      <c r="F220" s="134"/>
      <c r="G220" s="134"/>
      <c r="H220" s="134"/>
      <c r="I220" s="134"/>
      <c r="J220" s="134"/>
      <c r="K220" s="134"/>
      <c r="L220" s="134"/>
      <c r="M220" s="134"/>
      <c r="N220" s="134"/>
      <c r="O220" s="134"/>
      <c r="P220" s="134"/>
      <c r="Q220" s="120"/>
    </row>
    <row r="221" spans="1:18" x14ac:dyDescent="0.3">
      <c r="A221" s="108">
        <v>6</v>
      </c>
      <c r="B221" s="120">
        <v>6</v>
      </c>
      <c r="C221" s="138"/>
      <c r="D221" s="120"/>
      <c r="E221" s="139"/>
      <c r="F221" s="134"/>
      <c r="G221" s="134"/>
      <c r="H221" s="134"/>
      <c r="I221" s="134"/>
      <c r="J221" s="134"/>
      <c r="K221" s="134"/>
      <c r="L221" s="134"/>
      <c r="M221" s="134"/>
      <c r="N221" s="134"/>
      <c r="O221" s="134"/>
      <c r="P221" s="134"/>
      <c r="Q221" s="120"/>
    </row>
    <row r="222" spans="1:18" x14ac:dyDescent="0.3">
      <c r="A222" s="108">
        <v>7</v>
      </c>
      <c r="B222" s="120">
        <v>7</v>
      </c>
      <c r="C222" s="138"/>
      <c r="D222" s="120"/>
      <c r="E222" s="139"/>
      <c r="F222" s="134"/>
      <c r="G222" s="134"/>
      <c r="H222" s="134"/>
      <c r="I222" s="134"/>
      <c r="J222" s="134"/>
      <c r="K222" s="134"/>
      <c r="L222" s="134"/>
      <c r="M222" s="134"/>
      <c r="N222" s="134"/>
      <c r="O222" s="134"/>
      <c r="P222" s="134"/>
      <c r="Q222" s="120"/>
    </row>
    <row r="223" spans="1:18" x14ac:dyDescent="0.3">
      <c r="A223" s="108">
        <v>8</v>
      </c>
      <c r="B223" s="120">
        <v>8</v>
      </c>
      <c r="C223" s="138"/>
      <c r="D223" s="120"/>
      <c r="E223" s="139"/>
      <c r="F223" s="134"/>
      <c r="G223" s="134"/>
      <c r="H223" s="134"/>
      <c r="I223" s="134"/>
      <c r="J223" s="134"/>
      <c r="K223" s="134"/>
      <c r="L223" s="134"/>
      <c r="M223" s="134"/>
      <c r="N223" s="134"/>
      <c r="O223" s="134"/>
      <c r="P223" s="134"/>
      <c r="Q223" s="120"/>
    </row>
    <row r="224" spans="1:18" x14ac:dyDescent="0.3">
      <c r="A224" s="108">
        <v>9</v>
      </c>
      <c r="B224" s="120">
        <v>9</v>
      </c>
      <c r="C224" s="138"/>
      <c r="D224" s="120"/>
      <c r="E224" s="139"/>
      <c r="F224" s="134"/>
      <c r="G224" s="134"/>
      <c r="H224" s="134"/>
      <c r="I224" s="134"/>
      <c r="J224" s="134"/>
      <c r="K224" s="134"/>
      <c r="L224" s="134"/>
      <c r="M224" s="134"/>
      <c r="N224" s="134"/>
      <c r="O224" s="134"/>
      <c r="P224" s="134"/>
      <c r="Q224" s="120"/>
    </row>
    <row r="225" spans="1:17" x14ac:dyDescent="0.3">
      <c r="A225" s="108">
        <v>10</v>
      </c>
      <c r="B225" s="120">
        <v>10</v>
      </c>
      <c r="C225" s="138"/>
      <c r="D225" s="120"/>
      <c r="E225" s="139"/>
      <c r="F225" s="134"/>
      <c r="G225" s="134"/>
      <c r="H225" s="134"/>
      <c r="I225" s="134"/>
      <c r="J225" s="134"/>
      <c r="K225" s="134"/>
      <c r="L225" s="134"/>
      <c r="M225" s="134"/>
      <c r="N225" s="134"/>
      <c r="O225" s="134"/>
      <c r="P225" s="134"/>
      <c r="Q225" s="120"/>
    </row>
    <row r="226" spans="1:17" x14ac:dyDescent="0.3">
      <c r="A226" s="108">
        <v>11</v>
      </c>
      <c r="B226" s="120">
        <v>11</v>
      </c>
      <c r="C226" s="138"/>
      <c r="D226" s="120"/>
      <c r="E226" s="139"/>
      <c r="F226" s="134"/>
      <c r="G226" s="134"/>
      <c r="H226" s="134"/>
      <c r="I226" s="134"/>
      <c r="J226" s="134"/>
      <c r="K226" s="134"/>
      <c r="L226" s="134"/>
      <c r="M226" s="134"/>
      <c r="N226" s="134"/>
      <c r="O226" s="134"/>
      <c r="P226" s="134"/>
      <c r="Q226" s="120"/>
    </row>
    <row r="227" spans="1:17" x14ac:dyDescent="0.3">
      <c r="A227" s="108">
        <v>12</v>
      </c>
      <c r="B227" s="120">
        <v>12</v>
      </c>
      <c r="C227" s="138"/>
      <c r="D227" s="120"/>
      <c r="E227" s="139"/>
      <c r="F227" s="134"/>
      <c r="G227" s="134"/>
      <c r="H227" s="134"/>
      <c r="I227" s="134"/>
      <c r="J227" s="134"/>
      <c r="K227" s="134"/>
      <c r="L227" s="134"/>
      <c r="M227" s="134"/>
      <c r="N227" s="134"/>
      <c r="O227" s="134"/>
      <c r="P227" s="134"/>
      <c r="Q227" s="120"/>
    </row>
    <row r="228" spans="1:17" x14ac:dyDescent="0.3">
      <c r="A228" s="108">
        <v>13</v>
      </c>
      <c r="B228" s="120">
        <v>13</v>
      </c>
      <c r="C228" s="138"/>
      <c r="D228" s="120"/>
      <c r="E228" s="139"/>
      <c r="F228" s="134"/>
      <c r="G228" s="134"/>
      <c r="H228" s="134"/>
      <c r="I228" s="134"/>
      <c r="J228" s="134"/>
      <c r="K228" s="134"/>
      <c r="L228" s="134"/>
      <c r="M228" s="134"/>
      <c r="N228" s="134"/>
      <c r="O228" s="134"/>
      <c r="P228" s="134"/>
      <c r="Q228" s="120"/>
    </row>
    <row r="229" spans="1:17" x14ac:dyDescent="0.3">
      <c r="A229" s="108">
        <v>14</v>
      </c>
      <c r="B229" s="120">
        <v>14</v>
      </c>
      <c r="C229" s="138"/>
      <c r="D229" s="120"/>
      <c r="E229" s="139"/>
      <c r="F229" s="134"/>
      <c r="G229" s="134"/>
      <c r="H229" s="134"/>
      <c r="I229" s="134"/>
      <c r="J229" s="134"/>
      <c r="K229" s="134"/>
      <c r="L229" s="134"/>
      <c r="M229" s="134"/>
      <c r="N229" s="134"/>
      <c r="O229" s="134"/>
      <c r="P229" s="134"/>
      <c r="Q229" s="120"/>
    </row>
    <row r="230" spans="1:17" x14ac:dyDescent="0.3">
      <c r="A230" s="108">
        <v>15</v>
      </c>
      <c r="B230" s="120">
        <v>15</v>
      </c>
      <c r="C230" s="138"/>
      <c r="D230" s="120"/>
      <c r="E230" s="139"/>
      <c r="F230" s="134"/>
      <c r="G230" s="134"/>
      <c r="H230" s="134"/>
      <c r="I230" s="134"/>
      <c r="J230" s="134"/>
      <c r="K230" s="134"/>
      <c r="L230" s="134"/>
      <c r="M230" s="134"/>
      <c r="N230" s="134"/>
      <c r="O230" s="134"/>
      <c r="P230" s="134"/>
      <c r="Q230" s="120"/>
    </row>
    <row r="231" spans="1:17" x14ac:dyDescent="0.3">
      <c r="A231" s="108">
        <v>16</v>
      </c>
      <c r="B231" s="120">
        <v>16</v>
      </c>
      <c r="C231" s="138"/>
      <c r="D231" s="120"/>
      <c r="E231" s="139"/>
      <c r="F231" s="134"/>
      <c r="G231" s="134"/>
      <c r="H231" s="134"/>
      <c r="I231" s="134"/>
      <c r="J231" s="134"/>
      <c r="K231" s="134"/>
      <c r="L231" s="134"/>
      <c r="M231" s="134"/>
      <c r="N231" s="134"/>
      <c r="O231" s="134"/>
      <c r="P231" s="134"/>
      <c r="Q231" s="120"/>
    </row>
    <row r="232" spans="1:17" x14ac:dyDescent="0.3">
      <c r="A232" s="108">
        <v>17</v>
      </c>
      <c r="B232" s="120">
        <v>17</v>
      </c>
      <c r="C232" s="138"/>
      <c r="D232" s="120"/>
      <c r="E232" s="139"/>
      <c r="F232" s="134"/>
      <c r="G232" s="134"/>
      <c r="H232" s="134"/>
      <c r="I232" s="134"/>
      <c r="J232" s="134"/>
      <c r="K232" s="134"/>
      <c r="L232" s="134"/>
      <c r="M232" s="134"/>
      <c r="N232" s="134"/>
      <c r="O232" s="134"/>
      <c r="P232" s="134"/>
      <c r="Q232" s="120"/>
    </row>
    <row r="233" spans="1:17" x14ac:dyDescent="0.3">
      <c r="A233" s="108">
        <v>18</v>
      </c>
      <c r="B233" s="120">
        <v>18</v>
      </c>
      <c r="C233" s="138"/>
      <c r="D233" s="120"/>
      <c r="E233" s="139"/>
      <c r="F233" s="134"/>
      <c r="G233" s="134"/>
      <c r="H233" s="134"/>
      <c r="I233" s="134"/>
      <c r="J233" s="134"/>
      <c r="K233" s="134"/>
      <c r="L233" s="134"/>
      <c r="M233" s="134"/>
      <c r="N233" s="134"/>
      <c r="O233" s="134"/>
      <c r="P233" s="134"/>
      <c r="Q233" s="120"/>
    </row>
    <row r="234" spans="1:17" x14ac:dyDescent="0.3">
      <c r="A234" s="108">
        <v>19</v>
      </c>
      <c r="B234" s="120">
        <v>19</v>
      </c>
      <c r="C234" s="138"/>
      <c r="D234" s="120"/>
      <c r="E234" s="139"/>
      <c r="F234" s="134"/>
      <c r="G234" s="134"/>
      <c r="H234" s="134"/>
      <c r="I234" s="134"/>
      <c r="J234" s="134"/>
      <c r="K234" s="134"/>
      <c r="L234" s="134"/>
      <c r="M234" s="134"/>
      <c r="N234" s="134"/>
      <c r="O234" s="134"/>
      <c r="P234" s="134"/>
      <c r="Q234" s="120"/>
    </row>
    <row r="235" spans="1:17" x14ac:dyDescent="0.3">
      <c r="A235" s="108">
        <v>20</v>
      </c>
      <c r="B235" s="120">
        <v>20</v>
      </c>
      <c r="C235" s="138"/>
      <c r="D235" s="120"/>
      <c r="E235" s="139"/>
      <c r="F235" s="134"/>
      <c r="G235" s="134"/>
      <c r="H235" s="134"/>
      <c r="I235" s="134"/>
      <c r="J235" s="134"/>
      <c r="K235" s="134"/>
      <c r="L235" s="134"/>
      <c r="M235" s="134"/>
      <c r="N235" s="134"/>
      <c r="O235" s="134"/>
      <c r="P235" s="134"/>
      <c r="Q235" s="120"/>
    </row>
    <row r="236" spans="1:17" ht="14.4" thickBot="1" x14ac:dyDescent="0.35">
      <c r="A236" s="108">
        <v>0</v>
      </c>
      <c r="B236" s="129" t="s">
        <v>24</v>
      </c>
      <c r="C236" s="130"/>
      <c r="D236" s="130"/>
      <c r="E236" s="130"/>
      <c r="F236" s="133">
        <f>SUM(F216:F235)</f>
        <v>0</v>
      </c>
      <c r="G236" s="133">
        <f t="shared" ref="G236:P236" si="7">SUM(G216:G235)</f>
        <v>0</v>
      </c>
      <c r="H236" s="133">
        <f t="shared" si="7"/>
        <v>0</v>
      </c>
      <c r="I236" s="133">
        <f t="shared" si="7"/>
        <v>0</v>
      </c>
      <c r="J236" s="133">
        <f t="shared" si="7"/>
        <v>0</v>
      </c>
      <c r="K236" s="133">
        <f t="shared" si="7"/>
        <v>0</v>
      </c>
      <c r="L236" s="133">
        <f t="shared" si="7"/>
        <v>0</v>
      </c>
      <c r="M236" s="133">
        <f t="shared" si="7"/>
        <v>0</v>
      </c>
      <c r="N236" s="133">
        <f t="shared" si="7"/>
        <v>0</v>
      </c>
      <c r="O236" s="133">
        <f t="shared" si="7"/>
        <v>0</v>
      </c>
      <c r="P236" s="133">
        <f t="shared" si="7"/>
        <v>0</v>
      </c>
      <c r="Q236" s="103"/>
    </row>
    <row r="237" spans="1:17" ht="14.4" thickTop="1" x14ac:dyDescent="0.3">
      <c r="A237" s="108">
        <v>0</v>
      </c>
      <c r="B237" s="88"/>
      <c r="C237" s="88"/>
      <c r="D237" s="88"/>
      <c r="E237" s="88"/>
      <c r="F237" s="87"/>
      <c r="G237" s="87"/>
      <c r="H237" s="87"/>
      <c r="I237" s="87"/>
      <c r="J237" s="87"/>
      <c r="K237" s="87"/>
      <c r="L237" s="87"/>
      <c r="M237" s="87"/>
      <c r="N237" s="87"/>
      <c r="O237" s="87"/>
      <c r="P237" s="87"/>
      <c r="Q237" s="88"/>
    </row>
    <row r="238" spans="1:17" x14ac:dyDescent="0.3">
      <c r="A238" s="108">
        <v>0</v>
      </c>
      <c r="B238" s="88"/>
      <c r="C238" s="88"/>
      <c r="D238" s="88"/>
      <c r="E238" s="88"/>
      <c r="F238" s="87"/>
      <c r="G238" s="87"/>
      <c r="H238" s="87"/>
      <c r="I238" s="87"/>
      <c r="J238" s="87"/>
      <c r="K238" s="87"/>
      <c r="L238" s="87"/>
      <c r="M238" s="87"/>
      <c r="N238" s="87"/>
      <c r="O238" s="87"/>
      <c r="P238" s="87"/>
      <c r="Q238" s="88"/>
    </row>
    <row r="239" spans="1:17" x14ac:dyDescent="0.3">
      <c r="A239" s="108">
        <v>0</v>
      </c>
      <c r="B239" s="88" t="s">
        <v>20</v>
      </c>
      <c r="C239" s="88"/>
      <c r="D239" s="88" t="s">
        <v>21</v>
      </c>
      <c r="E239" s="88"/>
      <c r="F239" s="87"/>
      <c r="G239" s="87"/>
      <c r="H239" s="87"/>
      <c r="I239" s="87"/>
      <c r="J239" s="87"/>
      <c r="K239" s="87"/>
      <c r="L239" s="87"/>
      <c r="M239" s="87"/>
      <c r="N239" s="87"/>
      <c r="O239" s="87"/>
      <c r="P239" s="87"/>
      <c r="Q239" s="88"/>
    </row>
    <row r="240" spans="1:17" x14ac:dyDescent="0.3">
      <c r="A240" s="108">
        <v>0</v>
      </c>
      <c r="B240" s="88" t="s">
        <v>12</v>
      </c>
      <c r="C240" s="88"/>
      <c r="D240" s="88" t="s">
        <v>16</v>
      </c>
      <c r="E240" s="88"/>
      <c r="F240" s="87"/>
      <c r="G240" s="87"/>
      <c r="H240" s="87"/>
      <c r="I240" s="87"/>
      <c r="J240" s="87"/>
      <c r="K240" s="87"/>
      <c r="L240" s="87"/>
      <c r="M240" s="87"/>
      <c r="N240" s="87"/>
      <c r="O240" s="87"/>
      <c r="P240" s="87"/>
      <c r="Q240" s="88"/>
    </row>
    <row r="241" spans="1:18" x14ac:dyDescent="0.3">
      <c r="A241" s="108">
        <v>0</v>
      </c>
      <c r="B241" s="88"/>
      <c r="C241" s="88"/>
      <c r="D241" s="88" t="s">
        <v>22</v>
      </c>
      <c r="E241" s="88"/>
      <c r="F241" s="87"/>
      <c r="G241" s="87"/>
      <c r="H241" s="87"/>
      <c r="I241" s="87"/>
      <c r="J241" s="87"/>
      <c r="K241" s="87"/>
      <c r="L241" s="87"/>
      <c r="M241" s="87"/>
      <c r="N241" s="87"/>
      <c r="O241" s="87"/>
      <c r="P241" s="87"/>
      <c r="Q241" s="88"/>
    </row>
    <row r="242" spans="1:18" ht="14.4" customHeight="1" x14ac:dyDescent="0.3">
      <c r="A242" s="108">
        <v>0</v>
      </c>
      <c r="B242" s="88" t="s">
        <v>41</v>
      </c>
      <c r="C242" s="88"/>
      <c r="D242" s="88" t="str">
        <f>D1</f>
        <v>S A M Perera</v>
      </c>
      <c r="E242" s="88"/>
      <c r="F242" s="87"/>
      <c r="G242" s="87"/>
      <c r="H242" s="87"/>
      <c r="I242" s="87"/>
      <c r="J242" s="87"/>
      <c r="K242" s="87"/>
      <c r="L242" s="87"/>
      <c r="M242" s="87"/>
      <c r="N242" s="87" t="s">
        <v>40</v>
      </c>
      <c r="O242" s="87"/>
      <c r="P242" s="87"/>
      <c r="Q242" s="88" t="str">
        <f>Q1</f>
        <v>SAM/CENTRAL/KY/NC/26/DEC/1-A</v>
      </c>
    </row>
    <row r="243" spans="1:18" x14ac:dyDescent="0.3">
      <c r="A243" s="108">
        <v>0</v>
      </c>
      <c r="B243" s="88"/>
      <c r="C243" s="88"/>
      <c r="D243" s="88"/>
      <c r="E243" s="88"/>
      <c r="F243" s="87"/>
      <c r="G243" s="87"/>
      <c r="H243" s="87"/>
      <c r="I243" s="87"/>
      <c r="J243" s="87"/>
      <c r="K243" s="87"/>
      <c r="L243" s="87"/>
      <c r="M243" s="87"/>
      <c r="N243" s="87"/>
      <c r="O243" s="87"/>
      <c r="P243" s="87"/>
      <c r="Q243" s="88"/>
    </row>
    <row r="244" spans="1:18" ht="24.9" customHeight="1" x14ac:dyDescent="0.3">
      <c r="A244" s="108">
        <v>0</v>
      </c>
      <c r="B244" s="140" t="s">
        <v>47</v>
      </c>
      <c r="C244" s="141"/>
      <c r="D244" s="141"/>
      <c r="E244" s="141"/>
      <c r="F244" s="142"/>
      <c r="G244" s="142"/>
      <c r="H244" s="142"/>
      <c r="I244" s="142"/>
      <c r="J244" s="142"/>
      <c r="K244" s="142"/>
      <c r="L244" s="142"/>
      <c r="M244" s="142"/>
      <c r="N244" s="142"/>
      <c r="O244" s="142"/>
      <c r="P244" s="142"/>
      <c r="Q244" s="141"/>
      <c r="R244" s="115"/>
    </row>
    <row r="245" spans="1:18" ht="60.6" customHeight="1" x14ac:dyDescent="0.3">
      <c r="A245" s="108">
        <v>0</v>
      </c>
      <c r="B245" s="143" t="s">
        <v>17</v>
      </c>
      <c r="C245" s="143" t="s">
        <v>18</v>
      </c>
      <c r="D245" s="144" t="s">
        <v>30</v>
      </c>
      <c r="E245" s="145" t="s">
        <v>19</v>
      </c>
      <c r="F245" s="146" t="s">
        <v>23</v>
      </c>
      <c r="G245" s="146" t="s">
        <v>38</v>
      </c>
      <c r="H245" s="146" t="s">
        <v>42</v>
      </c>
      <c r="I245" s="146" t="s">
        <v>43</v>
      </c>
      <c r="J245" s="146" t="s">
        <v>33</v>
      </c>
      <c r="K245" s="146" t="s">
        <v>44</v>
      </c>
      <c r="L245" s="146" t="s">
        <v>53</v>
      </c>
      <c r="M245" s="146" t="s">
        <v>91</v>
      </c>
      <c r="N245" s="146" t="s">
        <v>92</v>
      </c>
      <c r="O245" s="146" t="s">
        <v>34</v>
      </c>
      <c r="P245" s="146" t="s">
        <v>90</v>
      </c>
      <c r="Q245" s="143" t="s">
        <v>39</v>
      </c>
    </row>
    <row r="246" spans="1:18" x14ac:dyDescent="0.3">
      <c r="A246" s="108">
        <v>1</v>
      </c>
      <c r="B246" s="120">
        <v>1</v>
      </c>
      <c r="C246" s="138"/>
      <c r="D246" s="120"/>
      <c r="E246" s="139"/>
      <c r="F246" s="134"/>
      <c r="G246" s="134"/>
      <c r="H246" s="134"/>
      <c r="I246" s="134"/>
      <c r="J246" s="134"/>
      <c r="K246" s="134"/>
      <c r="L246" s="134"/>
      <c r="M246" s="134"/>
      <c r="N246" s="134"/>
      <c r="O246" s="134"/>
      <c r="P246" s="134"/>
      <c r="Q246" s="120"/>
    </row>
    <row r="247" spans="1:18" x14ac:dyDescent="0.3">
      <c r="A247" s="108">
        <v>2</v>
      </c>
      <c r="B247" s="120">
        <v>2</v>
      </c>
      <c r="C247" s="138"/>
      <c r="D247" s="120"/>
      <c r="E247" s="139"/>
      <c r="F247" s="134"/>
      <c r="G247" s="134"/>
      <c r="H247" s="134"/>
      <c r="I247" s="134"/>
      <c r="J247" s="134"/>
      <c r="K247" s="134"/>
      <c r="L247" s="134"/>
      <c r="M247" s="134"/>
      <c r="N247" s="134"/>
      <c r="O247" s="134"/>
      <c r="P247" s="134"/>
      <c r="Q247" s="120"/>
    </row>
    <row r="248" spans="1:18" x14ac:dyDescent="0.3">
      <c r="A248" s="108">
        <v>3</v>
      </c>
      <c r="B248" s="120">
        <v>3</v>
      </c>
      <c r="C248" s="138"/>
      <c r="D248" s="120"/>
      <c r="E248" s="139"/>
      <c r="F248" s="134"/>
      <c r="G248" s="134"/>
      <c r="H248" s="134"/>
      <c r="I248" s="134"/>
      <c r="J248" s="134"/>
      <c r="K248" s="134"/>
      <c r="L248" s="134"/>
      <c r="M248" s="134"/>
      <c r="N248" s="134"/>
      <c r="O248" s="134"/>
      <c r="P248" s="134"/>
      <c r="Q248" s="120"/>
    </row>
    <row r="249" spans="1:18" x14ac:dyDescent="0.3">
      <c r="A249" s="108">
        <v>4</v>
      </c>
      <c r="B249" s="120">
        <v>4</v>
      </c>
      <c r="C249" s="138"/>
      <c r="D249" s="120"/>
      <c r="E249" s="139"/>
      <c r="F249" s="134"/>
      <c r="G249" s="134"/>
      <c r="H249" s="134"/>
      <c r="I249" s="134"/>
      <c r="J249" s="134"/>
      <c r="K249" s="134"/>
      <c r="L249" s="134"/>
      <c r="M249" s="134"/>
      <c r="N249" s="134"/>
      <c r="O249" s="134"/>
      <c r="P249" s="134"/>
      <c r="Q249" s="120"/>
    </row>
    <row r="250" spans="1:18" x14ac:dyDescent="0.3">
      <c r="A250" s="108">
        <v>5</v>
      </c>
      <c r="B250" s="120">
        <v>5</v>
      </c>
      <c r="C250" s="138"/>
      <c r="D250" s="120"/>
      <c r="E250" s="139"/>
      <c r="F250" s="134"/>
      <c r="G250" s="134"/>
      <c r="H250" s="134"/>
      <c r="I250" s="134"/>
      <c r="J250" s="134"/>
      <c r="K250" s="134"/>
      <c r="L250" s="134"/>
      <c r="M250" s="134"/>
      <c r="N250" s="134"/>
      <c r="O250" s="134"/>
      <c r="P250" s="134"/>
      <c r="Q250" s="120"/>
    </row>
    <row r="251" spans="1:18" x14ac:dyDescent="0.3">
      <c r="A251" s="108">
        <v>6</v>
      </c>
      <c r="B251" s="120">
        <v>6</v>
      </c>
      <c r="C251" s="138"/>
      <c r="D251" s="120"/>
      <c r="E251" s="139"/>
      <c r="F251" s="134"/>
      <c r="G251" s="134"/>
      <c r="H251" s="134"/>
      <c r="I251" s="134"/>
      <c r="J251" s="134"/>
      <c r="K251" s="134"/>
      <c r="L251" s="134"/>
      <c r="M251" s="134"/>
      <c r="N251" s="134"/>
      <c r="O251" s="134"/>
      <c r="P251" s="134"/>
      <c r="Q251" s="120"/>
    </row>
    <row r="252" spans="1:18" x14ac:dyDescent="0.3">
      <c r="A252" s="108">
        <v>7</v>
      </c>
      <c r="B252" s="120">
        <v>7</v>
      </c>
      <c r="C252" s="138"/>
      <c r="D252" s="120"/>
      <c r="E252" s="139"/>
      <c r="F252" s="134"/>
      <c r="G252" s="134"/>
      <c r="H252" s="134"/>
      <c r="I252" s="134"/>
      <c r="J252" s="134"/>
      <c r="K252" s="134"/>
      <c r="L252" s="134"/>
      <c r="M252" s="134"/>
      <c r="N252" s="134"/>
      <c r="O252" s="134"/>
      <c r="P252" s="134"/>
      <c r="Q252" s="120"/>
    </row>
    <row r="253" spans="1:18" x14ac:dyDescent="0.3">
      <c r="A253" s="108">
        <v>8</v>
      </c>
      <c r="B253" s="120">
        <v>8</v>
      </c>
      <c r="C253" s="138"/>
      <c r="D253" s="120"/>
      <c r="E253" s="139"/>
      <c r="F253" s="134"/>
      <c r="G253" s="134"/>
      <c r="H253" s="134"/>
      <c r="I253" s="134"/>
      <c r="J253" s="134"/>
      <c r="K253" s="134"/>
      <c r="L253" s="134"/>
      <c r="M253" s="134"/>
      <c r="N253" s="134"/>
      <c r="O253" s="134"/>
      <c r="P253" s="134"/>
      <c r="Q253" s="120"/>
    </row>
    <row r="254" spans="1:18" x14ac:dyDescent="0.3">
      <c r="A254" s="108">
        <v>9</v>
      </c>
      <c r="B254" s="120">
        <v>9</v>
      </c>
      <c r="C254" s="138"/>
      <c r="D254" s="120"/>
      <c r="E254" s="139"/>
      <c r="F254" s="134"/>
      <c r="G254" s="134"/>
      <c r="H254" s="134"/>
      <c r="I254" s="134"/>
      <c r="J254" s="134"/>
      <c r="K254" s="134"/>
      <c r="L254" s="134"/>
      <c r="M254" s="134"/>
      <c r="N254" s="134"/>
      <c r="O254" s="134"/>
      <c r="P254" s="134"/>
      <c r="Q254" s="120"/>
    </row>
    <row r="255" spans="1:18" x14ac:dyDescent="0.3">
      <c r="A255" s="108">
        <v>10</v>
      </c>
      <c r="B255" s="120">
        <v>10</v>
      </c>
      <c r="C255" s="138"/>
      <c r="D255" s="120"/>
      <c r="E255" s="139"/>
      <c r="F255" s="134"/>
      <c r="G255" s="134"/>
      <c r="H255" s="134"/>
      <c r="I255" s="134"/>
      <c r="J255" s="134"/>
      <c r="K255" s="134"/>
      <c r="L255" s="134"/>
      <c r="M255" s="134"/>
      <c r="N255" s="134"/>
      <c r="O255" s="134"/>
      <c r="P255" s="134"/>
      <c r="Q255" s="120"/>
    </row>
    <row r="256" spans="1:18" x14ac:dyDescent="0.3">
      <c r="A256" s="108">
        <v>11</v>
      </c>
      <c r="B256" s="120">
        <v>11</v>
      </c>
      <c r="C256" s="138"/>
      <c r="D256" s="120"/>
      <c r="E256" s="139"/>
      <c r="F256" s="134"/>
      <c r="G256" s="134"/>
      <c r="H256" s="134"/>
      <c r="I256" s="134"/>
      <c r="J256" s="134"/>
      <c r="K256" s="134"/>
      <c r="L256" s="134"/>
      <c r="M256" s="134"/>
      <c r="N256" s="134"/>
      <c r="O256" s="134"/>
      <c r="P256" s="134"/>
      <c r="Q256" s="120"/>
    </row>
    <row r="257" spans="1:17" x14ac:dyDescent="0.3">
      <c r="A257" s="108">
        <v>12</v>
      </c>
      <c r="B257" s="120">
        <v>12</v>
      </c>
      <c r="C257" s="138"/>
      <c r="D257" s="120"/>
      <c r="E257" s="139"/>
      <c r="F257" s="134"/>
      <c r="G257" s="134"/>
      <c r="H257" s="134"/>
      <c r="I257" s="134"/>
      <c r="J257" s="134"/>
      <c r="K257" s="134"/>
      <c r="L257" s="134"/>
      <c r="M257" s="134"/>
      <c r="N257" s="134"/>
      <c r="O257" s="134"/>
      <c r="P257" s="134"/>
      <c r="Q257" s="120"/>
    </row>
    <row r="258" spans="1:17" x14ac:dyDescent="0.3">
      <c r="A258" s="108">
        <v>13</v>
      </c>
      <c r="B258" s="120">
        <v>13</v>
      </c>
      <c r="C258" s="138"/>
      <c r="D258" s="120"/>
      <c r="E258" s="139"/>
      <c r="F258" s="134"/>
      <c r="G258" s="134"/>
      <c r="H258" s="134"/>
      <c r="I258" s="134"/>
      <c r="J258" s="134"/>
      <c r="K258" s="134"/>
      <c r="L258" s="134"/>
      <c r="M258" s="134"/>
      <c r="N258" s="134"/>
      <c r="O258" s="134"/>
      <c r="P258" s="134"/>
      <c r="Q258" s="120"/>
    </row>
    <row r="259" spans="1:17" x14ac:dyDescent="0.3">
      <c r="A259" s="108">
        <v>14</v>
      </c>
      <c r="B259" s="120">
        <v>14</v>
      </c>
      <c r="C259" s="138"/>
      <c r="D259" s="120"/>
      <c r="E259" s="139"/>
      <c r="F259" s="134"/>
      <c r="G259" s="134"/>
      <c r="H259" s="134"/>
      <c r="I259" s="134"/>
      <c r="J259" s="134"/>
      <c r="K259" s="134"/>
      <c r="L259" s="134"/>
      <c r="M259" s="134"/>
      <c r="N259" s="134"/>
      <c r="O259" s="134"/>
      <c r="P259" s="134"/>
      <c r="Q259" s="120"/>
    </row>
    <row r="260" spans="1:17" x14ac:dyDescent="0.3">
      <c r="A260" s="108">
        <v>15</v>
      </c>
      <c r="B260" s="120">
        <v>15</v>
      </c>
      <c r="C260" s="138"/>
      <c r="D260" s="120"/>
      <c r="E260" s="139"/>
      <c r="F260" s="134"/>
      <c r="G260" s="134"/>
      <c r="H260" s="134"/>
      <c r="I260" s="134"/>
      <c r="J260" s="134"/>
      <c r="K260" s="134"/>
      <c r="L260" s="134"/>
      <c r="M260" s="134"/>
      <c r="N260" s="134"/>
      <c r="O260" s="134"/>
      <c r="P260" s="134"/>
      <c r="Q260" s="120"/>
    </row>
    <row r="261" spans="1:17" x14ac:dyDescent="0.3">
      <c r="A261" s="108">
        <v>16</v>
      </c>
      <c r="B261" s="120">
        <v>16</v>
      </c>
      <c r="C261" s="138"/>
      <c r="D261" s="120"/>
      <c r="E261" s="139"/>
      <c r="F261" s="134"/>
      <c r="G261" s="134"/>
      <c r="H261" s="134"/>
      <c r="I261" s="134"/>
      <c r="J261" s="134"/>
      <c r="K261" s="134"/>
      <c r="L261" s="134"/>
      <c r="M261" s="134"/>
      <c r="N261" s="134"/>
      <c r="O261" s="134"/>
      <c r="P261" s="134"/>
      <c r="Q261" s="120"/>
    </row>
    <row r="262" spans="1:17" x14ac:dyDescent="0.3">
      <c r="A262" s="108">
        <v>17</v>
      </c>
      <c r="B262" s="120">
        <v>17</v>
      </c>
      <c r="C262" s="138"/>
      <c r="D262" s="120"/>
      <c r="E262" s="139"/>
      <c r="F262" s="134"/>
      <c r="G262" s="134"/>
      <c r="H262" s="134"/>
      <c r="I262" s="134"/>
      <c r="J262" s="134"/>
      <c r="K262" s="134"/>
      <c r="L262" s="134"/>
      <c r="M262" s="134"/>
      <c r="N262" s="134"/>
      <c r="O262" s="134"/>
      <c r="P262" s="134"/>
      <c r="Q262" s="120"/>
    </row>
    <row r="263" spans="1:17" x14ac:dyDescent="0.3">
      <c r="A263" s="108">
        <v>18</v>
      </c>
      <c r="B263" s="120">
        <v>18</v>
      </c>
      <c r="C263" s="138"/>
      <c r="D263" s="120"/>
      <c r="E263" s="139"/>
      <c r="F263" s="134"/>
      <c r="G263" s="134"/>
      <c r="H263" s="134"/>
      <c r="I263" s="134"/>
      <c r="J263" s="134"/>
      <c r="K263" s="134"/>
      <c r="L263" s="134"/>
      <c r="M263" s="134"/>
      <c r="N263" s="134"/>
      <c r="O263" s="134"/>
      <c r="P263" s="134"/>
      <c r="Q263" s="120"/>
    </row>
    <row r="264" spans="1:17" x14ac:dyDescent="0.3">
      <c r="A264" s="108">
        <v>19</v>
      </c>
      <c r="B264" s="120">
        <v>19</v>
      </c>
      <c r="C264" s="138"/>
      <c r="D264" s="120"/>
      <c r="E264" s="139"/>
      <c r="F264" s="134"/>
      <c r="G264" s="134"/>
      <c r="H264" s="134"/>
      <c r="I264" s="134"/>
      <c r="J264" s="134"/>
      <c r="K264" s="134"/>
      <c r="L264" s="134"/>
      <c r="M264" s="134"/>
      <c r="N264" s="134"/>
      <c r="O264" s="134"/>
      <c r="P264" s="134"/>
      <c r="Q264" s="120"/>
    </row>
    <row r="265" spans="1:17" x14ac:dyDescent="0.3">
      <c r="A265" s="108">
        <v>20</v>
      </c>
      <c r="B265" s="120">
        <v>20</v>
      </c>
      <c r="C265" s="138"/>
      <c r="D265" s="120"/>
      <c r="E265" s="139"/>
      <c r="F265" s="134"/>
      <c r="G265" s="134"/>
      <c r="H265" s="134"/>
      <c r="I265" s="134"/>
      <c r="J265" s="134"/>
      <c r="K265" s="134"/>
      <c r="L265" s="134"/>
      <c r="M265" s="134"/>
      <c r="N265" s="134"/>
      <c r="O265" s="134"/>
      <c r="P265" s="134"/>
      <c r="Q265" s="120"/>
    </row>
    <row r="266" spans="1:17" ht="14.4" thickBot="1" x14ac:dyDescent="0.35">
      <c r="A266" s="108">
        <v>0</v>
      </c>
      <c r="B266" s="129" t="s">
        <v>24</v>
      </c>
      <c r="C266" s="130"/>
      <c r="D266" s="130"/>
      <c r="E266" s="130"/>
      <c r="F266" s="133">
        <f>SUM(F246:F265)</f>
        <v>0</v>
      </c>
      <c r="G266" s="133">
        <f t="shared" ref="G266:P266" si="8">SUM(G246:G265)</f>
        <v>0</v>
      </c>
      <c r="H266" s="133">
        <f t="shared" si="8"/>
        <v>0</v>
      </c>
      <c r="I266" s="133">
        <f t="shared" si="8"/>
        <v>0</v>
      </c>
      <c r="J266" s="133">
        <f t="shared" si="8"/>
        <v>0</v>
      </c>
      <c r="K266" s="133">
        <f t="shared" si="8"/>
        <v>0</v>
      </c>
      <c r="L266" s="133">
        <f t="shared" si="8"/>
        <v>0</v>
      </c>
      <c r="M266" s="133">
        <f t="shared" si="8"/>
        <v>0</v>
      </c>
      <c r="N266" s="133">
        <f t="shared" si="8"/>
        <v>0</v>
      </c>
      <c r="O266" s="133">
        <f t="shared" si="8"/>
        <v>0</v>
      </c>
      <c r="P266" s="133">
        <f t="shared" si="8"/>
        <v>0</v>
      </c>
      <c r="Q266" s="103"/>
    </row>
    <row r="267" spans="1:17" ht="14.4" thickTop="1" x14ac:dyDescent="0.3">
      <c r="A267" s="108">
        <v>0</v>
      </c>
      <c r="B267" s="88"/>
      <c r="C267" s="88"/>
      <c r="D267" s="88"/>
      <c r="E267" s="88"/>
      <c r="F267" s="87"/>
      <c r="G267" s="87"/>
      <c r="H267" s="87"/>
      <c r="I267" s="87"/>
      <c r="J267" s="87"/>
      <c r="K267" s="87"/>
      <c r="L267" s="87"/>
      <c r="M267" s="87"/>
      <c r="N267" s="87"/>
      <c r="O267" s="87"/>
      <c r="P267" s="87"/>
      <c r="Q267" s="88"/>
    </row>
    <row r="268" spans="1:17" x14ac:dyDescent="0.3">
      <c r="A268" s="108">
        <v>0</v>
      </c>
      <c r="B268" s="88"/>
      <c r="C268" s="88"/>
      <c r="D268" s="88"/>
      <c r="E268" s="88"/>
      <c r="F268" s="87"/>
      <c r="G268" s="87"/>
      <c r="H268" s="87"/>
      <c r="I268" s="87"/>
      <c r="J268" s="87"/>
      <c r="K268" s="87"/>
      <c r="L268" s="87"/>
      <c r="M268" s="87"/>
      <c r="N268" s="87"/>
      <c r="O268" s="87"/>
      <c r="P268" s="87"/>
      <c r="Q268" s="88"/>
    </row>
    <row r="269" spans="1:17" x14ac:dyDescent="0.3">
      <c r="A269" s="108">
        <v>0</v>
      </c>
      <c r="B269" s="88" t="s">
        <v>20</v>
      </c>
      <c r="C269" s="88"/>
      <c r="D269" s="88" t="s">
        <v>21</v>
      </c>
      <c r="E269" s="88"/>
      <c r="F269" s="87"/>
      <c r="G269" s="87"/>
      <c r="H269" s="87"/>
      <c r="I269" s="87"/>
      <c r="J269" s="87"/>
      <c r="K269" s="87"/>
      <c r="L269" s="87"/>
      <c r="M269" s="87"/>
      <c r="N269" s="87"/>
      <c r="O269" s="87"/>
      <c r="P269" s="87"/>
      <c r="Q269" s="88"/>
    </row>
    <row r="270" spans="1:17" x14ac:dyDescent="0.3">
      <c r="A270" s="108">
        <v>0</v>
      </c>
      <c r="B270" s="88" t="s">
        <v>12</v>
      </c>
      <c r="C270" s="88"/>
      <c r="D270" s="88" t="s">
        <v>16</v>
      </c>
      <c r="E270" s="88"/>
      <c r="F270" s="87"/>
      <c r="G270" s="87"/>
      <c r="H270" s="87"/>
      <c r="I270" s="87"/>
      <c r="J270" s="87"/>
      <c r="K270" s="87"/>
      <c r="L270" s="87"/>
      <c r="M270" s="87"/>
      <c r="N270" s="87"/>
      <c r="O270" s="87"/>
      <c r="P270" s="87"/>
      <c r="Q270" s="88"/>
    </row>
    <row r="271" spans="1:17" x14ac:dyDescent="0.3">
      <c r="A271" s="108">
        <v>0</v>
      </c>
      <c r="B271" s="88"/>
      <c r="C271" s="88"/>
      <c r="D271" s="88" t="s">
        <v>22</v>
      </c>
      <c r="E271" s="88"/>
      <c r="F271" s="87"/>
      <c r="G271" s="87"/>
      <c r="H271" s="87"/>
      <c r="I271" s="87"/>
      <c r="J271" s="87"/>
      <c r="K271" s="87"/>
      <c r="L271" s="87"/>
      <c r="M271" s="87"/>
      <c r="N271" s="87"/>
      <c r="O271" s="87"/>
      <c r="P271" s="87"/>
      <c r="Q271" s="88"/>
    </row>
    <row r="272" spans="1:17" ht="14.4" customHeight="1" x14ac:dyDescent="0.3">
      <c r="A272" s="108">
        <v>0</v>
      </c>
      <c r="B272" s="88" t="s">
        <v>41</v>
      </c>
      <c r="C272" s="88"/>
      <c r="D272" s="88" t="str">
        <f>D1</f>
        <v>S A M Perera</v>
      </c>
      <c r="E272" s="88"/>
      <c r="F272" s="87"/>
      <c r="G272" s="87"/>
      <c r="H272" s="87"/>
      <c r="I272" s="87"/>
      <c r="J272" s="87"/>
      <c r="K272" s="87"/>
      <c r="L272" s="87"/>
      <c r="M272" s="87"/>
      <c r="N272" s="87" t="s">
        <v>40</v>
      </c>
      <c r="O272" s="87"/>
      <c r="P272" s="87"/>
      <c r="Q272" s="88" t="str">
        <f>Q1</f>
        <v>SAM/CENTRAL/KY/NC/26/DEC/1-A</v>
      </c>
    </row>
    <row r="273" spans="1:18" x14ac:dyDescent="0.3">
      <c r="A273" s="108">
        <v>0</v>
      </c>
      <c r="B273" s="88"/>
      <c r="C273" s="88"/>
      <c r="D273" s="88"/>
      <c r="E273" s="88"/>
      <c r="F273" s="87"/>
      <c r="G273" s="87"/>
      <c r="H273" s="87"/>
      <c r="I273" s="87"/>
      <c r="J273" s="87"/>
      <c r="K273" s="87"/>
      <c r="L273" s="87"/>
      <c r="M273" s="87"/>
      <c r="N273" s="87"/>
      <c r="O273" s="87"/>
      <c r="P273" s="87"/>
      <c r="Q273" s="88"/>
    </row>
    <row r="274" spans="1:18" ht="24.9" customHeight="1" x14ac:dyDescent="0.3">
      <c r="A274" s="108">
        <v>0</v>
      </c>
      <c r="B274" s="140" t="s">
        <v>47</v>
      </c>
      <c r="C274" s="141"/>
      <c r="D274" s="141"/>
      <c r="E274" s="141"/>
      <c r="F274" s="142"/>
      <c r="G274" s="142"/>
      <c r="H274" s="142"/>
      <c r="I274" s="142"/>
      <c r="J274" s="142"/>
      <c r="K274" s="142"/>
      <c r="L274" s="142"/>
      <c r="M274" s="142"/>
      <c r="N274" s="142"/>
      <c r="O274" s="142"/>
      <c r="P274" s="142"/>
      <c r="Q274" s="141"/>
      <c r="R274" s="115"/>
    </row>
    <row r="275" spans="1:18" ht="60.6" customHeight="1" x14ac:dyDescent="0.3">
      <c r="A275" s="108">
        <v>0</v>
      </c>
      <c r="B275" s="143" t="s">
        <v>17</v>
      </c>
      <c r="C275" s="143" t="s">
        <v>18</v>
      </c>
      <c r="D275" s="144" t="s">
        <v>30</v>
      </c>
      <c r="E275" s="145" t="s">
        <v>19</v>
      </c>
      <c r="F275" s="146" t="s">
        <v>23</v>
      </c>
      <c r="G275" s="146" t="s">
        <v>38</v>
      </c>
      <c r="H275" s="146" t="s">
        <v>42</v>
      </c>
      <c r="I275" s="146" t="s">
        <v>43</v>
      </c>
      <c r="J275" s="146" t="s">
        <v>33</v>
      </c>
      <c r="K275" s="146" t="s">
        <v>44</v>
      </c>
      <c r="L275" s="146" t="s">
        <v>53</v>
      </c>
      <c r="M275" s="146" t="s">
        <v>91</v>
      </c>
      <c r="N275" s="146" t="s">
        <v>92</v>
      </c>
      <c r="O275" s="146" t="s">
        <v>34</v>
      </c>
      <c r="P275" s="146" t="s">
        <v>90</v>
      </c>
      <c r="Q275" s="143" t="s">
        <v>39</v>
      </c>
    </row>
    <row r="276" spans="1:18" x14ac:dyDescent="0.3">
      <c r="A276" s="108">
        <v>1</v>
      </c>
      <c r="B276" s="120">
        <v>1</v>
      </c>
      <c r="C276" s="138"/>
      <c r="D276" s="120"/>
      <c r="E276" s="139"/>
      <c r="F276" s="134"/>
      <c r="G276" s="134"/>
      <c r="H276" s="134"/>
      <c r="I276" s="134"/>
      <c r="J276" s="134"/>
      <c r="K276" s="134"/>
      <c r="L276" s="134"/>
      <c r="M276" s="134"/>
      <c r="N276" s="134"/>
      <c r="O276" s="134"/>
      <c r="P276" s="134"/>
      <c r="Q276" s="120"/>
    </row>
    <row r="277" spans="1:18" x14ac:dyDescent="0.3">
      <c r="A277" s="108">
        <v>2</v>
      </c>
      <c r="B277" s="120">
        <v>2</v>
      </c>
      <c r="C277" s="138"/>
      <c r="D277" s="120"/>
      <c r="E277" s="139"/>
      <c r="F277" s="134"/>
      <c r="G277" s="134"/>
      <c r="H277" s="134"/>
      <c r="I277" s="134"/>
      <c r="J277" s="134"/>
      <c r="K277" s="134"/>
      <c r="L277" s="134"/>
      <c r="M277" s="134"/>
      <c r="N277" s="134"/>
      <c r="O277" s="134"/>
      <c r="P277" s="134"/>
      <c r="Q277" s="120"/>
    </row>
    <row r="278" spans="1:18" x14ac:dyDescent="0.3">
      <c r="A278" s="108">
        <v>3</v>
      </c>
      <c r="B278" s="120">
        <v>3</v>
      </c>
      <c r="C278" s="138"/>
      <c r="D278" s="120"/>
      <c r="E278" s="139"/>
      <c r="F278" s="134"/>
      <c r="G278" s="134"/>
      <c r="H278" s="134"/>
      <c r="I278" s="134"/>
      <c r="J278" s="134"/>
      <c r="K278" s="134"/>
      <c r="L278" s="134"/>
      <c r="M278" s="134"/>
      <c r="N278" s="134"/>
      <c r="O278" s="134"/>
      <c r="P278" s="134"/>
      <c r="Q278" s="120"/>
    </row>
    <row r="279" spans="1:18" x14ac:dyDescent="0.3">
      <c r="A279" s="108">
        <v>4</v>
      </c>
      <c r="B279" s="120">
        <v>4</v>
      </c>
      <c r="C279" s="138"/>
      <c r="D279" s="120"/>
      <c r="E279" s="139"/>
      <c r="F279" s="134"/>
      <c r="G279" s="134"/>
      <c r="H279" s="134"/>
      <c r="I279" s="134"/>
      <c r="J279" s="134"/>
      <c r="K279" s="134"/>
      <c r="L279" s="134"/>
      <c r="M279" s="134"/>
      <c r="N279" s="134"/>
      <c r="O279" s="134"/>
      <c r="P279" s="134"/>
      <c r="Q279" s="120"/>
    </row>
    <row r="280" spans="1:18" x14ac:dyDescent="0.3">
      <c r="A280" s="108">
        <v>5</v>
      </c>
      <c r="B280" s="120">
        <v>5</v>
      </c>
      <c r="C280" s="138"/>
      <c r="D280" s="120"/>
      <c r="E280" s="139"/>
      <c r="F280" s="134"/>
      <c r="G280" s="134"/>
      <c r="H280" s="134"/>
      <c r="I280" s="134"/>
      <c r="J280" s="134"/>
      <c r="K280" s="134"/>
      <c r="L280" s="134"/>
      <c r="M280" s="134"/>
      <c r="N280" s="134"/>
      <c r="O280" s="134"/>
      <c r="P280" s="134"/>
      <c r="Q280" s="120"/>
    </row>
    <row r="281" spans="1:18" x14ac:dyDescent="0.3">
      <c r="A281" s="108">
        <v>6</v>
      </c>
      <c r="B281" s="120">
        <v>6</v>
      </c>
      <c r="C281" s="138"/>
      <c r="D281" s="120"/>
      <c r="E281" s="139"/>
      <c r="F281" s="134"/>
      <c r="G281" s="134"/>
      <c r="H281" s="134"/>
      <c r="I281" s="134"/>
      <c r="J281" s="134"/>
      <c r="K281" s="134"/>
      <c r="L281" s="134"/>
      <c r="M281" s="134"/>
      <c r="N281" s="134"/>
      <c r="O281" s="134"/>
      <c r="P281" s="134"/>
      <c r="Q281" s="120"/>
    </row>
    <row r="282" spans="1:18" x14ac:dyDescent="0.3">
      <c r="A282" s="108">
        <v>7</v>
      </c>
      <c r="B282" s="120">
        <v>7</v>
      </c>
      <c r="C282" s="138"/>
      <c r="D282" s="120"/>
      <c r="E282" s="139"/>
      <c r="F282" s="134"/>
      <c r="G282" s="134"/>
      <c r="H282" s="134"/>
      <c r="I282" s="134"/>
      <c r="J282" s="134"/>
      <c r="K282" s="134"/>
      <c r="L282" s="134"/>
      <c r="M282" s="134"/>
      <c r="N282" s="134"/>
      <c r="O282" s="134"/>
      <c r="P282" s="134"/>
      <c r="Q282" s="120"/>
    </row>
    <row r="283" spans="1:18" x14ac:dyDescent="0.3">
      <c r="A283" s="108">
        <v>8</v>
      </c>
      <c r="B283" s="120">
        <v>8</v>
      </c>
      <c r="C283" s="138"/>
      <c r="D283" s="120"/>
      <c r="E283" s="139"/>
      <c r="F283" s="134"/>
      <c r="G283" s="134"/>
      <c r="H283" s="134"/>
      <c r="I283" s="134"/>
      <c r="J283" s="134"/>
      <c r="K283" s="134"/>
      <c r="L283" s="134"/>
      <c r="M283" s="134"/>
      <c r="N283" s="134"/>
      <c r="O283" s="134"/>
      <c r="P283" s="134"/>
      <c r="Q283" s="120"/>
    </row>
    <row r="284" spans="1:18" x14ac:dyDescent="0.3">
      <c r="A284" s="108">
        <v>9</v>
      </c>
      <c r="B284" s="120">
        <v>9</v>
      </c>
      <c r="C284" s="138"/>
      <c r="D284" s="120"/>
      <c r="E284" s="139"/>
      <c r="F284" s="134"/>
      <c r="G284" s="134"/>
      <c r="H284" s="134"/>
      <c r="I284" s="134"/>
      <c r="J284" s="134"/>
      <c r="K284" s="134"/>
      <c r="L284" s="134"/>
      <c r="M284" s="134"/>
      <c r="N284" s="134"/>
      <c r="O284" s="134"/>
      <c r="P284" s="134"/>
      <c r="Q284" s="120"/>
    </row>
    <row r="285" spans="1:18" x14ac:dyDescent="0.3">
      <c r="A285" s="108">
        <v>10</v>
      </c>
      <c r="B285" s="120">
        <v>10</v>
      </c>
      <c r="C285" s="138"/>
      <c r="D285" s="120"/>
      <c r="E285" s="139"/>
      <c r="F285" s="134"/>
      <c r="G285" s="134"/>
      <c r="H285" s="134"/>
      <c r="I285" s="134"/>
      <c r="J285" s="134"/>
      <c r="K285" s="134"/>
      <c r="L285" s="134"/>
      <c r="M285" s="134"/>
      <c r="N285" s="134"/>
      <c r="O285" s="134"/>
      <c r="P285" s="134"/>
      <c r="Q285" s="120"/>
    </row>
    <row r="286" spans="1:18" x14ac:dyDescent="0.3">
      <c r="A286" s="108">
        <v>11</v>
      </c>
      <c r="B286" s="120">
        <v>11</v>
      </c>
      <c r="C286" s="138"/>
      <c r="D286" s="120"/>
      <c r="E286" s="139"/>
      <c r="F286" s="134"/>
      <c r="G286" s="134"/>
      <c r="H286" s="134"/>
      <c r="I286" s="134"/>
      <c r="J286" s="134"/>
      <c r="K286" s="134"/>
      <c r="L286" s="134"/>
      <c r="M286" s="134"/>
      <c r="N286" s="134"/>
      <c r="O286" s="134"/>
      <c r="P286" s="134"/>
      <c r="Q286" s="120"/>
    </row>
    <row r="287" spans="1:18" x14ac:dyDescent="0.3">
      <c r="A287" s="108">
        <v>12</v>
      </c>
      <c r="B287" s="120">
        <v>12</v>
      </c>
      <c r="C287" s="138"/>
      <c r="D287" s="120"/>
      <c r="E287" s="139"/>
      <c r="F287" s="134"/>
      <c r="G287" s="134"/>
      <c r="H287" s="134"/>
      <c r="I287" s="134"/>
      <c r="J287" s="134"/>
      <c r="K287" s="134"/>
      <c r="L287" s="134"/>
      <c r="M287" s="134"/>
      <c r="N287" s="134"/>
      <c r="O287" s="134"/>
      <c r="P287" s="134"/>
      <c r="Q287" s="120"/>
    </row>
    <row r="288" spans="1:18" x14ac:dyDescent="0.3">
      <c r="A288" s="108">
        <v>13</v>
      </c>
      <c r="B288" s="120">
        <v>13</v>
      </c>
      <c r="C288" s="138"/>
      <c r="D288" s="120"/>
      <c r="E288" s="139"/>
      <c r="F288" s="134"/>
      <c r="G288" s="134"/>
      <c r="H288" s="134"/>
      <c r="I288" s="134"/>
      <c r="J288" s="134"/>
      <c r="K288" s="134"/>
      <c r="L288" s="134"/>
      <c r="M288" s="134"/>
      <c r="N288" s="134"/>
      <c r="O288" s="134"/>
      <c r="P288" s="134"/>
      <c r="Q288" s="120"/>
    </row>
    <row r="289" spans="1:18" x14ac:dyDescent="0.3">
      <c r="A289" s="108">
        <v>14</v>
      </c>
      <c r="B289" s="120">
        <v>14</v>
      </c>
      <c r="C289" s="138"/>
      <c r="D289" s="120"/>
      <c r="E289" s="139"/>
      <c r="F289" s="134"/>
      <c r="G289" s="134"/>
      <c r="H289" s="134"/>
      <c r="I289" s="134"/>
      <c r="J289" s="134"/>
      <c r="K289" s="134"/>
      <c r="L289" s="134"/>
      <c r="M289" s="134"/>
      <c r="N289" s="134"/>
      <c r="O289" s="134"/>
      <c r="P289" s="134"/>
      <c r="Q289" s="120"/>
    </row>
    <row r="290" spans="1:18" x14ac:dyDescent="0.3">
      <c r="A290" s="108">
        <v>15</v>
      </c>
      <c r="B290" s="120">
        <v>15</v>
      </c>
      <c r="C290" s="138"/>
      <c r="D290" s="120"/>
      <c r="E290" s="139"/>
      <c r="F290" s="134"/>
      <c r="G290" s="134"/>
      <c r="H290" s="134"/>
      <c r="I290" s="134"/>
      <c r="J290" s="134"/>
      <c r="K290" s="134"/>
      <c r="L290" s="134"/>
      <c r="M290" s="134"/>
      <c r="N290" s="134"/>
      <c r="O290" s="134"/>
      <c r="P290" s="134"/>
      <c r="Q290" s="120"/>
    </row>
    <row r="291" spans="1:18" x14ac:dyDescent="0.3">
      <c r="A291" s="108">
        <v>16</v>
      </c>
      <c r="B291" s="120">
        <v>16</v>
      </c>
      <c r="C291" s="138"/>
      <c r="D291" s="120"/>
      <c r="E291" s="139"/>
      <c r="F291" s="134"/>
      <c r="G291" s="134"/>
      <c r="H291" s="134"/>
      <c r="I291" s="134"/>
      <c r="J291" s="134"/>
      <c r="K291" s="134"/>
      <c r="L291" s="134"/>
      <c r="M291" s="134"/>
      <c r="N291" s="134"/>
      <c r="O291" s="134"/>
      <c r="P291" s="134"/>
      <c r="Q291" s="120"/>
    </row>
    <row r="292" spans="1:18" x14ac:dyDescent="0.3">
      <c r="A292" s="108">
        <v>17</v>
      </c>
      <c r="B292" s="120">
        <v>17</v>
      </c>
      <c r="C292" s="138"/>
      <c r="D292" s="120"/>
      <c r="E292" s="139"/>
      <c r="F292" s="134"/>
      <c r="G292" s="134"/>
      <c r="H292" s="134"/>
      <c r="I292" s="134"/>
      <c r="J292" s="134"/>
      <c r="K292" s="134"/>
      <c r="L292" s="134"/>
      <c r="M292" s="134"/>
      <c r="N292" s="134"/>
      <c r="O292" s="134"/>
      <c r="P292" s="134"/>
      <c r="Q292" s="120"/>
    </row>
    <row r="293" spans="1:18" x14ac:dyDescent="0.3">
      <c r="A293" s="108">
        <v>18</v>
      </c>
      <c r="B293" s="120">
        <v>18</v>
      </c>
      <c r="C293" s="138"/>
      <c r="D293" s="120"/>
      <c r="E293" s="139"/>
      <c r="F293" s="134"/>
      <c r="G293" s="134"/>
      <c r="H293" s="134"/>
      <c r="I293" s="134"/>
      <c r="J293" s="134"/>
      <c r="K293" s="134"/>
      <c r="L293" s="134"/>
      <c r="M293" s="134"/>
      <c r="N293" s="134"/>
      <c r="O293" s="134"/>
      <c r="P293" s="134"/>
      <c r="Q293" s="120"/>
    </row>
    <row r="294" spans="1:18" x14ac:dyDescent="0.3">
      <c r="A294" s="108">
        <v>19</v>
      </c>
      <c r="B294" s="120">
        <v>19</v>
      </c>
      <c r="C294" s="138"/>
      <c r="D294" s="120"/>
      <c r="E294" s="139"/>
      <c r="F294" s="134"/>
      <c r="G294" s="134"/>
      <c r="H294" s="134"/>
      <c r="I294" s="134"/>
      <c r="J294" s="134"/>
      <c r="K294" s="134"/>
      <c r="L294" s="134"/>
      <c r="M294" s="134"/>
      <c r="N294" s="134"/>
      <c r="O294" s="134"/>
      <c r="P294" s="134"/>
      <c r="Q294" s="120"/>
    </row>
    <row r="295" spans="1:18" x14ac:dyDescent="0.3">
      <c r="A295" s="108">
        <v>20</v>
      </c>
      <c r="B295" s="120">
        <v>20</v>
      </c>
      <c r="C295" s="138"/>
      <c r="D295" s="120"/>
      <c r="E295" s="139"/>
      <c r="F295" s="134"/>
      <c r="G295" s="134"/>
      <c r="H295" s="134"/>
      <c r="I295" s="134"/>
      <c r="J295" s="134"/>
      <c r="K295" s="134"/>
      <c r="L295" s="134"/>
      <c r="M295" s="134"/>
      <c r="N295" s="134"/>
      <c r="O295" s="134"/>
      <c r="P295" s="134"/>
      <c r="Q295" s="120"/>
    </row>
    <row r="296" spans="1:18" ht="14.4" thickBot="1" x14ac:dyDescent="0.35">
      <c r="A296" s="108">
        <v>0</v>
      </c>
      <c r="B296" s="129" t="s">
        <v>24</v>
      </c>
      <c r="C296" s="130"/>
      <c r="D296" s="130"/>
      <c r="E296" s="130"/>
      <c r="F296" s="133">
        <f>SUM(F276:F295)</f>
        <v>0</v>
      </c>
      <c r="G296" s="133">
        <f t="shared" ref="G296:P296" si="9">SUM(G276:G295)</f>
        <v>0</v>
      </c>
      <c r="H296" s="133">
        <f t="shared" si="9"/>
        <v>0</v>
      </c>
      <c r="I296" s="133">
        <f t="shared" si="9"/>
        <v>0</v>
      </c>
      <c r="J296" s="133">
        <f t="shared" si="9"/>
        <v>0</v>
      </c>
      <c r="K296" s="133">
        <f t="shared" si="9"/>
        <v>0</v>
      </c>
      <c r="L296" s="133">
        <f t="shared" si="9"/>
        <v>0</v>
      </c>
      <c r="M296" s="133">
        <f t="shared" si="9"/>
        <v>0</v>
      </c>
      <c r="N296" s="133">
        <f t="shared" si="9"/>
        <v>0</v>
      </c>
      <c r="O296" s="133">
        <f t="shared" si="9"/>
        <v>0</v>
      </c>
      <c r="P296" s="133">
        <f t="shared" si="9"/>
        <v>0</v>
      </c>
      <c r="Q296" s="103"/>
    </row>
    <row r="297" spans="1:18" ht="14.4" thickTop="1" x14ac:dyDescent="0.3">
      <c r="A297" s="108">
        <v>0</v>
      </c>
      <c r="B297" s="88"/>
      <c r="C297" s="88"/>
      <c r="D297" s="88"/>
      <c r="E297" s="88"/>
      <c r="F297" s="87"/>
      <c r="G297" s="87"/>
      <c r="H297" s="87"/>
      <c r="I297" s="87"/>
      <c r="J297" s="87"/>
      <c r="K297" s="87"/>
      <c r="L297" s="87"/>
      <c r="M297" s="87"/>
      <c r="N297" s="87"/>
      <c r="O297" s="87"/>
      <c r="P297" s="87"/>
      <c r="Q297" s="88"/>
    </row>
    <row r="298" spans="1:18" x14ac:dyDescent="0.3">
      <c r="A298" s="108">
        <v>0</v>
      </c>
      <c r="B298" s="88"/>
      <c r="C298" s="88"/>
      <c r="D298" s="88"/>
      <c r="E298" s="88"/>
      <c r="F298" s="87"/>
      <c r="G298" s="87"/>
      <c r="H298" s="87"/>
      <c r="I298" s="87"/>
      <c r="J298" s="87"/>
      <c r="K298" s="87"/>
      <c r="L298" s="87"/>
      <c r="M298" s="87"/>
      <c r="N298" s="87"/>
      <c r="O298" s="87"/>
      <c r="P298" s="87"/>
      <c r="Q298" s="88"/>
    </row>
    <row r="299" spans="1:18" x14ac:dyDescent="0.3">
      <c r="A299" s="108">
        <v>0</v>
      </c>
      <c r="B299" s="88" t="s">
        <v>20</v>
      </c>
      <c r="C299" s="88"/>
      <c r="D299" s="88" t="s">
        <v>21</v>
      </c>
      <c r="E299" s="88"/>
      <c r="F299" s="87"/>
      <c r="G299" s="87"/>
      <c r="H299" s="87"/>
      <c r="I299" s="87"/>
      <c r="J299" s="87"/>
      <c r="K299" s="87"/>
      <c r="L299" s="87"/>
      <c r="M299" s="87"/>
      <c r="N299" s="87"/>
      <c r="O299" s="87"/>
      <c r="P299" s="87"/>
      <c r="Q299" s="88"/>
    </row>
    <row r="300" spans="1:18" x14ac:dyDescent="0.3">
      <c r="A300" s="108">
        <v>0</v>
      </c>
      <c r="B300" s="88" t="s">
        <v>12</v>
      </c>
      <c r="C300" s="88"/>
      <c r="D300" s="88" t="s">
        <v>16</v>
      </c>
      <c r="E300" s="88"/>
      <c r="F300" s="87"/>
      <c r="G300" s="87"/>
      <c r="H300" s="87"/>
      <c r="I300" s="87"/>
      <c r="J300" s="87"/>
      <c r="K300" s="87"/>
      <c r="L300" s="87"/>
      <c r="M300" s="87"/>
      <c r="N300" s="87"/>
      <c r="O300" s="87"/>
      <c r="P300" s="87"/>
      <c r="Q300" s="88"/>
    </row>
    <row r="301" spans="1:18" x14ac:dyDescent="0.3">
      <c r="A301" s="108">
        <v>0</v>
      </c>
      <c r="B301" s="88"/>
      <c r="C301" s="88"/>
      <c r="D301" s="88" t="s">
        <v>22</v>
      </c>
      <c r="E301" s="88"/>
      <c r="F301" s="87"/>
      <c r="G301" s="87"/>
      <c r="H301" s="87"/>
      <c r="I301" s="87"/>
      <c r="J301" s="87"/>
      <c r="K301" s="87"/>
      <c r="L301" s="87"/>
      <c r="M301" s="87"/>
      <c r="N301" s="87"/>
      <c r="O301" s="87"/>
      <c r="P301" s="87"/>
      <c r="Q301" s="88"/>
    </row>
    <row r="302" spans="1:18" ht="14.4" customHeight="1" x14ac:dyDescent="0.3">
      <c r="A302" s="108">
        <v>0</v>
      </c>
      <c r="B302" s="88" t="s">
        <v>41</v>
      </c>
      <c r="C302" s="88"/>
      <c r="D302" s="88" t="str">
        <f>D31</f>
        <v>S A M Perera</v>
      </c>
      <c r="E302" s="88"/>
      <c r="F302" s="87"/>
      <c r="G302" s="87"/>
      <c r="H302" s="87"/>
      <c r="I302" s="87"/>
      <c r="J302" s="87"/>
      <c r="K302" s="87"/>
      <c r="L302" s="87"/>
      <c r="M302" s="87"/>
      <c r="N302" s="87" t="s">
        <v>40</v>
      </c>
      <c r="O302" s="87"/>
      <c r="P302" s="87"/>
      <c r="Q302" s="88" t="str">
        <f>Q31</f>
        <v>SAM/CENTRAL/KY/NC/26/DEC/1-A</v>
      </c>
    </row>
    <row r="303" spans="1:18" x14ac:dyDescent="0.3">
      <c r="A303" s="108">
        <v>0</v>
      </c>
      <c r="B303" s="88"/>
      <c r="C303" s="88"/>
      <c r="D303" s="88"/>
      <c r="E303" s="88"/>
      <c r="F303" s="87"/>
      <c r="G303" s="87"/>
      <c r="H303" s="87"/>
      <c r="I303" s="87"/>
      <c r="J303" s="87"/>
      <c r="K303" s="87"/>
      <c r="L303" s="87"/>
      <c r="M303" s="87"/>
      <c r="N303" s="87"/>
      <c r="O303" s="87"/>
      <c r="P303" s="87"/>
      <c r="Q303" s="88"/>
    </row>
    <row r="304" spans="1:18" ht="24.9" customHeight="1" x14ac:dyDescent="0.3">
      <c r="A304" s="108">
        <v>0</v>
      </c>
      <c r="B304" s="140" t="s">
        <v>47</v>
      </c>
      <c r="C304" s="141"/>
      <c r="D304" s="141"/>
      <c r="E304" s="141"/>
      <c r="F304" s="142"/>
      <c r="G304" s="142"/>
      <c r="H304" s="142"/>
      <c r="I304" s="142"/>
      <c r="J304" s="142"/>
      <c r="K304" s="142"/>
      <c r="L304" s="142"/>
      <c r="M304" s="142"/>
      <c r="N304" s="142"/>
      <c r="O304" s="142"/>
      <c r="P304" s="142"/>
      <c r="Q304" s="141"/>
      <c r="R304" s="115"/>
    </row>
    <row r="305" spans="1:17" ht="60.6" customHeight="1" x14ac:dyDescent="0.3">
      <c r="A305" s="108">
        <v>0</v>
      </c>
      <c r="B305" s="143" t="s">
        <v>17</v>
      </c>
      <c r="C305" s="143" t="s">
        <v>18</v>
      </c>
      <c r="D305" s="144" t="s">
        <v>30</v>
      </c>
      <c r="E305" s="145" t="s">
        <v>19</v>
      </c>
      <c r="F305" s="146" t="s">
        <v>23</v>
      </c>
      <c r="G305" s="146" t="s">
        <v>38</v>
      </c>
      <c r="H305" s="146" t="s">
        <v>42</v>
      </c>
      <c r="I305" s="146" t="s">
        <v>43</v>
      </c>
      <c r="J305" s="146" t="s">
        <v>33</v>
      </c>
      <c r="K305" s="146" t="s">
        <v>44</v>
      </c>
      <c r="L305" s="146" t="s">
        <v>53</v>
      </c>
      <c r="M305" s="146" t="s">
        <v>91</v>
      </c>
      <c r="N305" s="146" t="s">
        <v>92</v>
      </c>
      <c r="O305" s="146" t="s">
        <v>34</v>
      </c>
      <c r="P305" s="146" t="s">
        <v>90</v>
      </c>
      <c r="Q305" s="143" t="s">
        <v>39</v>
      </c>
    </row>
    <row r="306" spans="1:17" x14ac:dyDescent="0.3">
      <c r="A306" s="108">
        <v>1</v>
      </c>
      <c r="B306" s="120">
        <v>1</v>
      </c>
      <c r="C306" s="138"/>
      <c r="D306" s="120"/>
      <c r="E306" s="139"/>
      <c r="F306" s="134"/>
      <c r="G306" s="134"/>
      <c r="H306" s="134"/>
      <c r="I306" s="134"/>
      <c r="J306" s="134"/>
      <c r="K306" s="134"/>
      <c r="L306" s="134"/>
      <c r="M306" s="134"/>
      <c r="N306" s="134"/>
      <c r="O306" s="134"/>
      <c r="P306" s="134"/>
      <c r="Q306" s="120"/>
    </row>
    <row r="307" spans="1:17" x14ac:dyDescent="0.3">
      <c r="A307" s="108">
        <v>2</v>
      </c>
      <c r="B307" s="120">
        <v>2</v>
      </c>
      <c r="C307" s="138"/>
      <c r="D307" s="120"/>
      <c r="E307" s="139"/>
      <c r="F307" s="134"/>
      <c r="G307" s="134"/>
      <c r="H307" s="134"/>
      <c r="I307" s="134"/>
      <c r="J307" s="134"/>
      <c r="K307" s="134"/>
      <c r="L307" s="134"/>
      <c r="M307" s="134"/>
      <c r="N307" s="134"/>
      <c r="O307" s="134"/>
      <c r="P307" s="134"/>
      <c r="Q307" s="120"/>
    </row>
    <row r="308" spans="1:17" x14ac:dyDescent="0.3">
      <c r="A308" s="108">
        <v>3</v>
      </c>
      <c r="B308" s="120">
        <v>3</v>
      </c>
      <c r="C308" s="138"/>
      <c r="D308" s="120"/>
      <c r="E308" s="139"/>
      <c r="F308" s="134"/>
      <c r="G308" s="134"/>
      <c r="H308" s="134"/>
      <c r="I308" s="134"/>
      <c r="J308" s="134"/>
      <c r="K308" s="134"/>
      <c r="L308" s="134"/>
      <c r="M308" s="134"/>
      <c r="N308" s="134"/>
      <c r="O308" s="134"/>
      <c r="P308" s="134"/>
      <c r="Q308" s="120"/>
    </row>
    <row r="309" spans="1:17" x14ac:dyDescent="0.3">
      <c r="A309" s="108">
        <v>4</v>
      </c>
      <c r="B309" s="120">
        <v>4</v>
      </c>
      <c r="C309" s="138"/>
      <c r="D309" s="120"/>
      <c r="E309" s="139"/>
      <c r="F309" s="134"/>
      <c r="G309" s="134"/>
      <c r="H309" s="134"/>
      <c r="I309" s="134"/>
      <c r="J309" s="134"/>
      <c r="K309" s="134"/>
      <c r="L309" s="134"/>
      <c r="M309" s="134"/>
      <c r="N309" s="134"/>
      <c r="O309" s="134"/>
      <c r="P309" s="134"/>
      <c r="Q309" s="120"/>
    </row>
    <row r="310" spans="1:17" x14ac:dyDescent="0.3">
      <c r="A310" s="108">
        <v>5</v>
      </c>
      <c r="B310" s="120">
        <v>5</v>
      </c>
      <c r="C310" s="138"/>
      <c r="D310" s="120"/>
      <c r="E310" s="139"/>
      <c r="F310" s="134"/>
      <c r="G310" s="134"/>
      <c r="H310" s="134"/>
      <c r="I310" s="134"/>
      <c r="J310" s="134"/>
      <c r="K310" s="134"/>
      <c r="L310" s="134"/>
      <c r="M310" s="134"/>
      <c r="N310" s="134"/>
      <c r="O310" s="134"/>
      <c r="P310" s="134"/>
      <c r="Q310" s="120"/>
    </row>
    <row r="311" spans="1:17" x14ac:dyDescent="0.3">
      <c r="A311" s="108">
        <v>6</v>
      </c>
      <c r="B311" s="120">
        <v>6</v>
      </c>
      <c r="C311" s="138"/>
      <c r="D311" s="120"/>
      <c r="E311" s="139"/>
      <c r="F311" s="134"/>
      <c r="G311" s="134"/>
      <c r="H311" s="134"/>
      <c r="I311" s="134"/>
      <c r="J311" s="134"/>
      <c r="K311" s="134"/>
      <c r="L311" s="134"/>
      <c r="M311" s="134"/>
      <c r="N311" s="134"/>
      <c r="O311" s="134"/>
      <c r="P311" s="134"/>
      <c r="Q311" s="120"/>
    </row>
    <row r="312" spans="1:17" x14ac:dyDescent="0.3">
      <c r="A312" s="108">
        <v>7</v>
      </c>
      <c r="B312" s="120">
        <v>7</v>
      </c>
      <c r="C312" s="138"/>
      <c r="D312" s="120"/>
      <c r="E312" s="139"/>
      <c r="F312" s="134"/>
      <c r="G312" s="134"/>
      <c r="H312" s="134"/>
      <c r="I312" s="134"/>
      <c r="J312" s="134"/>
      <c r="K312" s="134"/>
      <c r="L312" s="134"/>
      <c r="M312" s="134"/>
      <c r="N312" s="134"/>
      <c r="O312" s="134"/>
      <c r="P312" s="134"/>
      <c r="Q312" s="120"/>
    </row>
    <row r="313" spans="1:17" x14ac:dyDescent="0.3">
      <c r="A313" s="108">
        <v>8</v>
      </c>
      <c r="B313" s="120">
        <v>8</v>
      </c>
      <c r="C313" s="138"/>
      <c r="D313" s="120"/>
      <c r="E313" s="139"/>
      <c r="F313" s="134"/>
      <c r="G313" s="134"/>
      <c r="H313" s="134"/>
      <c r="I313" s="134"/>
      <c r="J313" s="134"/>
      <c r="K313" s="134"/>
      <c r="L313" s="134"/>
      <c r="M313" s="134"/>
      <c r="N313" s="134"/>
      <c r="O313" s="134"/>
      <c r="P313" s="134"/>
      <c r="Q313" s="120"/>
    </row>
    <row r="314" spans="1:17" x14ac:dyDescent="0.3">
      <c r="A314" s="108">
        <v>9</v>
      </c>
      <c r="B314" s="120">
        <v>9</v>
      </c>
      <c r="C314" s="138"/>
      <c r="D314" s="120"/>
      <c r="E314" s="139"/>
      <c r="F314" s="134"/>
      <c r="G314" s="134"/>
      <c r="H314" s="134"/>
      <c r="I314" s="134"/>
      <c r="J314" s="134"/>
      <c r="K314" s="134"/>
      <c r="L314" s="134"/>
      <c r="M314" s="134"/>
      <c r="N314" s="134"/>
      <c r="O314" s="134"/>
      <c r="P314" s="134"/>
      <c r="Q314" s="120"/>
    </row>
    <row r="315" spans="1:17" x14ac:dyDescent="0.3">
      <c r="A315" s="108">
        <v>10</v>
      </c>
      <c r="B315" s="120">
        <v>10</v>
      </c>
      <c r="C315" s="138"/>
      <c r="D315" s="120"/>
      <c r="E315" s="139"/>
      <c r="F315" s="134"/>
      <c r="G315" s="134"/>
      <c r="H315" s="134"/>
      <c r="I315" s="134"/>
      <c r="J315" s="134"/>
      <c r="K315" s="134"/>
      <c r="L315" s="134"/>
      <c r="M315" s="134"/>
      <c r="N315" s="134"/>
      <c r="O315" s="134"/>
      <c r="P315" s="134"/>
      <c r="Q315" s="120"/>
    </row>
    <row r="316" spans="1:17" x14ac:dyDescent="0.3">
      <c r="A316" s="108">
        <v>11</v>
      </c>
      <c r="B316" s="120">
        <v>11</v>
      </c>
      <c r="C316" s="138"/>
      <c r="D316" s="120"/>
      <c r="E316" s="139"/>
      <c r="F316" s="134"/>
      <c r="G316" s="134"/>
      <c r="H316" s="134"/>
      <c r="I316" s="134"/>
      <c r="J316" s="134"/>
      <c r="K316" s="134"/>
      <c r="L316" s="134"/>
      <c r="M316" s="134"/>
      <c r="N316" s="134"/>
      <c r="O316" s="134"/>
      <c r="P316" s="134"/>
      <c r="Q316" s="120"/>
    </row>
    <row r="317" spans="1:17" x14ac:dyDescent="0.3">
      <c r="A317" s="108">
        <v>12</v>
      </c>
      <c r="B317" s="120">
        <v>12</v>
      </c>
      <c r="C317" s="138"/>
      <c r="D317" s="120"/>
      <c r="E317" s="139"/>
      <c r="F317" s="134"/>
      <c r="G317" s="134"/>
      <c r="H317" s="134"/>
      <c r="I317" s="134"/>
      <c r="J317" s="134"/>
      <c r="K317" s="134"/>
      <c r="L317" s="134"/>
      <c r="M317" s="134"/>
      <c r="N317" s="134"/>
      <c r="O317" s="134"/>
      <c r="P317" s="134"/>
      <c r="Q317" s="120"/>
    </row>
    <row r="318" spans="1:17" x14ac:dyDescent="0.3">
      <c r="A318" s="108">
        <v>13</v>
      </c>
      <c r="B318" s="120">
        <v>13</v>
      </c>
      <c r="C318" s="138"/>
      <c r="D318" s="120"/>
      <c r="E318" s="139"/>
      <c r="F318" s="134"/>
      <c r="G318" s="134"/>
      <c r="H318" s="134"/>
      <c r="I318" s="134"/>
      <c r="J318" s="134"/>
      <c r="K318" s="134"/>
      <c r="L318" s="134"/>
      <c r="M318" s="134"/>
      <c r="N318" s="134"/>
      <c r="O318" s="134"/>
      <c r="P318" s="134"/>
      <c r="Q318" s="120"/>
    </row>
    <row r="319" spans="1:17" x14ac:dyDescent="0.3">
      <c r="A319" s="108">
        <v>14</v>
      </c>
      <c r="B319" s="120">
        <v>14</v>
      </c>
      <c r="C319" s="138"/>
      <c r="D319" s="120"/>
      <c r="E319" s="139"/>
      <c r="F319" s="134"/>
      <c r="G319" s="134"/>
      <c r="H319" s="134"/>
      <c r="I319" s="134"/>
      <c r="J319" s="134"/>
      <c r="K319" s="134"/>
      <c r="L319" s="134"/>
      <c r="M319" s="134"/>
      <c r="N319" s="134"/>
      <c r="O319" s="134"/>
      <c r="P319" s="134"/>
      <c r="Q319" s="120"/>
    </row>
    <row r="320" spans="1:17" x14ac:dyDescent="0.3">
      <c r="A320" s="108">
        <v>15</v>
      </c>
      <c r="B320" s="120">
        <v>15</v>
      </c>
      <c r="C320" s="138"/>
      <c r="D320" s="120"/>
      <c r="E320" s="139"/>
      <c r="F320" s="134"/>
      <c r="G320" s="134"/>
      <c r="H320" s="134"/>
      <c r="I320" s="134"/>
      <c r="J320" s="134"/>
      <c r="K320" s="134"/>
      <c r="L320" s="134"/>
      <c r="M320" s="134"/>
      <c r="N320" s="134"/>
      <c r="O320" s="134"/>
      <c r="P320" s="134"/>
      <c r="Q320" s="120"/>
    </row>
    <row r="321" spans="1:18" x14ac:dyDescent="0.3">
      <c r="A321" s="108">
        <v>16</v>
      </c>
      <c r="B321" s="120">
        <v>16</v>
      </c>
      <c r="C321" s="138"/>
      <c r="D321" s="120"/>
      <c r="E321" s="139"/>
      <c r="F321" s="134"/>
      <c r="G321" s="134"/>
      <c r="H321" s="134"/>
      <c r="I321" s="134"/>
      <c r="J321" s="134"/>
      <c r="K321" s="134"/>
      <c r="L321" s="134"/>
      <c r="M321" s="134"/>
      <c r="N321" s="134"/>
      <c r="O321" s="134"/>
      <c r="P321" s="134"/>
      <c r="Q321" s="120"/>
    </row>
    <row r="322" spans="1:18" x14ac:dyDescent="0.3">
      <c r="A322" s="108">
        <v>17</v>
      </c>
      <c r="B322" s="120">
        <v>17</v>
      </c>
      <c r="C322" s="138"/>
      <c r="D322" s="120"/>
      <c r="E322" s="139"/>
      <c r="F322" s="134"/>
      <c r="G322" s="134"/>
      <c r="H322" s="134"/>
      <c r="I322" s="134"/>
      <c r="J322" s="134"/>
      <c r="K322" s="134"/>
      <c r="L322" s="134"/>
      <c r="M322" s="134"/>
      <c r="N322" s="134"/>
      <c r="O322" s="134"/>
      <c r="P322" s="134"/>
      <c r="Q322" s="120"/>
    </row>
    <row r="323" spans="1:18" x14ac:dyDescent="0.3">
      <c r="A323" s="108">
        <v>18</v>
      </c>
      <c r="B323" s="120">
        <v>18</v>
      </c>
      <c r="C323" s="138"/>
      <c r="D323" s="120"/>
      <c r="E323" s="139"/>
      <c r="F323" s="134"/>
      <c r="G323" s="134"/>
      <c r="H323" s="134"/>
      <c r="I323" s="134"/>
      <c r="J323" s="134"/>
      <c r="K323" s="134"/>
      <c r="L323" s="134"/>
      <c r="M323" s="134"/>
      <c r="N323" s="134"/>
      <c r="O323" s="134"/>
      <c r="P323" s="134"/>
      <c r="Q323" s="120"/>
    </row>
    <row r="324" spans="1:18" x14ac:dyDescent="0.3">
      <c r="A324" s="108">
        <v>19</v>
      </c>
      <c r="B324" s="120">
        <v>19</v>
      </c>
      <c r="C324" s="138"/>
      <c r="D324" s="120"/>
      <c r="E324" s="139"/>
      <c r="F324" s="134"/>
      <c r="G324" s="134"/>
      <c r="H324" s="134"/>
      <c r="I324" s="134"/>
      <c r="J324" s="134"/>
      <c r="K324" s="134"/>
      <c r="L324" s="134"/>
      <c r="M324" s="134"/>
      <c r="N324" s="134"/>
      <c r="O324" s="134"/>
      <c r="P324" s="134"/>
      <c r="Q324" s="120"/>
    </row>
    <row r="325" spans="1:18" x14ac:dyDescent="0.3">
      <c r="A325" s="108">
        <v>20</v>
      </c>
      <c r="B325" s="120">
        <v>20</v>
      </c>
      <c r="C325" s="138"/>
      <c r="D325" s="120"/>
      <c r="E325" s="139"/>
      <c r="F325" s="134"/>
      <c r="G325" s="134"/>
      <c r="H325" s="134"/>
      <c r="I325" s="134"/>
      <c r="J325" s="134"/>
      <c r="K325" s="134"/>
      <c r="L325" s="134"/>
      <c r="M325" s="134"/>
      <c r="N325" s="134"/>
      <c r="O325" s="134"/>
      <c r="P325" s="134"/>
      <c r="Q325" s="120"/>
    </row>
    <row r="326" spans="1:18" ht="14.4" thickBot="1" x14ac:dyDescent="0.35">
      <c r="A326" s="108">
        <v>0</v>
      </c>
      <c r="B326" s="129" t="s">
        <v>24</v>
      </c>
      <c r="C326" s="130"/>
      <c r="D326" s="130"/>
      <c r="E326" s="130"/>
      <c r="F326" s="133">
        <f>SUM(F306:F325)</f>
        <v>0</v>
      </c>
      <c r="G326" s="133">
        <f t="shared" ref="G326:P326" si="10">SUM(G306:G325)</f>
        <v>0</v>
      </c>
      <c r="H326" s="133">
        <f t="shared" si="10"/>
        <v>0</v>
      </c>
      <c r="I326" s="133">
        <f t="shared" si="10"/>
        <v>0</v>
      </c>
      <c r="J326" s="133">
        <f t="shared" si="10"/>
        <v>0</v>
      </c>
      <c r="K326" s="133">
        <f t="shared" si="10"/>
        <v>0</v>
      </c>
      <c r="L326" s="133">
        <f t="shared" si="10"/>
        <v>0</v>
      </c>
      <c r="M326" s="133">
        <f t="shared" si="10"/>
        <v>0</v>
      </c>
      <c r="N326" s="133">
        <f t="shared" si="10"/>
        <v>0</v>
      </c>
      <c r="O326" s="133">
        <f t="shared" si="10"/>
        <v>0</v>
      </c>
      <c r="P326" s="133">
        <f t="shared" si="10"/>
        <v>0</v>
      </c>
      <c r="Q326" s="103"/>
    </row>
    <row r="327" spans="1:18" ht="14.4" thickTop="1" x14ac:dyDescent="0.3">
      <c r="A327" s="108">
        <v>0</v>
      </c>
      <c r="B327" s="88"/>
      <c r="C327" s="88"/>
      <c r="D327" s="88"/>
      <c r="E327" s="88"/>
      <c r="F327" s="87"/>
      <c r="G327" s="87"/>
      <c r="H327" s="87"/>
      <c r="I327" s="87"/>
      <c r="J327" s="87"/>
      <c r="K327" s="87"/>
      <c r="L327" s="87"/>
      <c r="M327" s="87"/>
      <c r="N327" s="87"/>
      <c r="O327" s="87"/>
      <c r="P327" s="87"/>
      <c r="Q327" s="88"/>
    </row>
    <row r="328" spans="1:18" x14ac:dyDescent="0.3">
      <c r="A328" s="108">
        <v>0</v>
      </c>
      <c r="B328" s="88"/>
      <c r="C328" s="88"/>
      <c r="D328" s="88"/>
      <c r="E328" s="88"/>
      <c r="F328" s="87"/>
      <c r="G328" s="87"/>
      <c r="H328" s="87"/>
      <c r="I328" s="87"/>
      <c r="J328" s="87"/>
      <c r="K328" s="87"/>
      <c r="L328" s="87"/>
      <c r="M328" s="87"/>
      <c r="N328" s="87"/>
      <c r="O328" s="87"/>
      <c r="P328" s="87"/>
      <c r="Q328" s="88"/>
    </row>
    <row r="329" spans="1:18" x14ac:dyDescent="0.3">
      <c r="A329" s="108">
        <v>0</v>
      </c>
      <c r="B329" s="88" t="s">
        <v>20</v>
      </c>
      <c r="C329" s="88"/>
      <c r="D329" s="88" t="s">
        <v>21</v>
      </c>
      <c r="E329" s="88"/>
      <c r="F329" s="87"/>
      <c r="G329" s="87"/>
      <c r="H329" s="87"/>
      <c r="I329" s="87"/>
      <c r="J329" s="87"/>
      <c r="K329" s="87"/>
      <c r="L329" s="87"/>
      <c r="M329" s="87"/>
      <c r="N329" s="87"/>
      <c r="O329" s="87"/>
      <c r="P329" s="87"/>
      <c r="Q329" s="88"/>
    </row>
    <row r="330" spans="1:18" x14ac:dyDescent="0.3">
      <c r="A330" s="108">
        <v>0</v>
      </c>
      <c r="B330" s="88" t="s">
        <v>12</v>
      </c>
      <c r="C330" s="88"/>
      <c r="D330" s="88" t="s">
        <v>16</v>
      </c>
      <c r="E330" s="88"/>
      <c r="F330" s="87"/>
      <c r="G330" s="87"/>
      <c r="H330" s="87"/>
      <c r="I330" s="87"/>
      <c r="J330" s="87"/>
      <c r="K330" s="87"/>
      <c r="L330" s="87"/>
      <c r="M330" s="87"/>
      <c r="N330" s="87"/>
      <c r="O330" s="87"/>
      <c r="P330" s="87"/>
      <c r="Q330" s="88"/>
    </row>
    <row r="331" spans="1:18" x14ac:dyDescent="0.3">
      <c r="A331" s="108">
        <v>0</v>
      </c>
      <c r="B331" s="88"/>
      <c r="C331" s="88"/>
      <c r="D331" s="88" t="s">
        <v>22</v>
      </c>
      <c r="E331" s="88"/>
      <c r="F331" s="87"/>
      <c r="G331" s="87"/>
      <c r="H331" s="87"/>
      <c r="I331" s="87"/>
      <c r="J331" s="87"/>
      <c r="K331" s="87"/>
      <c r="L331" s="87"/>
      <c r="M331" s="87"/>
      <c r="N331" s="87"/>
      <c r="O331" s="87"/>
      <c r="P331" s="87"/>
      <c r="Q331" s="88"/>
    </row>
    <row r="332" spans="1:18" ht="14.4" customHeight="1" x14ac:dyDescent="0.3">
      <c r="A332" s="108">
        <v>0</v>
      </c>
      <c r="B332" s="88" t="s">
        <v>41</v>
      </c>
      <c r="C332" s="88"/>
      <c r="D332" s="88" t="str">
        <f>D62</f>
        <v>S A M Perera</v>
      </c>
      <c r="E332" s="88"/>
      <c r="F332" s="87"/>
      <c r="G332" s="87"/>
      <c r="H332" s="87"/>
      <c r="I332" s="87"/>
      <c r="J332" s="87"/>
      <c r="K332" s="87"/>
      <c r="L332" s="87"/>
      <c r="M332" s="87"/>
      <c r="N332" s="87" t="s">
        <v>40</v>
      </c>
      <c r="O332" s="87"/>
      <c r="P332" s="87"/>
      <c r="Q332" s="88" t="str">
        <f>Q62</f>
        <v>SAM/CENTRAL/KY/NC/26/DEC/1-A</v>
      </c>
    </row>
    <row r="333" spans="1:18" x14ac:dyDescent="0.3">
      <c r="A333" s="108">
        <v>0</v>
      </c>
      <c r="B333" s="88"/>
      <c r="C333" s="88"/>
      <c r="D333" s="88"/>
      <c r="E333" s="88"/>
      <c r="F333" s="87"/>
      <c r="G333" s="87"/>
      <c r="H333" s="87"/>
      <c r="I333" s="87"/>
      <c r="J333" s="87"/>
      <c r="K333" s="87"/>
      <c r="L333" s="87"/>
      <c r="M333" s="87"/>
      <c r="N333" s="87"/>
      <c r="O333" s="87"/>
      <c r="P333" s="87"/>
      <c r="Q333" s="88"/>
    </row>
    <row r="334" spans="1:18" ht="24.9" customHeight="1" x14ac:dyDescent="0.3">
      <c r="A334" s="108">
        <v>0</v>
      </c>
      <c r="B334" s="140" t="s">
        <v>47</v>
      </c>
      <c r="C334" s="141"/>
      <c r="D334" s="141"/>
      <c r="E334" s="141"/>
      <c r="F334" s="142"/>
      <c r="G334" s="142"/>
      <c r="H334" s="142"/>
      <c r="I334" s="142"/>
      <c r="J334" s="142"/>
      <c r="K334" s="142"/>
      <c r="L334" s="142"/>
      <c r="M334" s="142"/>
      <c r="N334" s="142"/>
      <c r="O334" s="142"/>
      <c r="P334" s="142"/>
      <c r="Q334" s="141"/>
      <c r="R334" s="115"/>
    </row>
    <row r="335" spans="1:18" ht="60.6" customHeight="1" x14ac:dyDescent="0.3">
      <c r="A335" s="108">
        <v>0</v>
      </c>
      <c r="B335" s="143" t="s">
        <v>17</v>
      </c>
      <c r="C335" s="143" t="s">
        <v>18</v>
      </c>
      <c r="D335" s="144" t="s">
        <v>30</v>
      </c>
      <c r="E335" s="145" t="s">
        <v>19</v>
      </c>
      <c r="F335" s="146" t="s">
        <v>23</v>
      </c>
      <c r="G335" s="146" t="s">
        <v>38</v>
      </c>
      <c r="H335" s="146" t="s">
        <v>42</v>
      </c>
      <c r="I335" s="146" t="s">
        <v>43</v>
      </c>
      <c r="J335" s="146" t="s">
        <v>33</v>
      </c>
      <c r="K335" s="146" t="s">
        <v>44</v>
      </c>
      <c r="L335" s="146" t="s">
        <v>53</v>
      </c>
      <c r="M335" s="146" t="s">
        <v>91</v>
      </c>
      <c r="N335" s="146" t="s">
        <v>92</v>
      </c>
      <c r="O335" s="146" t="s">
        <v>34</v>
      </c>
      <c r="P335" s="146" t="s">
        <v>90</v>
      </c>
      <c r="Q335" s="143" t="s">
        <v>39</v>
      </c>
    </row>
    <row r="336" spans="1:18" x14ac:dyDescent="0.3">
      <c r="A336" s="108">
        <v>1</v>
      </c>
      <c r="B336" s="120">
        <v>1</v>
      </c>
      <c r="C336" s="138"/>
      <c r="D336" s="120"/>
      <c r="E336" s="139"/>
      <c r="F336" s="134"/>
      <c r="G336" s="134"/>
      <c r="H336" s="134"/>
      <c r="I336" s="134"/>
      <c r="J336" s="134"/>
      <c r="K336" s="134"/>
      <c r="L336" s="134"/>
      <c r="M336" s="134"/>
      <c r="N336" s="134"/>
      <c r="O336" s="134"/>
      <c r="P336" s="134"/>
      <c r="Q336" s="120"/>
    </row>
    <row r="337" spans="1:17" x14ac:dyDescent="0.3">
      <c r="A337" s="108">
        <v>2</v>
      </c>
      <c r="B337" s="120">
        <v>2</v>
      </c>
      <c r="C337" s="138"/>
      <c r="D337" s="120"/>
      <c r="E337" s="139"/>
      <c r="F337" s="134"/>
      <c r="G337" s="134"/>
      <c r="H337" s="134"/>
      <c r="I337" s="134"/>
      <c r="J337" s="134"/>
      <c r="K337" s="134"/>
      <c r="L337" s="134"/>
      <c r="M337" s="134"/>
      <c r="N337" s="134"/>
      <c r="O337" s="134"/>
      <c r="P337" s="134"/>
      <c r="Q337" s="120"/>
    </row>
    <row r="338" spans="1:17" x14ac:dyDescent="0.3">
      <c r="A338" s="108">
        <v>3</v>
      </c>
      <c r="B338" s="120">
        <v>3</v>
      </c>
      <c r="C338" s="138"/>
      <c r="D338" s="120"/>
      <c r="E338" s="139"/>
      <c r="F338" s="134"/>
      <c r="G338" s="134"/>
      <c r="H338" s="134"/>
      <c r="I338" s="134"/>
      <c r="J338" s="134"/>
      <c r="K338" s="134"/>
      <c r="L338" s="134"/>
      <c r="M338" s="134"/>
      <c r="N338" s="134"/>
      <c r="O338" s="134"/>
      <c r="P338" s="134"/>
      <c r="Q338" s="120"/>
    </row>
    <row r="339" spans="1:17" x14ac:dyDescent="0.3">
      <c r="A339" s="108">
        <v>4</v>
      </c>
      <c r="B339" s="120">
        <v>4</v>
      </c>
      <c r="C339" s="138"/>
      <c r="D339" s="120"/>
      <c r="E339" s="139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20"/>
    </row>
    <row r="340" spans="1:17" x14ac:dyDescent="0.3">
      <c r="A340" s="108">
        <v>5</v>
      </c>
      <c r="B340" s="120">
        <v>5</v>
      </c>
      <c r="C340" s="138"/>
      <c r="D340" s="120"/>
      <c r="E340" s="139"/>
      <c r="F340" s="134"/>
      <c r="G340" s="134"/>
      <c r="H340" s="134"/>
      <c r="I340" s="134"/>
      <c r="J340" s="134"/>
      <c r="K340" s="134"/>
      <c r="L340" s="134"/>
      <c r="M340" s="134"/>
      <c r="N340" s="134"/>
      <c r="O340" s="134"/>
      <c r="P340" s="134"/>
      <c r="Q340" s="120"/>
    </row>
    <row r="341" spans="1:17" x14ac:dyDescent="0.3">
      <c r="A341" s="108">
        <v>6</v>
      </c>
      <c r="B341" s="120">
        <v>6</v>
      </c>
      <c r="C341" s="138"/>
      <c r="D341" s="120"/>
      <c r="E341" s="139"/>
      <c r="F341" s="134"/>
      <c r="G341" s="134"/>
      <c r="H341" s="134"/>
      <c r="I341" s="134"/>
      <c r="J341" s="134"/>
      <c r="K341" s="134"/>
      <c r="L341" s="134"/>
      <c r="M341" s="134"/>
      <c r="N341" s="134"/>
      <c r="O341" s="134"/>
      <c r="P341" s="134"/>
      <c r="Q341" s="120"/>
    </row>
    <row r="342" spans="1:17" x14ac:dyDescent="0.3">
      <c r="A342" s="108">
        <v>7</v>
      </c>
      <c r="B342" s="120">
        <v>7</v>
      </c>
      <c r="C342" s="138"/>
      <c r="D342" s="120"/>
      <c r="E342" s="139"/>
      <c r="F342" s="134"/>
      <c r="G342" s="134"/>
      <c r="H342" s="134"/>
      <c r="I342" s="134"/>
      <c r="J342" s="134"/>
      <c r="K342" s="134"/>
      <c r="L342" s="134"/>
      <c r="M342" s="134"/>
      <c r="N342" s="134"/>
      <c r="O342" s="134"/>
      <c r="P342" s="134"/>
      <c r="Q342" s="120"/>
    </row>
    <row r="343" spans="1:17" x14ac:dyDescent="0.3">
      <c r="A343" s="108">
        <v>8</v>
      </c>
      <c r="B343" s="120">
        <v>8</v>
      </c>
      <c r="C343" s="138"/>
      <c r="D343" s="120"/>
      <c r="E343" s="139"/>
      <c r="F343" s="134"/>
      <c r="G343" s="134"/>
      <c r="H343" s="134"/>
      <c r="I343" s="134"/>
      <c r="J343" s="134"/>
      <c r="K343" s="134"/>
      <c r="L343" s="134"/>
      <c r="M343" s="134"/>
      <c r="N343" s="134"/>
      <c r="O343" s="134"/>
      <c r="P343" s="134"/>
      <c r="Q343" s="120"/>
    </row>
    <row r="344" spans="1:17" x14ac:dyDescent="0.3">
      <c r="A344" s="108">
        <v>9</v>
      </c>
      <c r="B344" s="120">
        <v>9</v>
      </c>
      <c r="C344" s="138"/>
      <c r="D344" s="120"/>
      <c r="E344" s="139"/>
      <c r="F344" s="134"/>
      <c r="G344" s="134"/>
      <c r="H344" s="134"/>
      <c r="I344" s="134"/>
      <c r="J344" s="134"/>
      <c r="K344" s="134"/>
      <c r="L344" s="134"/>
      <c r="M344" s="134"/>
      <c r="N344" s="134"/>
      <c r="O344" s="134"/>
      <c r="P344" s="134"/>
      <c r="Q344" s="120"/>
    </row>
    <row r="345" spans="1:17" x14ac:dyDescent="0.3">
      <c r="A345" s="108">
        <v>10</v>
      </c>
      <c r="B345" s="120">
        <v>10</v>
      </c>
      <c r="C345" s="138"/>
      <c r="D345" s="120"/>
      <c r="E345" s="139"/>
      <c r="F345" s="134"/>
      <c r="G345" s="134"/>
      <c r="H345" s="134"/>
      <c r="I345" s="134"/>
      <c r="J345" s="134"/>
      <c r="K345" s="134"/>
      <c r="L345" s="134"/>
      <c r="M345" s="134"/>
      <c r="N345" s="134"/>
      <c r="O345" s="134"/>
      <c r="P345" s="134"/>
      <c r="Q345" s="120"/>
    </row>
    <row r="346" spans="1:17" x14ac:dyDescent="0.3">
      <c r="A346" s="108">
        <v>11</v>
      </c>
      <c r="B346" s="120">
        <v>11</v>
      </c>
      <c r="C346" s="138"/>
      <c r="D346" s="120"/>
      <c r="E346" s="139"/>
      <c r="F346" s="134"/>
      <c r="G346" s="134"/>
      <c r="H346" s="134"/>
      <c r="I346" s="134"/>
      <c r="J346" s="134"/>
      <c r="K346" s="134"/>
      <c r="L346" s="134"/>
      <c r="M346" s="134"/>
      <c r="N346" s="134"/>
      <c r="O346" s="134"/>
      <c r="P346" s="134"/>
      <c r="Q346" s="120"/>
    </row>
    <row r="347" spans="1:17" x14ac:dyDescent="0.3">
      <c r="A347" s="108">
        <v>12</v>
      </c>
      <c r="B347" s="120">
        <v>12</v>
      </c>
      <c r="C347" s="138"/>
      <c r="D347" s="120"/>
      <c r="E347" s="139"/>
      <c r="F347" s="134"/>
      <c r="G347" s="134"/>
      <c r="H347" s="134"/>
      <c r="I347" s="134"/>
      <c r="J347" s="134"/>
      <c r="K347" s="134"/>
      <c r="L347" s="134"/>
      <c r="M347" s="134"/>
      <c r="N347" s="134"/>
      <c r="O347" s="134"/>
      <c r="P347" s="134"/>
      <c r="Q347" s="120"/>
    </row>
    <row r="348" spans="1:17" x14ac:dyDescent="0.3">
      <c r="A348" s="108">
        <v>13</v>
      </c>
      <c r="B348" s="120">
        <v>13</v>
      </c>
      <c r="C348" s="138"/>
      <c r="D348" s="120"/>
      <c r="E348" s="139"/>
      <c r="F348" s="134"/>
      <c r="G348" s="134"/>
      <c r="H348" s="134"/>
      <c r="I348" s="134"/>
      <c r="J348" s="134"/>
      <c r="K348" s="134"/>
      <c r="L348" s="134"/>
      <c r="M348" s="134"/>
      <c r="N348" s="134"/>
      <c r="O348" s="134"/>
      <c r="P348" s="134"/>
      <c r="Q348" s="120"/>
    </row>
    <row r="349" spans="1:17" x14ac:dyDescent="0.3">
      <c r="A349" s="108">
        <v>14</v>
      </c>
      <c r="B349" s="120">
        <v>14</v>
      </c>
      <c r="C349" s="138"/>
      <c r="D349" s="120"/>
      <c r="E349" s="139"/>
      <c r="F349" s="134"/>
      <c r="G349" s="134"/>
      <c r="H349" s="134"/>
      <c r="I349" s="134"/>
      <c r="J349" s="134"/>
      <c r="K349" s="134"/>
      <c r="L349" s="134"/>
      <c r="M349" s="134"/>
      <c r="N349" s="134"/>
      <c r="O349" s="134"/>
      <c r="P349" s="134"/>
      <c r="Q349" s="120"/>
    </row>
    <row r="350" spans="1:17" x14ac:dyDescent="0.3">
      <c r="A350" s="108">
        <v>15</v>
      </c>
      <c r="B350" s="120">
        <v>15</v>
      </c>
      <c r="C350" s="138"/>
      <c r="D350" s="120"/>
      <c r="E350" s="139"/>
      <c r="F350" s="134"/>
      <c r="G350" s="134"/>
      <c r="H350" s="134"/>
      <c r="I350" s="134"/>
      <c r="J350" s="134"/>
      <c r="K350" s="134"/>
      <c r="L350" s="134"/>
      <c r="M350" s="134"/>
      <c r="N350" s="134"/>
      <c r="O350" s="134"/>
      <c r="P350" s="134"/>
      <c r="Q350" s="120"/>
    </row>
    <row r="351" spans="1:17" x14ac:dyDescent="0.3">
      <c r="A351" s="108">
        <v>16</v>
      </c>
      <c r="B351" s="120">
        <v>16</v>
      </c>
      <c r="C351" s="138"/>
      <c r="D351" s="120"/>
      <c r="E351" s="139"/>
      <c r="F351" s="134"/>
      <c r="G351" s="134"/>
      <c r="H351" s="134"/>
      <c r="I351" s="134"/>
      <c r="J351" s="134"/>
      <c r="K351" s="134"/>
      <c r="L351" s="134"/>
      <c r="M351" s="134"/>
      <c r="N351" s="134"/>
      <c r="O351" s="134"/>
      <c r="P351" s="134"/>
      <c r="Q351" s="120"/>
    </row>
    <row r="352" spans="1:17" x14ac:dyDescent="0.3">
      <c r="A352" s="108">
        <v>17</v>
      </c>
      <c r="B352" s="120">
        <v>17</v>
      </c>
      <c r="C352" s="138"/>
      <c r="D352" s="120"/>
      <c r="E352" s="139"/>
      <c r="F352" s="134"/>
      <c r="G352" s="134"/>
      <c r="H352" s="134"/>
      <c r="I352" s="134"/>
      <c r="J352" s="134"/>
      <c r="K352" s="134"/>
      <c r="L352" s="134"/>
      <c r="M352" s="134"/>
      <c r="N352" s="134"/>
      <c r="O352" s="134"/>
      <c r="P352" s="134"/>
      <c r="Q352" s="120"/>
    </row>
    <row r="353" spans="1:18" x14ac:dyDescent="0.3">
      <c r="A353" s="108">
        <v>18</v>
      </c>
      <c r="B353" s="120">
        <v>18</v>
      </c>
      <c r="C353" s="138"/>
      <c r="D353" s="120"/>
      <c r="E353" s="139"/>
      <c r="F353" s="134"/>
      <c r="G353" s="134"/>
      <c r="H353" s="134"/>
      <c r="I353" s="134"/>
      <c r="J353" s="134"/>
      <c r="K353" s="134"/>
      <c r="L353" s="134"/>
      <c r="M353" s="134"/>
      <c r="N353" s="134"/>
      <c r="O353" s="134"/>
      <c r="P353" s="134"/>
      <c r="Q353" s="120"/>
    </row>
    <row r="354" spans="1:18" x14ac:dyDescent="0.3">
      <c r="A354" s="108">
        <v>19</v>
      </c>
      <c r="B354" s="120">
        <v>19</v>
      </c>
      <c r="C354" s="138"/>
      <c r="D354" s="120"/>
      <c r="E354" s="139"/>
      <c r="F354" s="134"/>
      <c r="G354" s="134"/>
      <c r="H354" s="134"/>
      <c r="I354" s="134"/>
      <c r="J354" s="134"/>
      <c r="K354" s="134"/>
      <c r="L354" s="134"/>
      <c r="M354" s="134"/>
      <c r="N354" s="134"/>
      <c r="O354" s="134"/>
      <c r="P354" s="134"/>
      <c r="Q354" s="120"/>
    </row>
    <row r="355" spans="1:18" x14ac:dyDescent="0.3">
      <c r="A355" s="108">
        <v>20</v>
      </c>
      <c r="B355" s="120">
        <v>20</v>
      </c>
      <c r="C355" s="138"/>
      <c r="D355" s="120"/>
      <c r="E355" s="139"/>
      <c r="F355" s="134"/>
      <c r="G355" s="134"/>
      <c r="H355" s="134"/>
      <c r="I355" s="134"/>
      <c r="J355" s="134"/>
      <c r="K355" s="134"/>
      <c r="L355" s="134"/>
      <c r="M355" s="134"/>
      <c r="N355" s="134"/>
      <c r="O355" s="134"/>
      <c r="P355" s="134"/>
      <c r="Q355" s="120"/>
    </row>
    <row r="356" spans="1:18" ht="14.4" thickBot="1" x14ac:dyDescent="0.35">
      <c r="A356" s="108">
        <v>0</v>
      </c>
      <c r="B356" s="129" t="s">
        <v>24</v>
      </c>
      <c r="C356" s="130"/>
      <c r="D356" s="130"/>
      <c r="E356" s="130"/>
      <c r="F356" s="133">
        <f>SUM(F336:F355)</f>
        <v>0</v>
      </c>
      <c r="G356" s="133">
        <f t="shared" ref="G356:P356" si="11">SUM(G336:G355)</f>
        <v>0</v>
      </c>
      <c r="H356" s="133">
        <f t="shared" si="11"/>
        <v>0</v>
      </c>
      <c r="I356" s="133">
        <f t="shared" si="11"/>
        <v>0</v>
      </c>
      <c r="J356" s="133">
        <f t="shared" si="11"/>
        <v>0</v>
      </c>
      <c r="K356" s="133">
        <f t="shared" si="11"/>
        <v>0</v>
      </c>
      <c r="L356" s="133">
        <f t="shared" si="11"/>
        <v>0</v>
      </c>
      <c r="M356" s="133">
        <f t="shared" si="11"/>
        <v>0</v>
      </c>
      <c r="N356" s="133">
        <f t="shared" si="11"/>
        <v>0</v>
      </c>
      <c r="O356" s="133">
        <f t="shared" si="11"/>
        <v>0</v>
      </c>
      <c r="P356" s="133">
        <f t="shared" si="11"/>
        <v>0</v>
      </c>
      <c r="Q356" s="103"/>
    </row>
    <row r="357" spans="1:18" ht="14.4" thickTop="1" x14ac:dyDescent="0.3">
      <c r="A357" s="108">
        <v>0</v>
      </c>
      <c r="B357" s="88"/>
      <c r="C357" s="88"/>
      <c r="D357" s="88"/>
      <c r="E357" s="88"/>
      <c r="F357" s="87"/>
      <c r="G357" s="87"/>
      <c r="H357" s="87"/>
      <c r="I357" s="87"/>
      <c r="J357" s="87"/>
      <c r="K357" s="87"/>
      <c r="L357" s="87"/>
      <c r="M357" s="87"/>
      <c r="N357" s="87"/>
      <c r="O357" s="87"/>
      <c r="P357" s="87"/>
      <c r="Q357" s="88"/>
    </row>
    <row r="358" spans="1:18" x14ac:dyDescent="0.3">
      <c r="A358" s="108">
        <v>0</v>
      </c>
      <c r="B358" s="88"/>
      <c r="C358" s="88"/>
      <c r="D358" s="88"/>
      <c r="E358" s="88"/>
      <c r="F358" s="87"/>
      <c r="G358" s="87"/>
      <c r="H358" s="87"/>
      <c r="I358" s="87"/>
      <c r="J358" s="87"/>
      <c r="K358" s="87"/>
      <c r="L358" s="87"/>
      <c r="M358" s="87"/>
      <c r="N358" s="87"/>
      <c r="O358" s="87"/>
      <c r="P358" s="87"/>
      <c r="Q358" s="88"/>
    </row>
    <row r="359" spans="1:18" x14ac:dyDescent="0.3">
      <c r="A359" s="108">
        <v>0</v>
      </c>
      <c r="B359" s="88" t="s">
        <v>20</v>
      </c>
      <c r="C359" s="88"/>
      <c r="D359" s="88" t="s">
        <v>21</v>
      </c>
      <c r="E359" s="88"/>
      <c r="F359" s="87"/>
      <c r="G359" s="87"/>
      <c r="H359" s="87"/>
      <c r="I359" s="87"/>
      <c r="J359" s="87"/>
      <c r="K359" s="87"/>
      <c r="L359" s="87"/>
      <c r="M359" s="87"/>
      <c r="N359" s="87"/>
      <c r="O359" s="87"/>
      <c r="P359" s="87"/>
      <c r="Q359" s="88"/>
    </row>
    <row r="360" spans="1:18" x14ac:dyDescent="0.3">
      <c r="A360" s="108">
        <v>0</v>
      </c>
      <c r="B360" s="88" t="s">
        <v>12</v>
      </c>
      <c r="C360" s="88"/>
      <c r="D360" s="88" t="s">
        <v>16</v>
      </c>
      <c r="E360" s="88"/>
      <c r="F360" s="87"/>
      <c r="G360" s="87"/>
      <c r="H360" s="87"/>
      <c r="I360" s="87"/>
      <c r="J360" s="87"/>
      <c r="K360" s="87"/>
      <c r="L360" s="87"/>
      <c r="M360" s="87"/>
      <c r="N360" s="87"/>
      <c r="O360" s="87"/>
      <c r="P360" s="87"/>
      <c r="Q360" s="88"/>
    </row>
    <row r="361" spans="1:18" x14ac:dyDescent="0.3">
      <c r="A361" s="108">
        <v>0</v>
      </c>
      <c r="B361" s="88"/>
      <c r="C361" s="88"/>
      <c r="D361" s="88" t="s">
        <v>22</v>
      </c>
      <c r="E361" s="88"/>
      <c r="F361" s="87"/>
      <c r="G361" s="87"/>
      <c r="H361" s="87"/>
      <c r="I361" s="87"/>
      <c r="J361" s="87"/>
      <c r="K361" s="87"/>
      <c r="L361" s="87"/>
      <c r="M361" s="87"/>
      <c r="N361" s="87"/>
      <c r="O361" s="87"/>
      <c r="P361" s="87"/>
      <c r="Q361" s="88"/>
    </row>
    <row r="362" spans="1:18" ht="14.4" customHeight="1" x14ac:dyDescent="0.3">
      <c r="A362" s="108">
        <v>0</v>
      </c>
      <c r="B362" s="88" t="s">
        <v>41</v>
      </c>
      <c r="C362" s="88"/>
      <c r="D362" s="88" t="str">
        <f>D92</f>
        <v>S A M Perera</v>
      </c>
      <c r="E362" s="88"/>
      <c r="F362" s="87"/>
      <c r="G362" s="87"/>
      <c r="H362" s="87"/>
      <c r="I362" s="87"/>
      <c r="J362" s="87"/>
      <c r="K362" s="87"/>
      <c r="L362" s="87"/>
      <c r="M362" s="87"/>
      <c r="N362" s="87" t="s">
        <v>40</v>
      </c>
      <c r="O362" s="87"/>
      <c r="P362" s="87"/>
      <c r="Q362" s="88" t="str">
        <f>Q92</f>
        <v>SAM/CENTRAL/KY/NC/26/DEC/1-A</v>
      </c>
    </row>
    <row r="363" spans="1:18" x14ac:dyDescent="0.3">
      <c r="A363" s="108">
        <v>0</v>
      </c>
      <c r="B363" s="88"/>
      <c r="C363" s="88"/>
      <c r="D363" s="88"/>
      <c r="E363" s="88"/>
      <c r="F363" s="87"/>
      <c r="G363" s="87"/>
      <c r="H363" s="87"/>
      <c r="I363" s="87"/>
      <c r="J363" s="87"/>
      <c r="K363" s="87"/>
      <c r="L363" s="87"/>
      <c r="M363" s="87"/>
      <c r="N363" s="87"/>
      <c r="O363" s="87"/>
      <c r="P363" s="87"/>
      <c r="Q363" s="88"/>
    </row>
    <row r="364" spans="1:18" ht="24.9" customHeight="1" x14ac:dyDescent="0.3">
      <c r="A364" s="108">
        <v>0</v>
      </c>
      <c r="B364" s="140" t="s">
        <v>47</v>
      </c>
      <c r="C364" s="141"/>
      <c r="D364" s="141"/>
      <c r="E364" s="141"/>
      <c r="F364" s="142"/>
      <c r="G364" s="142"/>
      <c r="H364" s="142"/>
      <c r="I364" s="142"/>
      <c r="J364" s="142"/>
      <c r="K364" s="142"/>
      <c r="L364" s="142"/>
      <c r="M364" s="142"/>
      <c r="N364" s="142"/>
      <c r="O364" s="142"/>
      <c r="P364" s="142"/>
      <c r="Q364" s="141"/>
      <c r="R364" s="115"/>
    </row>
    <row r="365" spans="1:18" ht="60.6" customHeight="1" x14ac:dyDescent="0.3">
      <c r="A365" s="108">
        <v>0</v>
      </c>
      <c r="B365" s="143" t="s">
        <v>17</v>
      </c>
      <c r="C365" s="143" t="s">
        <v>18</v>
      </c>
      <c r="D365" s="144" t="s">
        <v>30</v>
      </c>
      <c r="E365" s="145" t="s">
        <v>19</v>
      </c>
      <c r="F365" s="146" t="s">
        <v>23</v>
      </c>
      <c r="G365" s="146" t="s">
        <v>38</v>
      </c>
      <c r="H365" s="146" t="s">
        <v>42</v>
      </c>
      <c r="I365" s="146" t="s">
        <v>43</v>
      </c>
      <c r="J365" s="146" t="s">
        <v>33</v>
      </c>
      <c r="K365" s="146" t="s">
        <v>44</v>
      </c>
      <c r="L365" s="146" t="s">
        <v>53</v>
      </c>
      <c r="M365" s="146" t="s">
        <v>91</v>
      </c>
      <c r="N365" s="146" t="s">
        <v>92</v>
      </c>
      <c r="O365" s="146" t="s">
        <v>34</v>
      </c>
      <c r="P365" s="146" t="s">
        <v>90</v>
      </c>
      <c r="Q365" s="143" t="s">
        <v>39</v>
      </c>
    </row>
    <row r="366" spans="1:18" x14ac:dyDescent="0.3">
      <c r="A366" s="108">
        <v>1</v>
      </c>
      <c r="B366" s="120">
        <v>1</v>
      </c>
      <c r="C366" s="138"/>
      <c r="D366" s="120"/>
      <c r="E366" s="139"/>
      <c r="F366" s="134"/>
      <c r="G366" s="134"/>
      <c r="H366" s="134"/>
      <c r="I366" s="134"/>
      <c r="J366" s="134"/>
      <c r="K366" s="134"/>
      <c r="L366" s="134"/>
      <c r="M366" s="134"/>
      <c r="N366" s="134"/>
      <c r="O366" s="134"/>
      <c r="P366" s="134"/>
      <c r="Q366" s="120"/>
    </row>
    <row r="367" spans="1:18" x14ac:dyDescent="0.3">
      <c r="A367" s="108">
        <v>2</v>
      </c>
      <c r="B367" s="120">
        <v>2</v>
      </c>
      <c r="C367" s="138"/>
      <c r="D367" s="120"/>
      <c r="E367" s="139"/>
      <c r="F367" s="134"/>
      <c r="G367" s="134"/>
      <c r="H367" s="134"/>
      <c r="I367" s="134"/>
      <c r="J367" s="134"/>
      <c r="K367" s="134"/>
      <c r="L367" s="134"/>
      <c r="M367" s="134"/>
      <c r="N367" s="134"/>
      <c r="O367" s="134"/>
      <c r="P367" s="134"/>
      <c r="Q367" s="120"/>
    </row>
    <row r="368" spans="1:18" x14ac:dyDescent="0.3">
      <c r="A368" s="108">
        <v>3</v>
      </c>
      <c r="B368" s="120">
        <v>3</v>
      </c>
      <c r="C368" s="138"/>
      <c r="D368" s="120"/>
      <c r="E368" s="139"/>
      <c r="F368" s="134"/>
      <c r="G368" s="134"/>
      <c r="H368" s="134"/>
      <c r="I368" s="134"/>
      <c r="J368" s="134"/>
      <c r="K368" s="134"/>
      <c r="L368" s="134"/>
      <c r="M368" s="134"/>
      <c r="N368" s="134"/>
      <c r="O368" s="134"/>
      <c r="P368" s="134"/>
      <c r="Q368" s="120"/>
    </row>
    <row r="369" spans="1:17" x14ac:dyDescent="0.3">
      <c r="A369" s="108">
        <v>4</v>
      </c>
      <c r="B369" s="120">
        <v>4</v>
      </c>
      <c r="C369" s="138"/>
      <c r="D369" s="120"/>
      <c r="E369" s="139"/>
      <c r="F369" s="134"/>
      <c r="G369" s="134"/>
      <c r="H369" s="134"/>
      <c r="I369" s="134"/>
      <c r="J369" s="134"/>
      <c r="K369" s="134"/>
      <c r="L369" s="134"/>
      <c r="M369" s="134"/>
      <c r="N369" s="134"/>
      <c r="O369" s="134"/>
      <c r="P369" s="134"/>
      <c r="Q369" s="120"/>
    </row>
    <row r="370" spans="1:17" x14ac:dyDescent="0.3">
      <c r="A370" s="108">
        <v>5</v>
      </c>
      <c r="B370" s="120">
        <v>5</v>
      </c>
      <c r="C370" s="138"/>
      <c r="D370" s="120"/>
      <c r="E370" s="139"/>
      <c r="F370" s="134"/>
      <c r="G370" s="134"/>
      <c r="H370" s="134"/>
      <c r="I370" s="134"/>
      <c r="J370" s="134"/>
      <c r="K370" s="134"/>
      <c r="L370" s="134"/>
      <c r="M370" s="134"/>
      <c r="N370" s="134"/>
      <c r="O370" s="134"/>
      <c r="P370" s="134"/>
      <c r="Q370" s="120"/>
    </row>
    <row r="371" spans="1:17" x14ac:dyDescent="0.3">
      <c r="A371" s="108">
        <v>6</v>
      </c>
      <c r="B371" s="120">
        <v>6</v>
      </c>
      <c r="C371" s="138"/>
      <c r="D371" s="120"/>
      <c r="E371" s="139"/>
      <c r="F371" s="134"/>
      <c r="G371" s="134"/>
      <c r="H371" s="134"/>
      <c r="I371" s="134"/>
      <c r="J371" s="134"/>
      <c r="K371" s="134"/>
      <c r="L371" s="134"/>
      <c r="M371" s="134"/>
      <c r="N371" s="134"/>
      <c r="O371" s="134"/>
      <c r="P371" s="134"/>
      <c r="Q371" s="120"/>
    </row>
    <row r="372" spans="1:17" x14ac:dyDescent="0.3">
      <c r="A372" s="108">
        <v>7</v>
      </c>
      <c r="B372" s="120">
        <v>7</v>
      </c>
      <c r="C372" s="138"/>
      <c r="D372" s="120"/>
      <c r="E372" s="139"/>
      <c r="F372" s="134"/>
      <c r="G372" s="134"/>
      <c r="H372" s="134"/>
      <c r="I372" s="134"/>
      <c r="J372" s="134"/>
      <c r="K372" s="134"/>
      <c r="L372" s="134"/>
      <c r="M372" s="134"/>
      <c r="N372" s="134"/>
      <c r="O372" s="134"/>
      <c r="P372" s="134"/>
      <c r="Q372" s="120"/>
    </row>
    <row r="373" spans="1:17" x14ac:dyDescent="0.3">
      <c r="A373" s="108">
        <v>8</v>
      </c>
      <c r="B373" s="120">
        <v>8</v>
      </c>
      <c r="C373" s="138"/>
      <c r="D373" s="120"/>
      <c r="E373" s="139"/>
      <c r="F373" s="134"/>
      <c r="G373" s="134"/>
      <c r="H373" s="134"/>
      <c r="I373" s="134"/>
      <c r="J373" s="134"/>
      <c r="K373" s="134"/>
      <c r="L373" s="134"/>
      <c r="M373" s="134"/>
      <c r="N373" s="134"/>
      <c r="O373" s="134"/>
      <c r="P373" s="134"/>
      <c r="Q373" s="120"/>
    </row>
    <row r="374" spans="1:17" x14ac:dyDescent="0.3">
      <c r="A374" s="108">
        <v>9</v>
      </c>
      <c r="B374" s="120">
        <v>9</v>
      </c>
      <c r="C374" s="138"/>
      <c r="D374" s="120"/>
      <c r="E374" s="139"/>
      <c r="F374" s="134"/>
      <c r="G374" s="134"/>
      <c r="H374" s="134"/>
      <c r="I374" s="134"/>
      <c r="J374" s="134"/>
      <c r="K374" s="134"/>
      <c r="L374" s="134"/>
      <c r="M374" s="134"/>
      <c r="N374" s="134"/>
      <c r="O374" s="134"/>
      <c r="P374" s="134"/>
      <c r="Q374" s="120"/>
    </row>
    <row r="375" spans="1:17" x14ac:dyDescent="0.3">
      <c r="A375" s="108">
        <v>10</v>
      </c>
      <c r="B375" s="120">
        <v>10</v>
      </c>
      <c r="C375" s="138"/>
      <c r="D375" s="120"/>
      <c r="E375" s="139"/>
      <c r="F375" s="134"/>
      <c r="G375" s="134"/>
      <c r="H375" s="134"/>
      <c r="I375" s="134"/>
      <c r="J375" s="134"/>
      <c r="K375" s="134"/>
      <c r="L375" s="134"/>
      <c r="M375" s="134"/>
      <c r="N375" s="134"/>
      <c r="O375" s="134"/>
      <c r="P375" s="134"/>
      <c r="Q375" s="120"/>
    </row>
    <row r="376" spans="1:17" x14ac:dyDescent="0.3">
      <c r="A376" s="108">
        <v>11</v>
      </c>
      <c r="B376" s="120">
        <v>11</v>
      </c>
      <c r="C376" s="138"/>
      <c r="D376" s="120"/>
      <c r="E376" s="139"/>
      <c r="F376" s="134"/>
      <c r="G376" s="134"/>
      <c r="H376" s="134"/>
      <c r="I376" s="134"/>
      <c r="J376" s="134"/>
      <c r="K376" s="134"/>
      <c r="L376" s="134"/>
      <c r="M376" s="134"/>
      <c r="N376" s="134"/>
      <c r="O376" s="134"/>
      <c r="P376" s="134"/>
      <c r="Q376" s="120"/>
    </row>
    <row r="377" spans="1:17" x14ac:dyDescent="0.3">
      <c r="A377" s="108">
        <v>12</v>
      </c>
      <c r="B377" s="120">
        <v>12</v>
      </c>
      <c r="C377" s="138"/>
      <c r="D377" s="120"/>
      <c r="E377" s="139"/>
      <c r="F377" s="134"/>
      <c r="G377" s="134"/>
      <c r="H377" s="134"/>
      <c r="I377" s="134"/>
      <c r="J377" s="134"/>
      <c r="K377" s="134"/>
      <c r="L377" s="134"/>
      <c r="M377" s="134"/>
      <c r="N377" s="134"/>
      <c r="O377" s="134"/>
      <c r="P377" s="134"/>
      <c r="Q377" s="120"/>
    </row>
    <row r="378" spans="1:17" x14ac:dyDescent="0.3">
      <c r="A378" s="108">
        <v>13</v>
      </c>
      <c r="B378" s="120">
        <v>13</v>
      </c>
      <c r="C378" s="138"/>
      <c r="D378" s="120"/>
      <c r="E378" s="139"/>
      <c r="F378" s="134"/>
      <c r="G378" s="134"/>
      <c r="H378" s="134"/>
      <c r="I378" s="134"/>
      <c r="J378" s="134"/>
      <c r="K378" s="134"/>
      <c r="L378" s="134"/>
      <c r="M378" s="134"/>
      <c r="N378" s="134"/>
      <c r="O378" s="134"/>
      <c r="P378" s="134"/>
      <c r="Q378" s="120"/>
    </row>
    <row r="379" spans="1:17" x14ac:dyDescent="0.3">
      <c r="A379" s="108">
        <v>14</v>
      </c>
      <c r="B379" s="120">
        <v>14</v>
      </c>
      <c r="C379" s="138"/>
      <c r="D379" s="120"/>
      <c r="E379" s="139"/>
      <c r="F379" s="134"/>
      <c r="G379" s="134"/>
      <c r="H379" s="134"/>
      <c r="I379" s="134"/>
      <c r="J379" s="134"/>
      <c r="K379" s="134"/>
      <c r="L379" s="134"/>
      <c r="M379" s="134"/>
      <c r="N379" s="134"/>
      <c r="O379" s="134"/>
      <c r="P379" s="134"/>
      <c r="Q379" s="120"/>
    </row>
    <row r="380" spans="1:17" x14ac:dyDescent="0.3">
      <c r="A380" s="108">
        <v>15</v>
      </c>
      <c r="B380" s="120">
        <v>15</v>
      </c>
      <c r="C380" s="138"/>
      <c r="D380" s="120"/>
      <c r="E380" s="139"/>
      <c r="F380" s="134"/>
      <c r="G380" s="134"/>
      <c r="H380" s="134"/>
      <c r="I380" s="134"/>
      <c r="J380" s="134"/>
      <c r="K380" s="134"/>
      <c r="L380" s="134"/>
      <c r="M380" s="134"/>
      <c r="N380" s="134"/>
      <c r="O380" s="134"/>
      <c r="P380" s="134"/>
      <c r="Q380" s="120"/>
    </row>
    <row r="381" spans="1:17" x14ac:dyDescent="0.3">
      <c r="A381" s="108">
        <v>16</v>
      </c>
      <c r="B381" s="120">
        <v>16</v>
      </c>
      <c r="C381" s="138"/>
      <c r="D381" s="120"/>
      <c r="E381" s="139"/>
      <c r="F381" s="134"/>
      <c r="G381" s="134"/>
      <c r="H381" s="134"/>
      <c r="I381" s="134"/>
      <c r="J381" s="134"/>
      <c r="K381" s="134"/>
      <c r="L381" s="134"/>
      <c r="M381" s="134"/>
      <c r="N381" s="134"/>
      <c r="O381" s="134"/>
      <c r="P381" s="134"/>
      <c r="Q381" s="120"/>
    </row>
    <row r="382" spans="1:17" x14ac:dyDescent="0.3">
      <c r="A382" s="108">
        <v>17</v>
      </c>
      <c r="B382" s="120">
        <v>17</v>
      </c>
      <c r="C382" s="138"/>
      <c r="D382" s="120"/>
      <c r="E382" s="139"/>
      <c r="F382" s="134"/>
      <c r="G382" s="134"/>
      <c r="H382" s="134"/>
      <c r="I382" s="134"/>
      <c r="J382" s="134"/>
      <c r="K382" s="134"/>
      <c r="L382" s="134"/>
      <c r="M382" s="134"/>
      <c r="N382" s="134"/>
      <c r="O382" s="134"/>
      <c r="P382" s="134"/>
      <c r="Q382" s="120"/>
    </row>
    <row r="383" spans="1:17" x14ac:dyDescent="0.3">
      <c r="A383" s="108">
        <v>18</v>
      </c>
      <c r="B383" s="120">
        <v>18</v>
      </c>
      <c r="C383" s="138"/>
      <c r="D383" s="120"/>
      <c r="E383" s="139"/>
      <c r="F383" s="134"/>
      <c r="G383" s="134"/>
      <c r="H383" s="134"/>
      <c r="I383" s="134"/>
      <c r="J383" s="134"/>
      <c r="K383" s="134"/>
      <c r="L383" s="134"/>
      <c r="M383" s="134"/>
      <c r="N383" s="134"/>
      <c r="O383" s="134"/>
      <c r="P383" s="134"/>
      <c r="Q383" s="120"/>
    </row>
    <row r="384" spans="1:17" x14ac:dyDescent="0.3">
      <c r="A384" s="108">
        <v>19</v>
      </c>
      <c r="B384" s="120">
        <v>19</v>
      </c>
      <c r="C384" s="138"/>
      <c r="D384" s="120"/>
      <c r="E384" s="139"/>
      <c r="F384" s="134"/>
      <c r="G384" s="134"/>
      <c r="H384" s="134"/>
      <c r="I384" s="134"/>
      <c r="J384" s="134"/>
      <c r="K384" s="134"/>
      <c r="L384" s="134"/>
      <c r="M384" s="134"/>
      <c r="N384" s="134"/>
      <c r="O384" s="134"/>
      <c r="P384" s="134"/>
      <c r="Q384" s="120"/>
    </row>
    <row r="385" spans="1:18" x14ac:dyDescent="0.3">
      <c r="A385" s="108">
        <v>20</v>
      </c>
      <c r="B385" s="120">
        <v>20</v>
      </c>
      <c r="C385" s="138"/>
      <c r="D385" s="120"/>
      <c r="E385" s="139"/>
      <c r="F385" s="134"/>
      <c r="G385" s="134"/>
      <c r="H385" s="134"/>
      <c r="I385" s="134"/>
      <c r="J385" s="134"/>
      <c r="K385" s="134"/>
      <c r="L385" s="134"/>
      <c r="M385" s="134"/>
      <c r="N385" s="134"/>
      <c r="O385" s="134"/>
      <c r="P385" s="134"/>
      <c r="Q385" s="120"/>
    </row>
    <row r="386" spans="1:18" ht="14.4" thickBot="1" x14ac:dyDescent="0.35">
      <c r="A386" s="108">
        <v>0</v>
      </c>
      <c r="B386" s="129" t="s">
        <v>24</v>
      </c>
      <c r="C386" s="130"/>
      <c r="D386" s="130"/>
      <c r="E386" s="130"/>
      <c r="F386" s="133">
        <f>SUM(F366:F385)</f>
        <v>0</v>
      </c>
      <c r="G386" s="133">
        <f t="shared" ref="G386:P386" si="12">SUM(G366:G385)</f>
        <v>0</v>
      </c>
      <c r="H386" s="133">
        <f t="shared" si="12"/>
        <v>0</v>
      </c>
      <c r="I386" s="133">
        <f t="shared" si="12"/>
        <v>0</v>
      </c>
      <c r="J386" s="133">
        <f t="shared" si="12"/>
        <v>0</v>
      </c>
      <c r="K386" s="133">
        <f t="shared" si="12"/>
        <v>0</v>
      </c>
      <c r="L386" s="133">
        <f t="shared" si="12"/>
        <v>0</v>
      </c>
      <c r="M386" s="133">
        <f t="shared" si="12"/>
        <v>0</v>
      </c>
      <c r="N386" s="133">
        <f t="shared" si="12"/>
        <v>0</v>
      </c>
      <c r="O386" s="133">
        <f t="shared" si="12"/>
        <v>0</v>
      </c>
      <c r="P386" s="133">
        <f t="shared" si="12"/>
        <v>0</v>
      </c>
      <c r="Q386" s="103"/>
    </row>
    <row r="387" spans="1:18" ht="14.4" thickTop="1" x14ac:dyDescent="0.3">
      <c r="A387" s="108">
        <v>0</v>
      </c>
      <c r="B387" s="88"/>
      <c r="C387" s="88"/>
      <c r="D387" s="88"/>
      <c r="E387" s="88"/>
      <c r="F387" s="87"/>
      <c r="G387" s="87"/>
      <c r="H387" s="87"/>
      <c r="I387" s="87"/>
      <c r="J387" s="87"/>
      <c r="K387" s="87"/>
      <c r="L387" s="87"/>
      <c r="M387" s="87"/>
      <c r="N387" s="87"/>
      <c r="O387" s="87"/>
      <c r="P387" s="87"/>
      <c r="Q387" s="88"/>
    </row>
    <row r="388" spans="1:18" x14ac:dyDescent="0.3">
      <c r="A388" s="108">
        <v>0</v>
      </c>
      <c r="B388" s="88"/>
      <c r="C388" s="88"/>
      <c r="D388" s="88"/>
      <c r="E388" s="88"/>
      <c r="F388" s="87"/>
      <c r="G388" s="87"/>
      <c r="H388" s="87"/>
      <c r="I388" s="87"/>
      <c r="J388" s="87"/>
      <c r="K388" s="87"/>
      <c r="L388" s="87"/>
      <c r="M388" s="87"/>
      <c r="N388" s="87"/>
      <c r="O388" s="87"/>
      <c r="P388" s="87"/>
      <c r="Q388" s="88"/>
    </row>
    <row r="389" spans="1:18" x14ac:dyDescent="0.3">
      <c r="A389" s="108">
        <v>0</v>
      </c>
      <c r="B389" s="88" t="s">
        <v>20</v>
      </c>
      <c r="C389" s="88"/>
      <c r="D389" s="88" t="s">
        <v>21</v>
      </c>
      <c r="E389" s="88"/>
      <c r="F389" s="87"/>
      <c r="G389" s="87"/>
      <c r="H389" s="87"/>
      <c r="I389" s="87"/>
      <c r="J389" s="87"/>
      <c r="K389" s="87"/>
      <c r="L389" s="87"/>
      <c r="M389" s="87"/>
      <c r="N389" s="87"/>
      <c r="O389" s="87"/>
      <c r="P389" s="87"/>
      <c r="Q389" s="88"/>
    </row>
    <row r="390" spans="1:18" x14ac:dyDescent="0.3">
      <c r="A390" s="108">
        <v>0</v>
      </c>
      <c r="B390" s="88" t="s">
        <v>12</v>
      </c>
      <c r="C390" s="88"/>
      <c r="D390" s="88" t="s">
        <v>16</v>
      </c>
      <c r="E390" s="88"/>
      <c r="F390" s="87"/>
      <c r="G390" s="87"/>
      <c r="H390" s="87"/>
      <c r="I390" s="87"/>
      <c r="J390" s="87"/>
      <c r="K390" s="87"/>
      <c r="L390" s="87"/>
      <c r="M390" s="87"/>
      <c r="N390" s="87"/>
      <c r="O390" s="87"/>
      <c r="P390" s="87"/>
      <c r="Q390" s="88"/>
    </row>
    <row r="391" spans="1:18" x14ac:dyDescent="0.3">
      <c r="A391" s="108">
        <v>0</v>
      </c>
      <c r="B391" s="88"/>
      <c r="C391" s="88"/>
      <c r="D391" s="88" t="s">
        <v>22</v>
      </c>
      <c r="E391" s="88"/>
      <c r="F391" s="87"/>
      <c r="G391" s="87"/>
      <c r="H391" s="87"/>
      <c r="I391" s="87"/>
      <c r="J391" s="87"/>
      <c r="K391" s="87"/>
      <c r="L391" s="87"/>
      <c r="M391" s="87"/>
      <c r="N391" s="87"/>
      <c r="O391" s="87"/>
      <c r="P391" s="87"/>
      <c r="Q391" s="88"/>
    </row>
    <row r="392" spans="1:18" ht="14.4" customHeight="1" x14ac:dyDescent="0.3">
      <c r="A392" s="108">
        <v>0</v>
      </c>
      <c r="B392" s="88" t="s">
        <v>41</v>
      </c>
      <c r="C392" s="88"/>
      <c r="D392" s="88" t="str">
        <f>D122</f>
        <v>S A M Perera</v>
      </c>
      <c r="E392" s="88"/>
      <c r="F392" s="87"/>
      <c r="G392" s="87"/>
      <c r="H392" s="87"/>
      <c r="I392" s="87"/>
      <c r="J392" s="87"/>
      <c r="K392" s="87"/>
      <c r="L392" s="87"/>
      <c r="M392" s="87"/>
      <c r="N392" s="87" t="s">
        <v>40</v>
      </c>
      <c r="O392" s="87"/>
      <c r="P392" s="87"/>
      <c r="Q392" s="88" t="str">
        <f>Q122</f>
        <v>SAM/CENTRAL/KY/NC/26/DEC/1-A</v>
      </c>
    </row>
    <row r="393" spans="1:18" x14ac:dyDescent="0.3">
      <c r="A393" s="108">
        <v>0</v>
      </c>
      <c r="B393" s="88"/>
      <c r="C393" s="88"/>
      <c r="D393" s="88"/>
      <c r="E393" s="88"/>
      <c r="F393" s="87"/>
      <c r="G393" s="87"/>
      <c r="H393" s="87"/>
      <c r="I393" s="87"/>
      <c r="J393" s="87"/>
      <c r="K393" s="87"/>
      <c r="L393" s="87"/>
      <c r="M393" s="87"/>
      <c r="N393" s="87"/>
      <c r="O393" s="87"/>
      <c r="P393" s="87"/>
      <c r="Q393" s="88"/>
    </row>
    <row r="394" spans="1:18" ht="24.9" customHeight="1" x14ac:dyDescent="0.3">
      <c r="A394" s="108">
        <v>0</v>
      </c>
      <c r="B394" s="140" t="s">
        <v>47</v>
      </c>
      <c r="C394" s="141"/>
      <c r="D394" s="141"/>
      <c r="E394" s="141"/>
      <c r="F394" s="142"/>
      <c r="G394" s="142"/>
      <c r="H394" s="142"/>
      <c r="I394" s="142"/>
      <c r="J394" s="142"/>
      <c r="K394" s="142"/>
      <c r="L394" s="142"/>
      <c r="M394" s="142"/>
      <c r="N394" s="142"/>
      <c r="O394" s="142"/>
      <c r="P394" s="142"/>
      <c r="Q394" s="141"/>
      <c r="R394" s="115"/>
    </row>
    <row r="395" spans="1:18" ht="60.6" customHeight="1" x14ac:dyDescent="0.3">
      <c r="A395" s="108">
        <v>0</v>
      </c>
      <c r="B395" s="143" t="s">
        <v>17</v>
      </c>
      <c r="C395" s="143" t="s">
        <v>18</v>
      </c>
      <c r="D395" s="144" t="s">
        <v>30</v>
      </c>
      <c r="E395" s="145" t="s">
        <v>19</v>
      </c>
      <c r="F395" s="146" t="s">
        <v>23</v>
      </c>
      <c r="G395" s="146" t="s">
        <v>38</v>
      </c>
      <c r="H395" s="146" t="s">
        <v>42</v>
      </c>
      <c r="I395" s="146" t="s">
        <v>43</v>
      </c>
      <c r="J395" s="146" t="s">
        <v>33</v>
      </c>
      <c r="K395" s="146" t="s">
        <v>44</v>
      </c>
      <c r="L395" s="146" t="s">
        <v>53</v>
      </c>
      <c r="M395" s="146" t="s">
        <v>91</v>
      </c>
      <c r="N395" s="146" t="s">
        <v>92</v>
      </c>
      <c r="O395" s="146" t="s">
        <v>34</v>
      </c>
      <c r="P395" s="146" t="s">
        <v>90</v>
      </c>
      <c r="Q395" s="143" t="s">
        <v>39</v>
      </c>
    </row>
    <row r="396" spans="1:18" x14ac:dyDescent="0.3">
      <c r="A396" s="108">
        <v>1</v>
      </c>
      <c r="B396" s="120">
        <v>1</v>
      </c>
      <c r="C396" s="138"/>
      <c r="D396" s="120"/>
      <c r="E396" s="139"/>
      <c r="F396" s="134"/>
      <c r="G396" s="134"/>
      <c r="H396" s="134"/>
      <c r="I396" s="134"/>
      <c r="J396" s="134"/>
      <c r="K396" s="134"/>
      <c r="L396" s="134"/>
      <c r="M396" s="134"/>
      <c r="N396" s="134"/>
      <c r="O396" s="134"/>
      <c r="P396" s="134"/>
      <c r="Q396" s="120"/>
    </row>
    <row r="397" spans="1:18" x14ac:dyDescent="0.3">
      <c r="A397" s="108">
        <v>2</v>
      </c>
      <c r="B397" s="120">
        <v>2</v>
      </c>
      <c r="C397" s="138"/>
      <c r="D397" s="120"/>
      <c r="E397" s="139"/>
      <c r="F397" s="134"/>
      <c r="G397" s="134"/>
      <c r="H397" s="134"/>
      <c r="I397" s="134"/>
      <c r="J397" s="134"/>
      <c r="K397" s="134"/>
      <c r="L397" s="134"/>
      <c r="M397" s="134"/>
      <c r="N397" s="134"/>
      <c r="O397" s="134"/>
      <c r="P397" s="134"/>
      <c r="Q397" s="120"/>
    </row>
    <row r="398" spans="1:18" x14ac:dyDescent="0.3">
      <c r="A398" s="108">
        <v>3</v>
      </c>
      <c r="B398" s="120">
        <v>3</v>
      </c>
      <c r="C398" s="138"/>
      <c r="D398" s="120"/>
      <c r="E398" s="139"/>
      <c r="F398" s="134"/>
      <c r="G398" s="134"/>
      <c r="H398" s="134"/>
      <c r="I398" s="134"/>
      <c r="J398" s="134"/>
      <c r="K398" s="134"/>
      <c r="L398" s="134"/>
      <c r="M398" s="134"/>
      <c r="N398" s="134"/>
      <c r="O398" s="134"/>
      <c r="P398" s="134"/>
      <c r="Q398" s="120"/>
    </row>
    <row r="399" spans="1:18" x14ac:dyDescent="0.3">
      <c r="A399" s="108">
        <v>4</v>
      </c>
      <c r="B399" s="120">
        <v>4</v>
      </c>
      <c r="C399" s="138"/>
      <c r="D399" s="120"/>
      <c r="E399" s="139"/>
      <c r="F399" s="134"/>
      <c r="G399" s="134"/>
      <c r="H399" s="134"/>
      <c r="I399" s="134"/>
      <c r="J399" s="134"/>
      <c r="K399" s="134"/>
      <c r="L399" s="134"/>
      <c r="M399" s="134"/>
      <c r="N399" s="134"/>
      <c r="O399" s="134"/>
      <c r="P399" s="134"/>
      <c r="Q399" s="120"/>
    </row>
    <row r="400" spans="1:18" x14ac:dyDescent="0.3">
      <c r="A400" s="108">
        <v>5</v>
      </c>
      <c r="B400" s="120">
        <v>5</v>
      </c>
      <c r="C400" s="138"/>
      <c r="D400" s="120"/>
      <c r="E400" s="139"/>
      <c r="F400" s="134"/>
      <c r="G400" s="134"/>
      <c r="H400" s="134"/>
      <c r="I400" s="134"/>
      <c r="J400" s="134"/>
      <c r="K400" s="134"/>
      <c r="L400" s="134"/>
      <c r="M400" s="134"/>
      <c r="N400" s="134"/>
      <c r="O400" s="134"/>
      <c r="P400" s="134"/>
      <c r="Q400" s="120"/>
    </row>
    <row r="401" spans="1:17" x14ac:dyDescent="0.3">
      <c r="A401" s="108">
        <v>6</v>
      </c>
      <c r="B401" s="120">
        <v>6</v>
      </c>
      <c r="C401" s="138"/>
      <c r="D401" s="120"/>
      <c r="E401" s="139"/>
      <c r="F401" s="134"/>
      <c r="G401" s="134"/>
      <c r="H401" s="134"/>
      <c r="I401" s="134"/>
      <c r="J401" s="134"/>
      <c r="K401" s="134"/>
      <c r="L401" s="134"/>
      <c r="M401" s="134"/>
      <c r="N401" s="134"/>
      <c r="O401" s="134"/>
      <c r="P401" s="134"/>
      <c r="Q401" s="120"/>
    </row>
    <row r="402" spans="1:17" x14ac:dyDescent="0.3">
      <c r="A402" s="108">
        <v>7</v>
      </c>
      <c r="B402" s="120">
        <v>7</v>
      </c>
      <c r="C402" s="138"/>
      <c r="D402" s="120"/>
      <c r="E402" s="139"/>
      <c r="F402" s="134"/>
      <c r="G402" s="134"/>
      <c r="H402" s="134"/>
      <c r="I402" s="134"/>
      <c r="J402" s="134"/>
      <c r="K402" s="134"/>
      <c r="L402" s="134"/>
      <c r="M402" s="134"/>
      <c r="N402" s="134"/>
      <c r="O402" s="134"/>
      <c r="P402" s="134"/>
      <c r="Q402" s="120"/>
    </row>
    <row r="403" spans="1:17" x14ac:dyDescent="0.3">
      <c r="A403" s="108">
        <v>8</v>
      </c>
      <c r="B403" s="120">
        <v>8</v>
      </c>
      <c r="C403" s="138"/>
      <c r="D403" s="120"/>
      <c r="E403" s="139"/>
      <c r="F403" s="134"/>
      <c r="G403" s="134"/>
      <c r="H403" s="134"/>
      <c r="I403" s="134"/>
      <c r="J403" s="134"/>
      <c r="K403" s="134"/>
      <c r="L403" s="134"/>
      <c r="M403" s="134"/>
      <c r="N403" s="134"/>
      <c r="O403" s="134"/>
      <c r="P403" s="134"/>
      <c r="Q403" s="120"/>
    </row>
    <row r="404" spans="1:17" x14ac:dyDescent="0.3">
      <c r="A404" s="108">
        <v>9</v>
      </c>
      <c r="B404" s="120">
        <v>9</v>
      </c>
      <c r="C404" s="138"/>
      <c r="D404" s="120"/>
      <c r="E404" s="139"/>
      <c r="F404" s="134"/>
      <c r="G404" s="134"/>
      <c r="H404" s="134"/>
      <c r="I404" s="134"/>
      <c r="J404" s="134"/>
      <c r="K404" s="134"/>
      <c r="L404" s="134"/>
      <c r="M404" s="134"/>
      <c r="N404" s="134"/>
      <c r="O404" s="134"/>
      <c r="P404" s="134"/>
      <c r="Q404" s="120"/>
    </row>
    <row r="405" spans="1:17" x14ac:dyDescent="0.3">
      <c r="A405" s="108">
        <v>10</v>
      </c>
      <c r="B405" s="120">
        <v>10</v>
      </c>
      <c r="C405" s="138"/>
      <c r="D405" s="120"/>
      <c r="E405" s="139"/>
      <c r="F405" s="134"/>
      <c r="G405" s="134"/>
      <c r="H405" s="134"/>
      <c r="I405" s="134"/>
      <c r="J405" s="134"/>
      <c r="K405" s="134"/>
      <c r="L405" s="134"/>
      <c r="M405" s="134"/>
      <c r="N405" s="134"/>
      <c r="O405" s="134"/>
      <c r="P405" s="134"/>
      <c r="Q405" s="120"/>
    </row>
    <row r="406" spans="1:17" x14ac:dyDescent="0.3">
      <c r="A406" s="108">
        <v>11</v>
      </c>
      <c r="B406" s="120">
        <v>11</v>
      </c>
      <c r="C406" s="138"/>
      <c r="D406" s="120"/>
      <c r="E406" s="139"/>
      <c r="F406" s="134"/>
      <c r="G406" s="134"/>
      <c r="H406" s="134"/>
      <c r="I406" s="134"/>
      <c r="J406" s="134"/>
      <c r="K406" s="134"/>
      <c r="L406" s="134"/>
      <c r="M406" s="134"/>
      <c r="N406" s="134"/>
      <c r="O406" s="134"/>
      <c r="P406" s="134"/>
      <c r="Q406" s="120"/>
    </row>
    <row r="407" spans="1:17" x14ac:dyDescent="0.3">
      <c r="A407" s="108">
        <v>12</v>
      </c>
      <c r="B407" s="120">
        <v>12</v>
      </c>
      <c r="C407" s="138"/>
      <c r="D407" s="120"/>
      <c r="E407" s="139"/>
      <c r="F407" s="134"/>
      <c r="G407" s="134"/>
      <c r="H407" s="134"/>
      <c r="I407" s="134"/>
      <c r="J407" s="134"/>
      <c r="K407" s="134"/>
      <c r="L407" s="134"/>
      <c r="M407" s="134"/>
      <c r="N407" s="134"/>
      <c r="O407" s="134"/>
      <c r="P407" s="134"/>
      <c r="Q407" s="120"/>
    </row>
    <row r="408" spans="1:17" x14ac:dyDescent="0.3">
      <c r="A408" s="108">
        <v>13</v>
      </c>
      <c r="B408" s="120">
        <v>13</v>
      </c>
      <c r="C408" s="138"/>
      <c r="D408" s="120"/>
      <c r="E408" s="139"/>
      <c r="F408" s="134"/>
      <c r="G408" s="134"/>
      <c r="H408" s="134"/>
      <c r="I408" s="134"/>
      <c r="J408" s="134"/>
      <c r="K408" s="134"/>
      <c r="L408" s="134"/>
      <c r="M408" s="134"/>
      <c r="N408" s="134"/>
      <c r="O408" s="134"/>
      <c r="P408" s="134"/>
      <c r="Q408" s="120"/>
    </row>
    <row r="409" spans="1:17" x14ac:dyDescent="0.3">
      <c r="A409" s="108">
        <v>14</v>
      </c>
      <c r="B409" s="120">
        <v>14</v>
      </c>
      <c r="C409" s="138"/>
      <c r="D409" s="120"/>
      <c r="E409" s="139"/>
      <c r="F409" s="134"/>
      <c r="G409" s="134"/>
      <c r="H409" s="134"/>
      <c r="I409" s="134"/>
      <c r="J409" s="134"/>
      <c r="K409" s="134"/>
      <c r="L409" s="134"/>
      <c r="M409" s="134"/>
      <c r="N409" s="134"/>
      <c r="O409" s="134"/>
      <c r="P409" s="134"/>
      <c r="Q409" s="120"/>
    </row>
    <row r="410" spans="1:17" x14ac:dyDescent="0.3">
      <c r="A410" s="108">
        <v>15</v>
      </c>
      <c r="B410" s="120">
        <v>15</v>
      </c>
      <c r="C410" s="138"/>
      <c r="D410" s="120"/>
      <c r="E410" s="139"/>
      <c r="F410" s="134"/>
      <c r="G410" s="134"/>
      <c r="H410" s="134"/>
      <c r="I410" s="134"/>
      <c r="J410" s="134"/>
      <c r="K410" s="134"/>
      <c r="L410" s="134"/>
      <c r="M410" s="134"/>
      <c r="N410" s="134"/>
      <c r="O410" s="134"/>
      <c r="P410" s="134"/>
      <c r="Q410" s="120"/>
    </row>
    <row r="411" spans="1:17" x14ac:dyDescent="0.3">
      <c r="A411" s="108">
        <v>16</v>
      </c>
      <c r="B411" s="120">
        <v>16</v>
      </c>
      <c r="C411" s="138"/>
      <c r="D411" s="120"/>
      <c r="E411" s="139"/>
      <c r="F411" s="134"/>
      <c r="G411" s="134"/>
      <c r="H411" s="134"/>
      <c r="I411" s="134"/>
      <c r="J411" s="134"/>
      <c r="K411" s="134"/>
      <c r="L411" s="134"/>
      <c r="M411" s="134"/>
      <c r="N411" s="134"/>
      <c r="O411" s="134"/>
      <c r="P411" s="134"/>
      <c r="Q411" s="120"/>
    </row>
    <row r="412" spans="1:17" x14ac:dyDescent="0.3">
      <c r="A412" s="108">
        <v>17</v>
      </c>
      <c r="B412" s="120">
        <v>17</v>
      </c>
      <c r="C412" s="138"/>
      <c r="D412" s="120"/>
      <c r="E412" s="139"/>
      <c r="F412" s="134"/>
      <c r="G412" s="134"/>
      <c r="H412" s="134"/>
      <c r="I412" s="134"/>
      <c r="J412" s="134"/>
      <c r="K412" s="134"/>
      <c r="L412" s="134"/>
      <c r="M412" s="134"/>
      <c r="N412" s="134"/>
      <c r="O412" s="134"/>
      <c r="P412" s="134"/>
      <c r="Q412" s="120"/>
    </row>
    <row r="413" spans="1:17" x14ac:dyDescent="0.3">
      <c r="A413" s="108">
        <v>18</v>
      </c>
      <c r="B413" s="120">
        <v>18</v>
      </c>
      <c r="C413" s="138"/>
      <c r="D413" s="120"/>
      <c r="E413" s="139"/>
      <c r="F413" s="134"/>
      <c r="G413" s="134"/>
      <c r="H413" s="134"/>
      <c r="I413" s="134"/>
      <c r="J413" s="134"/>
      <c r="K413" s="134"/>
      <c r="L413" s="134"/>
      <c r="M413" s="134"/>
      <c r="N413" s="134"/>
      <c r="O413" s="134"/>
      <c r="P413" s="134"/>
      <c r="Q413" s="120"/>
    </row>
    <row r="414" spans="1:17" x14ac:dyDescent="0.3">
      <c r="A414" s="108">
        <v>19</v>
      </c>
      <c r="B414" s="120">
        <v>19</v>
      </c>
      <c r="C414" s="138"/>
      <c r="D414" s="120"/>
      <c r="E414" s="139"/>
      <c r="F414" s="134"/>
      <c r="G414" s="134"/>
      <c r="H414" s="134"/>
      <c r="I414" s="134"/>
      <c r="J414" s="134"/>
      <c r="K414" s="134"/>
      <c r="L414" s="134"/>
      <c r="M414" s="134"/>
      <c r="N414" s="134"/>
      <c r="O414" s="134"/>
      <c r="P414" s="134"/>
      <c r="Q414" s="120"/>
    </row>
    <row r="415" spans="1:17" x14ac:dyDescent="0.3">
      <c r="A415" s="108">
        <v>20</v>
      </c>
      <c r="B415" s="120">
        <v>20</v>
      </c>
      <c r="C415" s="138"/>
      <c r="D415" s="120"/>
      <c r="E415" s="139"/>
      <c r="F415" s="134"/>
      <c r="G415" s="134"/>
      <c r="H415" s="134"/>
      <c r="I415" s="134"/>
      <c r="J415" s="134"/>
      <c r="K415" s="134"/>
      <c r="L415" s="134"/>
      <c r="M415" s="134"/>
      <c r="N415" s="134"/>
      <c r="O415" s="134"/>
      <c r="P415" s="134"/>
      <c r="Q415" s="120"/>
    </row>
    <row r="416" spans="1:17" ht="14.4" thickBot="1" x14ac:dyDescent="0.35">
      <c r="A416" s="108">
        <v>0</v>
      </c>
      <c r="B416" s="129" t="s">
        <v>24</v>
      </c>
      <c r="C416" s="130"/>
      <c r="D416" s="130"/>
      <c r="E416" s="130"/>
      <c r="F416" s="133">
        <f>SUM(F396:F415)</f>
        <v>0</v>
      </c>
      <c r="G416" s="133">
        <f t="shared" ref="G416:P416" si="13">SUM(G396:G415)</f>
        <v>0</v>
      </c>
      <c r="H416" s="133">
        <f t="shared" si="13"/>
        <v>0</v>
      </c>
      <c r="I416" s="133">
        <f t="shared" si="13"/>
        <v>0</v>
      </c>
      <c r="J416" s="133">
        <f t="shared" si="13"/>
        <v>0</v>
      </c>
      <c r="K416" s="133">
        <f t="shared" si="13"/>
        <v>0</v>
      </c>
      <c r="L416" s="133">
        <f t="shared" si="13"/>
        <v>0</v>
      </c>
      <c r="M416" s="133">
        <f t="shared" si="13"/>
        <v>0</v>
      </c>
      <c r="N416" s="133">
        <f t="shared" si="13"/>
        <v>0</v>
      </c>
      <c r="O416" s="133">
        <f t="shared" si="13"/>
        <v>0</v>
      </c>
      <c r="P416" s="133">
        <f t="shared" si="13"/>
        <v>0</v>
      </c>
      <c r="Q416" s="103"/>
    </row>
    <row r="417" spans="1:18" ht="14.4" thickTop="1" x14ac:dyDescent="0.3">
      <c r="A417" s="108">
        <v>0</v>
      </c>
      <c r="B417" s="88"/>
      <c r="C417" s="88"/>
      <c r="D417" s="88"/>
      <c r="E417" s="88"/>
      <c r="F417" s="87"/>
      <c r="G417" s="87"/>
      <c r="H417" s="87"/>
      <c r="I417" s="87"/>
      <c r="J417" s="87"/>
      <c r="K417" s="87"/>
      <c r="L417" s="87"/>
      <c r="M417" s="87"/>
      <c r="N417" s="87"/>
      <c r="O417" s="87"/>
      <c r="P417" s="87"/>
      <c r="Q417" s="88"/>
    </row>
    <row r="418" spans="1:18" x14ac:dyDescent="0.3">
      <c r="A418" s="108">
        <v>0</v>
      </c>
      <c r="B418" s="88"/>
      <c r="C418" s="88"/>
      <c r="D418" s="88"/>
      <c r="E418" s="88"/>
      <c r="F418" s="87"/>
      <c r="G418" s="87"/>
      <c r="H418" s="87"/>
      <c r="I418" s="87"/>
      <c r="J418" s="87"/>
      <c r="K418" s="87"/>
      <c r="L418" s="87"/>
      <c r="M418" s="87"/>
      <c r="N418" s="87"/>
      <c r="O418" s="87"/>
      <c r="P418" s="87"/>
      <c r="Q418" s="88"/>
    </row>
    <row r="419" spans="1:18" x14ac:dyDescent="0.3">
      <c r="A419" s="108">
        <v>0</v>
      </c>
      <c r="B419" s="88" t="s">
        <v>20</v>
      </c>
      <c r="C419" s="88"/>
      <c r="D419" s="88" t="s">
        <v>21</v>
      </c>
      <c r="E419" s="88"/>
      <c r="F419" s="87"/>
      <c r="G419" s="87"/>
      <c r="H419" s="87"/>
      <c r="I419" s="87"/>
      <c r="J419" s="87"/>
      <c r="K419" s="87"/>
      <c r="L419" s="87"/>
      <c r="M419" s="87"/>
      <c r="N419" s="87"/>
      <c r="O419" s="87"/>
      <c r="P419" s="87"/>
      <c r="Q419" s="88"/>
    </row>
    <row r="420" spans="1:18" x14ac:dyDescent="0.3">
      <c r="A420" s="108">
        <v>0</v>
      </c>
      <c r="B420" s="88" t="s">
        <v>12</v>
      </c>
      <c r="C420" s="88"/>
      <c r="D420" s="88" t="s">
        <v>16</v>
      </c>
      <c r="E420" s="88"/>
      <c r="F420" s="87"/>
      <c r="G420" s="87"/>
      <c r="H420" s="87"/>
      <c r="I420" s="87"/>
      <c r="J420" s="87"/>
      <c r="K420" s="87"/>
      <c r="L420" s="87"/>
      <c r="M420" s="87"/>
      <c r="N420" s="87"/>
      <c r="O420" s="87"/>
      <c r="P420" s="87"/>
      <c r="Q420" s="88"/>
    </row>
    <row r="421" spans="1:18" x14ac:dyDescent="0.3">
      <c r="A421" s="108">
        <v>0</v>
      </c>
      <c r="B421" s="88"/>
      <c r="C421" s="88"/>
      <c r="D421" s="88" t="s">
        <v>22</v>
      </c>
      <c r="E421" s="88"/>
      <c r="F421" s="87"/>
      <c r="G421" s="87"/>
      <c r="H421" s="87"/>
      <c r="I421" s="87"/>
      <c r="J421" s="87"/>
      <c r="K421" s="87"/>
      <c r="L421" s="87"/>
      <c r="M421" s="87"/>
      <c r="N421" s="87"/>
      <c r="O421" s="87"/>
      <c r="P421" s="87"/>
      <c r="Q421" s="88"/>
    </row>
    <row r="422" spans="1:18" ht="14.4" customHeight="1" x14ac:dyDescent="0.3">
      <c r="A422" s="108">
        <v>0</v>
      </c>
      <c r="B422" s="88" t="s">
        <v>41</v>
      </c>
      <c r="C422" s="88"/>
      <c r="D422" s="88" t="str">
        <f>D152</f>
        <v>S A M Perera</v>
      </c>
      <c r="E422" s="88"/>
      <c r="F422" s="87"/>
      <c r="G422" s="87"/>
      <c r="H422" s="87"/>
      <c r="I422" s="87"/>
      <c r="J422" s="87"/>
      <c r="K422" s="87"/>
      <c r="L422" s="87"/>
      <c r="M422" s="87"/>
      <c r="N422" s="87" t="s">
        <v>40</v>
      </c>
      <c r="O422" s="87"/>
      <c r="P422" s="87"/>
      <c r="Q422" s="88" t="str">
        <f>Q152</f>
        <v>SAM/CENTRAL/KY/NC/26/DEC/1-A</v>
      </c>
    </row>
    <row r="423" spans="1:18" x14ac:dyDescent="0.3">
      <c r="A423" s="108">
        <v>0</v>
      </c>
      <c r="B423" s="88"/>
      <c r="C423" s="88"/>
      <c r="D423" s="88"/>
      <c r="E423" s="88"/>
      <c r="F423" s="87"/>
      <c r="G423" s="87"/>
      <c r="H423" s="87"/>
      <c r="I423" s="87"/>
      <c r="J423" s="87"/>
      <c r="K423" s="87"/>
      <c r="L423" s="87"/>
      <c r="M423" s="87"/>
      <c r="N423" s="87"/>
      <c r="O423" s="87"/>
      <c r="P423" s="87"/>
      <c r="Q423" s="88"/>
    </row>
    <row r="424" spans="1:18" ht="24.9" customHeight="1" x14ac:dyDescent="0.3">
      <c r="A424" s="108">
        <v>0</v>
      </c>
      <c r="B424" s="140" t="s">
        <v>47</v>
      </c>
      <c r="C424" s="141"/>
      <c r="D424" s="141"/>
      <c r="E424" s="141"/>
      <c r="F424" s="142"/>
      <c r="G424" s="142"/>
      <c r="H424" s="142"/>
      <c r="I424" s="142"/>
      <c r="J424" s="142"/>
      <c r="K424" s="142"/>
      <c r="L424" s="142"/>
      <c r="M424" s="142"/>
      <c r="N424" s="142"/>
      <c r="O424" s="142"/>
      <c r="P424" s="142"/>
      <c r="Q424" s="141"/>
      <c r="R424" s="115"/>
    </row>
    <row r="425" spans="1:18" ht="60.6" customHeight="1" x14ac:dyDescent="0.3">
      <c r="A425" s="108">
        <v>0</v>
      </c>
      <c r="B425" s="143" t="s">
        <v>17</v>
      </c>
      <c r="C425" s="143" t="s">
        <v>18</v>
      </c>
      <c r="D425" s="144" t="s">
        <v>30</v>
      </c>
      <c r="E425" s="145" t="s">
        <v>19</v>
      </c>
      <c r="F425" s="146" t="s">
        <v>23</v>
      </c>
      <c r="G425" s="146" t="s">
        <v>38</v>
      </c>
      <c r="H425" s="146" t="s">
        <v>42</v>
      </c>
      <c r="I425" s="146" t="s">
        <v>43</v>
      </c>
      <c r="J425" s="146" t="s">
        <v>33</v>
      </c>
      <c r="K425" s="146" t="s">
        <v>44</v>
      </c>
      <c r="L425" s="146" t="s">
        <v>53</v>
      </c>
      <c r="M425" s="146" t="s">
        <v>91</v>
      </c>
      <c r="N425" s="146" t="s">
        <v>92</v>
      </c>
      <c r="O425" s="146" t="s">
        <v>34</v>
      </c>
      <c r="P425" s="146" t="s">
        <v>90</v>
      </c>
      <c r="Q425" s="143" t="s">
        <v>39</v>
      </c>
    </row>
    <row r="426" spans="1:18" x14ac:dyDescent="0.3">
      <c r="A426" s="108">
        <v>1</v>
      </c>
      <c r="B426" s="120">
        <v>1</v>
      </c>
      <c r="C426" s="138"/>
      <c r="D426" s="120"/>
      <c r="E426" s="139"/>
      <c r="F426" s="134"/>
      <c r="G426" s="134"/>
      <c r="H426" s="134"/>
      <c r="I426" s="134"/>
      <c r="J426" s="134"/>
      <c r="K426" s="134"/>
      <c r="L426" s="134"/>
      <c r="M426" s="134"/>
      <c r="N426" s="134"/>
      <c r="O426" s="134"/>
      <c r="P426" s="134"/>
      <c r="Q426" s="120"/>
    </row>
    <row r="427" spans="1:18" x14ac:dyDescent="0.3">
      <c r="A427" s="108">
        <v>2</v>
      </c>
      <c r="B427" s="120">
        <v>2</v>
      </c>
      <c r="C427" s="138"/>
      <c r="D427" s="120"/>
      <c r="E427" s="139"/>
      <c r="F427" s="134"/>
      <c r="G427" s="134"/>
      <c r="H427" s="134"/>
      <c r="I427" s="134"/>
      <c r="J427" s="134"/>
      <c r="K427" s="134"/>
      <c r="L427" s="134"/>
      <c r="M427" s="134"/>
      <c r="N427" s="134"/>
      <c r="O427" s="134"/>
      <c r="P427" s="134"/>
      <c r="Q427" s="120"/>
    </row>
    <row r="428" spans="1:18" x14ac:dyDescent="0.3">
      <c r="A428" s="108">
        <v>3</v>
      </c>
      <c r="B428" s="120">
        <v>3</v>
      </c>
      <c r="C428" s="138"/>
      <c r="D428" s="120"/>
      <c r="E428" s="139"/>
      <c r="F428" s="134"/>
      <c r="G428" s="134"/>
      <c r="H428" s="134"/>
      <c r="I428" s="134"/>
      <c r="J428" s="134"/>
      <c r="K428" s="134"/>
      <c r="L428" s="134"/>
      <c r="M428" s="134"/>
      <c r="N428" s="134"/>
      <c r="O428" s="134"/>
      <c r="P428" s="134"/>
      <c r="Q428" s="120"/>
    </row>
    <row r="429" spans="1:18" x14ac:dyDescent="0.3">
      <c r="A429" s="108">
        <v>4</v>
      </c>
      <c r="B429" s="120">
        <v>4</v>
      </c>
      <c r="C429" s="138"/>
      <c r="D429" s="120"/>
      <c r="E429" s="139"/>
      <c r="F429" s="134"/>
      <c r="G429" s="134"/>
      <c r="H429" s="134"/>
      <c r="I429" s="134"/>
      <c r="J429" s="134"/>
      <c r="K429" s="134"/>
      <c r="L429" s="134"/>
      <c r="M429" s="134"/>
      <c r="N429" s="134"/>
      <c r="O429" s="134"/>
      <c r="P429" s="134"/>
      <c r="Q429" s="120"/>
    </row>
    <row r="430" spans="1:18" x14ac:dyDescent="0.3">
      <c r="A430" s="108">
        <v>5</v>
      </c>
      <c r="B430" s="120">
        <v>5</v>
      </c>
      <c r="C430" s="138"/>
      <c r="D430" s="120"/>
      <c r="E430" s="139"/>
      <c r="F430" s="134"/>
      <c r="G430" s="134"/>
      <c r="H430" s="134"/>
      <c r="I430" s="134"/>
      <c r="J430" s="134"/>
      <c r="K430" s="134"/>
      <c r="L430" s="134"/>
      <c r="M430" s="134"/>
      <c r="N430" s="134"/>
      <c r="O430" s="134"/>
      <c r="P430" s="134"/>
      <c r="Q430" s="120"/>
    </row>
    <row r="431" spans="1:18" x14ac:dyDescent="0.3">
      <c r="A431" s="108">
        <v>6</v>
      </c>
      <c r="B431" s="120">
        <v>6</v>
      </c>
      <c r="C431" s="138"/>
      <c r="D431" s="120"/>
      <c r="E431" s="139"/>
      <c r="F431" s="134"/>
      <c r="G431" s="134"/>
      <c r="H431" s="134"/>
      <c r="I431" s="134"/>
      <c r="J431" s="134"/>
      <c r="K431" s="134"/>
      <c r="L431" s="134"/>
      <c r="M431" s="134"/>
      <c r="N431" s="134"/>
      <c r="O431" s="134"/>
      <c r="P431" s="134"/>
      <c r="Q431" s="120"/>
    </row>
    <row r="432" spans="1:18" x14ac:dyDescent="0.3">
      <c r="A432" s="108">
        <v>7</v>
      </c>
      <c r="B432" s="120">
        <v>7</v>
      </c>
      <c r="C432" s="138"/>
      <c r="D432" s="120"/>
      <c r="E432" s="139"/>
      <c r="F432" s="134"/>
      <c r="G432" s="134"/>
      <c r="H432" s="134"/>
      <c r="I432" s="134"/>
      <c r="J432" s="134"/>
      <c r="K432" s="134"/>
      <c r="L432" s="134"/>
      <c r="M432" s="134"/>
      <c r="N432" s="134"/>
      <c r="O432" s="134"/>
      <c r="P432" s="134"/>
      <c r="Q432" s="120"/>
    </row>
    <row r="433" spans="1:17" x14ac:dyDescent="0.3">
      <c r="A433" s="108">
        <v>8</v>
      </c>
      <c r="B433" s="120">
        <v>8</v>
      </c>
      <c r="C433" s="138"/>
      <c r="D433" s="120"/>
      <c r="E433" s="139"/>
      <c r="F433" s="134"/>
      <c r="G433" s="134"/>
      <c r="H433" s="134"/>
      <c r="I433" s="134"/>
      <c r="J433" s="134"/>
      <c r="K433" s="134"/>
      <c r="L433" s="134"/>
      <c r="M433" s="134"/>
      <c r="N433" s="134"/>
      <c r="O433" s="134"/>
      <c r="P433" s="134"/>
      <c r="Q433" s="120"/>
    </row>
    <row r="434" spans="1:17" x14ac:dyDescent="0.3">
      <c r="A434" s="108">
        <v>9</v>
      </c>
      <c r="B434" s="120">
        <v>9</v>
      </c>
      <c r="C434" s="138"/>
      <c r="D434" s="120"/>
      <c r="E434" s="139"/>
      <c r="F434" s="134"/>
      <c r="G434" s="134"/>
      <c r="H434" s="134"/>
      <c r="I434" s="134"/>
      <c r="J434" s="134"/>
      <c r="K434" s="134"/>
      <c r="L434" s="134"/>
      <c r="M434" s="134"/>
      <c r="N434" s="134"/>
      <c r="O434" s="134"/>
      <c r="P434" s="134"/>
      <c r="Q434" s="120"/>
    </row>
    <row r="435" spans="1:17" x14ac:dyDescent="0.3">
      <c r="A435" s="108">
        <v>10</v>
      </c>
      <c r="B435" s="120">
        <v>10</v>
      </c>
      <c r="C435" s="138"/>
      <c r="D435" s="120"/>
      <c r="E435" s="139"/>
      <c r="F435" s="134"/>
      <c r="G435" s="134"/>
      <c r="H435" s="134"/>
      <c r="I435" s="134"/>
      <c r="J435" s="134"/>
      <c r="K435" s="134"/>
      <c r="L435" s="134"/>
      <c r="M435" s="134"/>
      <c r="N435" s="134"/>
      <c r="O435" s="134"/>
      <c r="P435" s="134"/>
      <c r="Q435" s="120"/>
    </row>
    <row r="436" spans="1:17" x14ac:dyDescent="0.3">
      <c r="A436" s="108">
        <v>11</v>
      </c>
      <c r="B436" s="120">
        <v>11</v>
      </c>
      <c r="C436" s="138"/>
      <c r="D436" s="120"/>
      <c r="E436" s="139"/>
      <c r="F436" s="134"/>
      <c r="G436" s="134"/>
      <c r="H436" s="134"/>
      <c r="I436" s="134"/>
      <c r="J436" s="134"/>
      <c r="K436" s="134"/>
      <c r="L436" s="134"/>
      <c r="M436" s="134"/>
      <c r="N436" s="134"/>
      <c r="O436" s="134"/>
      <c r="P436" s="134"/>
      <c r="Q436" s="120"/>
    </row>
    <row r="437" spans="1:17" x14ac:dyDescent="0.3">
      <c r="A437" s="108">
        <v>12</v>
      </c>
      <c r="B437" s="120">
        <v>12</v>
      </c>
      <c r="C437" s="138"/>
      <c r="D437" s="120"/>
      <c r="E437" s="139"/>
      <c r="F437" s="134"/>
      <c r="G437" s="134"/>
      <c r="H437" s="134"/>
      <c r="I437" s="134"/>
      <c r="J437" s="134"/>
      <c r="K437" s="134"/>
      <c r="L437" s="134"/>
      <c r="M437" s="134"/>
      <c r="N437" s="134"/>
      <c r="O437" s="134"/>
      <c r="P437" s="134"/>
      <c r="Q437" s="120"/>
    </row>
    <row r="438" spans="1:17" x14ac:dyDescent="0.3">
      <c r="A438" s="108">
        <v>13</v>
      </c>
      <c r="B438" s="120">
        <v>13</v>
      </c>
      <c r="C438" s="138"/>
      <c r="D438" s="120"/>
      <c r="E438" s="139"/>
      <c r="F438" s="134"/>
      <c r="G438" s="134"/>
      <c r="H438" s="134"/>
      <c r="I438" s="134"/>
      <c r="J438" s="134"/>
      <c r="K438" s="134"/>
      <c r="L438" s="134"/>
      <c r="M438" s="134"/>
      <c r="N438" s="134"/>
      <c r="O438" s="134"/>
      <c r="P438" s="134"/>
      <c r="Q438" s="120"/>
    </row>
    <row r="439" spans="1:17" x14ac:dyDescent="0.3">
      <c r="A439" s="108">
        <v>14</v>
      </c>
      <c r="B439" s="120">
        <v>14</v>
      </c>
      <c r="C439" s="138"/>
      <c r="D439" s="120"/>
      <c r="E439" s="139"/>
      <c r="F439" s="134"/>
      <c r="G439" s="134"/>
      <c r="H439" s="134"/>
      <c r="I439" s="134"/>
      <c r="J439" s="134"/>
      <c r="K439" s="134"/>
      <c r="L439" s="134"/>
      <c r="M439" s="134"/>
      <c r="N439" s="134"/>
      <c r="O439" s="134"/>
      <c r="P439" s="134"/>
      <c r="Q439" s="120"/>
    </row>
    <row r="440" spans="1:17" x14ac:dyDescent="0.3">
      <c r="A440" s="108">
        <v>15</v>
      </c>
      <c r="B440" s="120">
        <v>15</v>
      </c>
      <c r="C440" s="138"/>
      <c r="D440" s="120"/>
      <c r="E440" s="139"/>
      <c r="F440" s="134"/>
      <c r="G440" s="134"/>
      <c r="H440" s="134"/>
      <c r="I440" s="134"/>
      <c r="J440" s="134"/>
      <c r="K440" s="134"/>
      <c r="L440" s="134"/>
      <c r="M440" s="134"/>
      <c r="N440" s="134"/>
      <c r="O440" s="134"/>
      <c r="P440" s="134"/>
      <c r="Q440" s="120"/>
    </row>
    <row r="441" spans="1:17" x14ac:dyDescent="0.3">
      <c r="A441" s="108">
        <v>16</v>
      </c>
      <c r="B441" s="120">
        <v>16</v>
      </c>
      <c r="C441" s="138"/>
      <c r="D441" s="120"/>
      <c r="E441" s="139"/>
      <c r="F441" s="134"/>
      <c r="G441" s="134"/>
      <c r="H441" s="134"/>
      <c r="I441" s="134"/>
      <c r="J441" s="134"/>
      <c r="K441" s="134"/>
      <c r="L441" s="134"/>
      <c r="M441" s="134"/>
      <c r="N441" s="134"/>
      <c r="O441" s="134"/>
      <c r="P441" s="134"/>
      <c r="Q441" s="120"/>
    </row>
    <row r="442" spans="1:17" x14ac:dyDescent="0.3">
      <c r="A442" s="108">
        <v>17</v>
      </c>
      <c r="B442" s="120">
        <v>17</v>
      </c>
      <c r="C442" s="138"/>
      <c r="D442" s="120"/>
      <c r="E442" s="139"/>
      <c r="F442" s="134"/>
      <c r="G442" s="134"/>
      <c r="H442" s="134"/>
      <c r="I442" s="134"/>
      <c r="J442" s="134"/>
      <c r="K442" s="134"/>
      <c r="L442" s="134"/>
      <c r="M442" s="134"/>
      <c r="N442" s="134"/>
      <c r="O442" s="134"/>
      <c r="P442" s="134"/>
      <c r="Q442" s="120"/>
    </row>
    <row r="443" spans="1:17" x14ac:dyDescent="0.3">
      <c r="A443" s="108">
        <v>18</v>
      </c>
      <c r="B443" s="120">
        <v>18</v>
      </c>
      <c r="C443" s="138"/>
      <c r="D443" s="120"/>
      <c r="E443" s="139"/>
      <c r="F443" s="134"/>
      <c r="G443" s="134"/>
      <c r="H443" s="134"/>
      <c r="I443" s="134"/>
      <c r="J443" s="134"/>
      <c r="K443" s="134"/>
      <c r="L443" s="134"/>
      <c r="M443" s="134"/>
      <c r="N443" s="134"/>
      <c r="O443" s="134"/>
      <c r="P443" s="134"/>
      <c r="Q443" s="120"/>
    </row>
    <row r="444" spans="1:17" x14ac:dyDescent="0.3">
      <c r="A444" s="108">
        <v>19</v>
      </c>
      <c r="B444" s="120">
        <v>19</v>
      </c>
      <c r="C444" s="138"/>
      <c r="D444" s="120"/>
      <c r="E444" s="139"/>
      <c r="F444" s="134"/>
      <c r="G444" s="134"/>
      <c r="H444" s="134"/>
      <c r="I444" s="134"/>
      <c r="J444" s="134"/>
      <c r="K444" s="134"/>
      <c r="L444" s="134"/>
      <c r="M444" s="134"/>
      <c r="N444" s="134"/>
      <c r="O444" s="134"/>
      <c r="P444" s="134"/>
      <c r="Q444" s="120"/>
    </row>
    <row r="445" spans="1:17" x14ac:dyDescent="0.3">
      <c r="A445" s="108">
        <v>20</v>
      </c>
      <c r="B445" s="120">
        <v>20</v>
      </c>
      <c r="C445" s="138"/>
      <c r="D445" s="120"/>
      <c r="E445" s="139"/>
      <c r="F445" s="134"/>
      <c r="G445" s="134"/>
      <c r="H445" s="134"/>
      <c r="I445" s="134"/>
      <c r="J445" s="134"/>
      <c r="K445" s="134"/>
      <c r="L445" s="134"/>
      <c r="M445" s="134"/>
      <c r="N445" s="134"/>
      <c r="O445" s="134"/>
      <c r="P445" s="134"/>
      <c r="Q445" s="120"/>
    </row>
    <row r="446" spans="1:17" ht="14.4" thickBot="1" x14ac:dyDescent="0.35">
      <c r="A446" s="108">
        <v>0</v>
      </c>
      <c r="B446" s="129" t="s">
        <v>24</v>
      </c>
      <c r="C446" s="130"/>
      <c r="D446" s="130"/>
      <c r="E446" s="130"/>
      <c r="F446" s="133">
        <f>SUM(F426:F445)</f>
        <v>0</v>
      </c>
      <c r="G446" s="133">
        <f t="shared" ref="G446:P446" si="14">SUM(G426:G445)</f>
        <v>0</v>
      </c>
      <c r="H446" s="133">
        <f t="shared" si="14"/>
        <v>0</v>
      </c>
      <c r="I446" s="133">
        <f t="shared" si="14"/>
        <v>0</v>
      </c>
      <c r="J446" s="133">
        <f t="shared" si="14"/>
        <v>0</v>
      </c>
      <c r="K446" s="133">
        <f t="shared" si="14"/>
        <v>0</v>
      </c>
      <c r="L446" s="133">
        <f t="shared" si="14"/>
        <v>0</v>
      </c>
      <c r="M446" s="133">
        <f t="shared" si="14"/>
        <v>0</v>
      </c>
      <c r="N446" s="133">
        <f t="shared" si="14"/>
        <v>0</v>
      </c>
      <c r="O446" s="133">
        <f t="shared" si="14"/>
        <v>0</v>
      </c>
      <c r="P446" s="133">
        <f t="shared" si="14"/>
        <v>0</v>
      </c>
      <c r="Q446" s="103"/>
    </row>
    <row r="447" spans="1:17" ht="14.4" thickTop="1" x14ac:dyDescent="0.3">
      <c r="A447" s="108">
        <v>0</v>
      </c>
      <c r="B447" s="88"/>
      <c r="C447" s="88"/>
      <c r="D447" s="88"/>
      <c r="E447" s="88"/>
      <c r="F447" s="87"/>
      <c r="G447" s="87"/>
      <c r="H447" s="87"/>
      <c r="I447" s="87"/>
      <c r="J447" s="87"/>
      <c r="K447" s="87"/>
      <c r="L447" s="87"/>
      <c r="M447" s="87"/>
      <c r="N447" s="87"/>
      <c r="O447" s="87"/>
      <c r="P447" s="87"/>
      <c r="Q447" s="88"/>
    </row>
    <row r="448" spans="1:17" x14ac:dyDescent="0.3">
      <c r="A448" s="108">
        <v>0</v>
      </c>
      <c r="B448" s="88"/>
      <c r="C448" s="88"/>
      <c r="D448" s="88"/>
      <c r="E448" s="88"/>
      <c r="F448" s="87"/>
      <c r="G448" s="87"/>
      <c r="H448" s="87"/>
      <c r="I448" s="87"/>
      <c r="J448" s="87"/>
      <c r="K448" s="87"/>
      <c r="L448" s="87"/>
      <c r="M448" s="87"/>
      <c r="N448" s="87"/>
      <c r="O448" s="87"/>
      <c r="P448" s="87"/>
      <c r="Q448" s="88"/>
    </row>
    <row r="449" spans="1:18" x14ac:dyDescent="0.3">
      <c r="A449" s="108">
        <v>0</v>
      </c>
      <c r="B449" s="88" t="s">
        <v>20</v>
      </c>
      <c r="C449" s="88"/>
      <c r="D449" s="88" t="s">
        <v>21</v>
      </c>
      <c r="E449" s="88"/>
      <c r="F449" s="87"/>
      <c r="G449" s="87"/>
      <c r="H449" s="87"/>
      <c r="I449" s="87"/>
      <c r="J449" s="87"/>
      <c r="K449" s="87"/>
      <c r="L449" s="87"/>
      <c r="M449" s="87"/>
      <c r="N449" s="87"/>
      <c r="O449" s="87"/>
      <c r="P449" s="87"/>
      <c r="Q449" s="88"/>
    </row>
    <row r="450" spans="1:18" x14ac:dyDescent="0.3">
      <c r="A450" s="108">
        <v>0</v>
      </c>
      <c r="B450" s="88" t="s">
        <v>12</v>
      </c>
      <c r="C450" s="88"/>
      <c r="D450" s="88" t="s">
        <v>16</v>
      </c>
      <c r="E450" s="88"/>
      <c r="F450" s="87"/>
      <c r="G450" s="87"/>
      <c r="H450" s="87"/>
      <c r="I450" s="87"/>
      <c r="J450" s="87"/>
      <c r="K450" s="87"/>
      <c r="L450" s="87"/>
      <c r="M450" s="87"/>
      <c r="N450" s="87"/>
      <c r="O450" s="87"/>
      <c r="P450" s="87"/>
      <c r="Q450" s="88"/>
    </row>
    <row r="451" spans="1:18" x14ac:dyDescent="0.3">
      <c r="A451" s="108">
        <v>0</v>
      </c>
      <c r="B451" s="88"/>
      <c r="C451" s="88"/>
      <c r="D451" s="88" t="s">
        <v>22</v>
      </c>
      <c r="E451" s="88"/>
      <c r="F451" s="87"/>
      <c r="G451" s="87"/>
      <c r="H451" s="87"/>
      <c r="I451" s="87"/>
      <c r="J451" s="87"/>
      <c r="K451" s="87"/>
      <c r="L451" s="87"/>
      <c r="M451" s="87"/>
      <c r="N451" s="87"/>
      <c r="O451" s="87"/>
      <c r="P451" s="87"/>
      <c r="Q451" s="88"/>
    </row>
    <row r="452" spans="1:18" ht="14.4" customHeight="1" x14ac:dyDescent="0.3">
      <c r="A452" s="108">
        <v>0</v>
      </c>
      <c r="B452" s="88" t="s">
        <v>41</v>
      </c>
      <c r="C452" s="88"/>
      <c r="D452" s="88" t="str">
        <f>D182</f>
        <v>S A M Perera</v>
      </c>
      <c r="E452" s="88"/>
      <c r="F452" s="87"/>
      <c r="G452" s="87"/>
      <c r="H452" s="87"/>
      <c r="I452" s="87"/>
      <c r="J452" s="87"/>
      <c r="K452" s="87"/>
      <c r="L452" s="87"/>
      <c r="M452" s="87"/>
      <c r="N452" s="87" t="s">
        <v>40</v>
      </c>
      <c r="O452" s="87"/>
      <c r="P452" s="87"/>
      <c r="Q452" s="88" t="str">
        <f>Q182</f>
        <v>SAM/CENTRAL/KY/NC/26/DEC/1-A</v>
      </c>
    </row>
    <row r="453" spans="1:18" x14ac:dyDescent="0.3">
      <c r="A453" s="108">
        <v>0</v>
      </c>
      <c r="B453" s="88"/>
      <c r="C453" s="88"/>
      <c r="D453" s="88"/>
      <c r="E453" s="88"/>
      <c r="F453" s="87"/>
      <c r="G453" s="87"/>
      <c r="H453" s="87"/>
      <c r="I453" s="87"/>
      <c r="J453" s="87"/>
      <c r="K453" s="87"/>
      <c r="L453" s="87"/>
      <c r="M453" s="87"/>
      <c r="N453" s="87"/>
      <c r="O453" s="87"/>
      <c r="P453" s="87"/>
      <c r="Q453" s="88"/>
    </row>
    <row r="454" spans="1:18" ht="24.9" customHeight="1" x14ac:dyDescent="0.3">
      <c r="A454" s="108">
        <v>0</v>
      </c>
      <c r="B454" s="140" t="s">
        <v>47</v>
      </c>
      <c r="C454" s="141"/>
      <c r="D454" s="141"/>
      <c r="E454" s="141"/>
      <c r="F454" s="142"/>
      <c r="G454" s="142"/>
      <c r="H454" s="142"/>
      <c r="I454" s="142"/>
      <c r="J454" s="142"/>
      <c r="K454" s="142"/>
      <c r="L454" s="142"/>
      <c r="M454" s="142"/>
      <c r="N454" s="142"/>
      <c r="O454" s="142"/>
      <c r="P454" s="142"/>
      <c r="Q454" s="141"/>
      <c r="R454" s="115"/>
    </row>
    <row r="455" spans="1:18" ht="60.6" customHeight="1" x14ac:dyDescent="0.3">
      <c r="A455" s="108">
        <v>0</v>
      </c>
      <c r="B455" s="143" t="s">
        <v>17</v>
      </c>
      <c r="C455" s="143" t="s">
        <v>18</v>
      </c>
      <c r="D455" s="144" t="s">
        <v>30</v>
      </c>
      <c r="E455" s="145" t="s">
        <v>19</v>
      </c>
      <c r="F455" s="146" t="s">
        <v>23</v>
      </c>
      <c r="G455" s="146" t="s">
        <v>38</v>
      </c>
      <c r="H455" s="146" t="s">
        <v>42</v>
      </c>
      <c r="I455" s="146" t="s">
        <v>43</v>
      </c>
      <c r="J455" s="146" t="s">
        <v>33</v>
      </c>
      <c r="K455" s="146" t="s">
        <v>44</v>
      </c>
      <c r="L455" s="146" t="s">
        <v>53</v>
      </c>
      <c r="M455" s="146" t="s">
        <v>91</v>
      </c>
      <c r="N455" s="146" t="s">
        <v>92</v>
      </c>
      <c r="O455" s="146" t="s">
        <v>34</v>
      </c>
      <c r="P455" s="146" t="s">
        <v>90</v>
      </c>
      <c r="Q455" s="143" t="s">
        <v>39</v>
      </c>
    </row>
    <row r="456" spans="1:18" x14ac:dyDescent="0.3">
      <c r="A456" s="108">
        <v>1</v>
      </c>
      <c r="B456" s="120">
        <v>1</v>
      </c>
      <c r="C456" s="138"/>
      <c r="D456" s="120"/>
      <c r="E456" s="139"/>
      <c r="F456" s="134"/>
      <c r="G456" s="134"/>
      <c r="H456" s="134"/>
      <c r="I456" s="134"/>
      <c r="J456" s="134"/>
      <c r="K456" s="134"/>
      <c r="L456" s="134"/>
      <c r="M456" s="134"/>
      <c r="N456" s="134"/>
      <c r="O456" s="134"/>
      <c r="P456" s="134"/>
      <c r="Q456" s="120"/>
    </row>
    <row r="457" spans="1:18" x14ac:dyDescent="0.3">
      <c r="A457" s="108">
        <v>2</v>
      </c>
      <c r="B457" s="120">
        <v>2</v>
      </c>
      <c r="C457" s="138"/>
      <c r="D457" s="120"/>
      <c r="E457" s="139"/>
      <c r="F457" s="134"/>
      <c r="G457" s="134"/>
      <c r="H457" s="134"/>
      <c r="I457" s="134"/>
      <c r="J457" s="134"/>
      <c r="K457" s="134"/>
      <c r="L457" s="134"/>
      <c r="M457" s="134"/>
      <c r="N457" s="134"/>
      <c r="O457" s="134"/>
      <c r="P457" s="134"/>
      <c r="Q457" s="120"/>
    </row>
    <row r="458" spans="1:18" x14ac:dyDescent="0.3">
      <c r="A458" s="108">
        <v>3</v>
      </c>
      <c r="B458" s="120">
        <v>3</v>
      </c>
      <c r="C458" s="138"/>
      <c r="D458" s="120"/>
      <c r="E458" s="139"/>
      <c r="F458" s="134"/>
      <c r="G458" s="134"/>
      <c r="H458" s="134"/>
      <c r="I458" s="134"/>
      <c r="J458" s="134"/>
      <c r="K458" s="134"/>
      <c r="L458" s="134"/>
      <c r="M458" s="134"/>
      <c r="N458" s="134"/>
      <c r="O458" s="134"/>
      <c r="P458" s="134"/>
      <c r="Q458" s="120"/>
    </row>
    <row r="459" spans="1:18" x14ac:dyDescent="0.3">
      <c r="A459" s="108">
        <v>4</v>
      </c>
      <c r="B459" s="120">
        <v>4</v>
      </c>
      <c r="C459" s="138"/>
      <c r="D459" s="120"/>
      <c r="E459" s="139"/>
      <c r="F459" s="134"/>
      <c r="G459" s="134"/>
      <c r="H459" s="134"/>
      <c r="I459" s="134"/>
      <c r="J459" s="134"/>
      <c r="K459" s="134"/>
      <c r="L459" s="134"/>
      <c r="M459" s="134"/>
      <c r="N459" s="134"/>
      <c r="O459" s="134"/>
      <c r="P459" s="134"/>
      <c r="Q459" s="120"/>
    </row>
    <row r="460" spans="1:18" x14ac:dyDescent="0.3">
      <c r="A460" s="108">
        <v>5</v>
      </c>
      <c r="B460" s="120">
        <v>5</v>
      </c>
      <c r="C460" s="138"/>
      <c r="D460" s="120"/>
      <c r="E460" s="139"/>
      <c r="F460" s="134"/>
      <c r="G460" s="134"/>
      <c r="H460" s="134"/>
      <c r="I460" s="134"/>
      <c r="J460" s="134"/>
      <c r="K460" s="134"/>
      <c r="L460" s="134"/>
      <c r="M460" s="134"/>
      <c r="N460" s="134"/>
      <c r="O460" s="134"/>
      <c r="P460" s="134"/>
      <c r="Q460" s="120"/>
    </row>
    <row r="461" spans="1:18" x14ac:dyDescent="0.3">
      <c r="A461" s="108">
        <v>6</v>
      </c>
      <c r="B461" s="120">
        <v>6</v>
      </c>
      <c r="C461" s="138"/>
      <c r="D461" s="120"/>
      <c r="E461" s="139"/>
      <c r="F461" s="134"/>
      <c r="G461" s="134"/>
      <c r="H461" s="134"/>
      <c r="I461" s="134"/>
      <c r="J461" s="134"/>
      <c r="K461" s="134"/>
      <c r="L461" s="134"/>
      <c r="M461" s="134"/>
      <c r="N461" s="134"/>
      <c r="O461" s="134"/>
      <c r="P461" s="134"/>
      <c r="Q461" s="120"/>
    </row>
    <row r="462" spans="1:18" x14ac:dyDescent="0.3">
      <c r="A462" s="108">
        <v>7</v>
      </c>
      <c r="B462" s="120">
        <v>7</v>
      </c>
      <c r="C462" s="138"/>
      <c r="D462" s="120"/>
      <c r="E462" s="139"/>
      <c r="F462" s="134"/>
      <c r="G462" s="134"/>
      <c r="H462" s="134"/>
      <c r="I462" s="134"/>
      <c r="J462" s="134"/>
      <c r="K462" s="134"/>
      <c r="L462" s="134"/>
      <c r="M462" s="134"/>
      <c r="N462" s="134"/>
      <c r="O462" s="134"/>
      <c r="P462" s="134"/>
      <c r="Q462" s="120"/>
    </row>
    <row r="463" spans="1:18" x14ac:dyDescent="0.3">
      <c r="A463" s="108">
        <v>8</v>
      </c>
      <c r="B463" s="120">
        <v>8</v>
      </c>
      <c r="C463" s="138"/>
      <c r="D463" s="120"/>
      <c r="E463" s="139"/>
      <c r="F463" s="134"/>
      <c r="G463" s="134"/>
      <c r="H463" s="134"/>
      <c r="I463" s="134"/>
      <c r="J463" s="134"/>
      <c r="K463" s="134"/>
      <c r="L463" s="134"/>
      <c r="M463" s="134"/>
      <c r="N463" s="134"/>
      <c r="O463" s="134"/>
      <c r="P463" s="134"/>
      <c r="Q463" s="120"/>
    </row>
    <row r="464" spans="1:18" x14ac:dyDescent="0.3">
      <c r="A464" s="108">
        <v>9</v>
      </c>
      <c r="B464" s="120">
        <v>9</v>
      </c>
      <c r="C464" s="138"/>
      <c r="D464" s="120"/>
      <c r="E464" s="139"/>
      <c r="F464" s="134"/>
      <c r="G464" s="134"/>
      <c r="H464" s="134"/>
      <c r="I464" s="134"/>
      <c r="J464" s="134"/>
      <c r="K464" s="134"/>
      <c r="L464" s="134"/>
      <c r="M464" s="134"/>
      <c r="N464" s="134"/>
      <c r="O464" s="134"/>
      <c r="P464" s="134"/>
      <c r="Q464" s="120"/>
    </row>
    <row r="465" spans="1:17" x14ac:dyDescent="0.3">
      <c r="A465" s="108">
        <v>10</v>
      </c>
      <c r="B465" s="120">
        <v>10</v>
      </c>
      <c r="C465" s="138"/>
      <c r="D465" s="120"/>
      <c r="E465" s="139"/>
      <c r="F465" s="134"/>
      <c r="G465" s="134"/>
      <c r="H465" s="134"/>
      <c r="I465" s="134"/>
      <c r="J465" s="134"/>
      <c r="K465" s="134"/>
      <c r="L465" s="134"/>
      <c r="M465" s="134"/>
      <c r="N465" s="134"/>
      <c r="O465" s="134"/>
      <c r="P465" s="134"/>
      <c r="Q465" s="120"/>
    </row>
    <row r="466" spans="1:17" x14ac:dyDescent="0.3">
      <c r="A466" s="108">
        <v>11</v>
      </c>
      <c r="B466" s="120">
        <v>11</v>
      </c>
      <c r="C466" s="138"/>
      <c r="D466" s="120"/>
      <c r="E466" s="139"/>
      <c r="F466" s="134"/>
      <c r="G466" s="134"/>
      <c r="H466" s="134"/>
      <c r="I466" s="134"/>
      <c r="J466" s="134"/>
      <c r="K466" s="134"/>
      <c r="L466" s="134"/>
      <c r="M466" s="134"/>
      <c r="N466" s="134"/>
      <c r="O466" s="134"/>
      <c r="P466" s="134"/>
      <c r="Q466" s="120"/>
    </row>
    <row r="467" spans="1:17" x14ac:dyDescent="0.3">
      <c r="A467" s="108">
        <v>12</v>
      </c>
      <c r="B467" s="120">
        <v>12</v>
      </c>
      <c r="C467" s="138"/>
      <c r="D467" s="120"/>
      <c r="E467" s="139"/>
      <c r="F467" s="134"/>
      <c r="G467" s="134"/>
      <c r="H467" s="134"/>
      <c r="I467" s="134"/>
      <c r="J467" s="134"/>
      <c r="K467" s="134"/>
      <c r="L467" s="134"/>
      <c r="M467" s="134"/>
      <c r="N467" s="134"/>
      <c r="O467" s="134"/>
      <c r="P467" s="134"/>
      <c r="Q467" s="120"/>
    </row>
    <row r="468" spans="1:17" x14ac:dyDescent="0.3">
      <c r="A468" s="108">
        <v>13</v>
      </c>
      <c r="B468" s="120">
        <v>13</v>
      </c>
      <c r="C468" s="138"/>
      <c r="D468" s="120"/>
      <c r="E468" s="139"/>
      <c r="F468" s="134"/>
      <c r="G468" s="134"/>
      <c r="H468" s="134"/>
      <c r="I468" s="134"/>
      <c r="J468" s="134"/>
      <c r="K468" s="134"/>
      <c r="L468" s="134"/>
      <c r="M468" s="134"/>
      <c r="N468" s="134"/>
      <c r="O468" s="134"/>
      <c r="P468" s="134"/>
      <c r="Q468" s="120"/>
    </row>
    <row r="469" spans="1:17" x14ac:dyDescent="0.3">
      <c r="A469" s="108">
        <v>14</v>
      </c>
      <c r="B469" s="120">
        <v>14</v>
      </c>
      <c r="C469" s="138"/>
      <c r="D469" s="120"/>
      <c r="E469" s="139"/>
      <c r="F469" s="134"/>
      <c r="G469" s="134"/>
      <c r="H469" s="134"/>
      <c r="I469" s="134"/>
      <c r="J469" s="134"/>
      <c r="K469" s="134"/>
      <c r="L469" s="134"/>
      <c r="M469" s="134"/>
      <c r="N469" s="134"/>
      <c r="O469" s="134"/>
      <c r="P469" s="134"/>
      <c r="Q469" s="120"/>
    </row>
    <row r="470" spans="1:17" x14ac:dyDescent="0.3">
      <c r="A470" s="108">
        <v>15</v>
      </c>
      <c r="B470" s="120">
        <v>15</v>
      </c>
      <c r="C470" s="138"/>
      <c r="D470" s="120"/>
      <c r="E470" s="139"/>
      <c r="F470" s="134"/>
      <c r="G470" s="134"/>
      <c r="H470" s="134"/>
      <c r="I470" s="134"/>
      <c r="J470" s="134"/>
      <c r="K470" s="134"/>
      <c r="L470" s="134"/>
      <c r="M470" s="134"/>
      <c r="N470" s="134"/>
      <c r="O470" s="134"/>
      <c r="P470" s="134"/>
      <c r="Q470" s="120"/>
    </row>
    <row r="471" spans="1:17" x14ac:dyDescent="0.3">
      <c r="A471" s="108">
        <v>16</v>
      </c>
      <c r="B471" s="120">
        <v>16</v>
      </c>
      <c r="C471" s="138"/>
      <c r="D471" s="120"/>
      <c r="E471" s="139"/>
      <c r="F471" s="134"/>
      <c r="G471" s="134"/>
      <c r="H471" s="134"/>
      <c r="I471" s="134"/>
      <c r="J471" s="134"/>
      <c r="K471" s="134"/>
      <c r="L471" s="134"/>
      <c r="M471" s="134"/>
      <c r="N471" s="134"/>
      <c r="O471" s="134"/>
      <c r="P471" s="134"/>
      <c r="Q471" s="120"/>
    </row>
    <row r="472" spans="1:17" x14ac:dyDescent="0.3">
      <c r="A472" s="108">
        <v>17</v>
      </c>
      <c r="B472" s="120">
        <v>17</v>
      </c>
      <c r="C472" s="138"/>
      <c r="D472" s="120"/>
      <c r="E472" s="139"/>
      <c r="F472" s="134"/>
      <c r="G472" s="134"/>
      <c r="H472" s="134"/>
      <c r="I472" s="134"/>
      <c r="J472" s="134"/>
      <c r="K472" s="134"/>
      <c r="L472" s="134"/>
      <c r="M472" s="134"/>
      <c r="N472" s="134"/>
      <c r="O472" s="134"/>
      <c r="P472" s="134"/>
      <c r="Q472" s="120"/>
    </row>
    <row r="473" spans="1:17" x14ac:dyDescent="0.3">
      <c r="A473" s="108">
        <v>18</v>
      </c>
      <c r="B473" s="120">
        <v>18</v>
      </c>
      <c r="C473" s="138"/>
      <c r="D473" s="120"/>
      <c r="E473" s="139"/>
      <c r="F473" s="134"/>
      <c r="G473" s="134"/>
      <c r="H473" s="134" t="s">
        <v>208</v>
      </c>
      <c r="I473" s="134"/>
      <c r="J473" s="134"/>
      <c r="K473" s="134"/>
      <c r="L473" s="134"/>
      <c r="M473" s="134"/>
      <c r="N473" s="134"/>
      <c r="O473" s="134"/>
      <c r="P473" s="134"/>
      <c r="Q473" s="120"/>
    </row>
    <row r="474" spans="1:17" x14ac:dyDescent="0.3">
      <c r="A474" s="108">
        <v>19</v>
      </c>
      <c r="B474" s="120">
        <v>19</v>
      </c>
      <c r="C474" s="138"/>
      <c r="D474" s="120"/>
      <c r="E474" s="139"/>
      <c r="F474" s="134"/>
      <c r="G474" s="134"/>
      <c r="H474" s="134"/>
      <c r="I474" s="134"/>
      <c r="J474" s="134"/>
      <c r="K474" s="134"/>
      <c r="L474" s="134"/>
      <c r="M474" s="134"/>
      <c r="N474" s="134"/>
      <c r="O474" s="134"/>
      <c r="P474" s="134"/>
      <c r="Q474" s="120"/>
    </row>
    <row r="475" spans="1:17" x14ac:dyDescent="0.3">
      <c r="A475" s="108">
        <v>20</v>
      </c>
      <c r="B475" s="120">
        <v>20</v>
      </c>
      <c r="C475" s="138"/>
      <c r="D475" s="120"/>
      <c r="E475" s="139"/>
      <c r="F475" s="134"/>
      <c r="G475" s="134"/>
      <c r="H475" s="134"/>
      <c r="I475" s="134"/>
      <c r="J475" s="134"/>
      <c r="K475" s="134"/>
      <c r="L475" s="134"/>
      <c r="M475" s="134"/>
      <c r="N475" s="134"/>
      <c r="O475" s="134"/>
      <c r="P475" s="134"/>
      <c r="Q475" s="120"/>
    </row>
    <row r="476" spans="1:17" ht="14.4" thickBot="1" x14ac:dyDescent="0.35">
      <c r="A476" s="108">
        <v>0</v>
      </c>
      <c r="B476" s="129" t="s">
        <v>24</v>
      </c>
      <c r="C476" s="130"/>
      <c r="D476" s="130"/>
      <c r="E476" s="130"/>
      <c r="F476" s="133">
        <f>SUM(F456:F475)</f>
        <v>0</v>
      </c>
      <c r="G476" s="133">
        <f t="shared" ref="G476:P476" si="15">SUM(G456:G475)</f>
        <v>0</v>
      </c>
      <c r="H476" s="133">
        <f t="shared" si="15"/>
        <v>0</v>
      </c>
      <c r="I476" s="133">
        <f t="shared" si="15"/>
        <v>0</v>
      </c>
      <c r="J476" s="133">
        <f t="shared" si="15"/>
        <v>0</v>
      </c>
      <c r="K476" s="133">
        <f t="shared" si="15"/>
        <v>0</v>
      </c>
      <c r="L476" s="133">
        <f t="shared" si="15"/>
        <v>0</v>
      </c>
      <c r="M476" s="133">
        <f t="shared" si="15"/>
        <v>0</v>
      </c>
      <c r="N476" s="133">
        <f t="shared" si="15"/>
        <v>0</v>
      </c>
      <c r="O476" s="133">
        <f t="shared" si="15"/>
        <v>0</v>
      </c>
      <c r="P476" s="133">
        <f t="shared" si="15"/>
        <v>0</v>
      </c>
      <c r="Q476" s="103"/>
    </row>
    <row r="477" spans="1:17" ht="14.4" thickTop="1" x14ac:dyDescent="0.3">
      <c r="A477" s="108">
        <v>0</v>
      </c>
      <c r="B477" s="88"/>
      <c r="C477" s="88"/>
      <c r="D477" s="88"/>
      <c r="E477" s="88"/>
      <c r="F477" s="87"/>
      <c r="G477" s="87"/>
      <c r="H477" s="87"/>
      <c r="I477" s="87"/>
      <c r="J477" s="87"/>
      <c r="K477" s="87"/>
      <c r="L477" s="87"/>
      <c r="M477" s="87"/>
      <c r="N477" s="87"/>
      <c r="O477" s="87"/>
      <c r="P477" s="87"/>
      <c r="Q477" s="88"/>
    </row>
    <row r="478" spans="1:17" x14ac:dyDescent="0.3">
      <c r="A478" s="108">
        <v>0</v>
      </c>
      <c r="B478" s="88"/>
      <c r="C478" s="88"/>
      <c r="D478" s="88"/>
      <c r="E478" s="88"/>
      <c r="F478" s="87"/>
      <c r="G478" s="87"/>
      <c r="H478" s="87"/>
      <c r="I478" s="87"/>
      <c r="J478" s="87"/>
      <c r="K478" s="87"/>
      <c r="L478" s="87"/>
      <c r="M478" s="87"/>
      <c r="N478" s="87"/>
      <c r="O478" s="87"/>
      <c r="P478" s="87"/>
      <c r="Q478" s="88"/>
    </row>
    <row r="479" spans="1:17" x14ac:dyDescent="0.3">
      <c r="A479" s="108">
        <v>0</v>
      </c>
      <c r="B479" s="88" t="s">
        <v>20</v>
      </c>
      <c r="C479" s="88"/>
      <c r="D479" s="88" t="s">
        <v>21</v>
      </c>
      <c r="E479" s="88"/>
      <c r="F479" s="87"/>
      <c r="G479" s="87"/>
      <c r="H479" s="87"/>
      <c r="I479" s="87"/>
      <c r="J479" s="87"/>
      <c r="K479" s="87"/>
      <c r="L479" s="87"/>
      <c r="M479" s="87"/>
      <c r="N479" s="87"/>
      <c r="O479" s="87"/>
      <c r="P479" s="87"/>
      <c r="Q479" s="88"/>
    </row>
    <row r="480" spans="1:17" x14ac:dyDescent="0.3">
      <c r="A480" s="108">
        <v>0</v>
      </c>
      <c r="B480" s="88" t="s">
        <v>12</v>
      </c>
      <c r="C480" s="88"/>
      <c r="D480" s="88" t="s">
        <v>16</v>
      </c>
      <c r="E480" s="88"/>
      <c r="F480" s="87"/>
      <c r="G480" s="87"/>
      <c r="H480" s="87"/>
      <c r="I480" s="87"/>
      <c r="J480" s="87"/>
      <c r="K480" s="87"/>
      <c r="L480" s="87"/>
      <c r="M480" s="87"/>
      <c r="N480" s="87"/>
      <c r="O480" s="87"/>
      <c r="P480" s="87"/>
      <c r="Q480" s="88"/>
    </row>
    <row r="481" spans="1:18" x14ac:dyDescent="0.3">
      <c r="A481" s="108">
        <v>0</v>
      </c>
      <c r="B481" s="88"/>
      <c r="C481" s="88"/>
      <c r="D481" s="88" t="s">
        <v>22</v>
      </c>
      <c r="E481" s="88"/>
      <c r="F481" s="87"/>
      <c r="G481" s="87"/>
      <c r="H481" s="87"/>
      <c r="I481" s="87"/>
      <c r="J481" s="87"/>
      <c r="K481" s="87"/>
      <c r="L481" s="87"/>
      <c r="M481" s="87"/>
      <c r="N481" s="87"/>
      <c r="O481" s="87"/>
      <c r="P481" s="87"/>
      <c r="Q481" s="88"/>
    </row>
    <row r="482" spans="1:18" ht="14.4" customHeight="1" x14ac:dyDescent="0.3">
      <c r="A482" s="108">
        <v>0</v>
      </c>
      <c r="B482" s="88" t="s">
        <v>41</v>
      </c>
      <c r="C482" s="88"/>
      <c r="D482" s="88" t="str">
        <f>D212</f>
        <v>S A M Perera</v>
      </c>
      <c r="E482" s="88"/>
      <c r="F482" s="87"/>
      <c r="G482" s="87"/>
      <c r="H482" s="87"/>
      <c r="I482" s="87"/>
      <c r="J482" s="87"/>
      <c r="K482" s="87"/>
      <c r="L482" s="87"/>
      <c r="M482" s="87"/>
      <c r="N482" s="87" t="s">
        <v>40</v>
      </c>
      <c r="O482" s="87"/>
      <c r="P482" s="87"/>
      <c r="Q482" s="88" t="str">
        <f>Q212</f>
        <v>SAM/CENTRAL/KY/NC/26/DEC/1-A</v>
      </c>
    </row>
    <row r="483" spans="1:18" x14ac:dyDescent="0.3">
      <c r="A483" s="108">
        <v>0</v>
      </c>
      <c r="B483" s="88"/>
      <c r="C483" s="88"/>
      <c r="D483" s="88"/>
      <c r="E483" s="88"/>
      <c r="F483" s="87"/>
      <c r="G483" s="87"/>
      <c r="H483" s="87"/>
      <c r="I483" s="87"/>
      <c r="J483" s="87"/>
      <c r="K483" s="87"/>
      <c r="L483" s="87"/>
      <c r="M483" s="87"/>
      <c r="N483" s="87"/>
      <c r="O483" s="87"/>
      <c r="P483" s="87"/>
      <c r="Q483" s="88"/>
    </row>
    <row r="484" spans="1:18" ht="24.9" customHeight="1" x14ac:dyDescent="0.3">
      <c r="A484" s="108">
        <v>0</v>
      </c>
      <c r="B484" s="140" t="s">
        <v>47</v>
      </c>
      <c r="C484" s="141"/>
      <c r="D484" s="141"/>
      <c r="E484" s="141"/>
      <c r="F484" s="142"/>
      <c r="G484" s="142"/>
      <c r="H484" s="142"/>
      <c r="I484" s="142"/>
      <c r="J484" s="142"/>
      <c r="K484" s="142"/>
      <c r="L484" s="142"/>
      <c r="M484" s="142"/>
      <c r="N484" s="142"/>
      <c r="O484" s="142"/>
      <c r="P484" s="142"/>
      <c r="Q484" s="141"/>
      <c r="R484" s="115"/>
    </row>
    <row r="485" spans="1:18" ht="60.6" customHeight="1" x14ac:dyDescent="0.3">
      <c r="A485" s="108">
        <v>0</v>
      </c>
      <c r="B485" s="143" t="s">
        <v>17</v>
      </c>
      <c r="C485" s="143" t="s">
        <v>18</v>
      </c>
      <c r="D485" s="144" t="s">
        <v>30</v>
      </c>
      <c r="E485" s="145" t="s">
        <v>19</v>
      </c>
      <c r="F485" s="146" t="s">
        <v>23</v>
      </c>
      <c r="G485" s="146" t="s">
        <v>38</v>
      </c>
      <c r="H485" s="146" t="s">
        <v>42</v>
      </c>
      <c r="I485" s="146" t="s">
        <v>43</v>
      </c>
      <c r="J485" s="146" t="s">
        <v>33</v>
      </c>
      <c r="K485" s="146" t="s">
        <v>44</v>
      </c>
      <c r="L485" s="146" t="s">
        <v>53</v>
      </c>
      <c r="M485" s="146" t="s">
        <v>91</v>
      </c>
      <c r="N485" s="146" t="s">
        <v>92</v>
      </c>
      <c r="O485" s="146" t="s">
        <v>34</v>
      </c>
      <c r="P485" s="146" t="s">
        <v>90</v>
      </c>
      <c r="Q485" s="143" t="s">
        <v>39</v>
      </c>
    </row>
    <row r="486" spans="1:18" x14ac:dyDescent="0.3">
      <c r="A486" s="108">
        <v>1</v>
      </c>
      <c r="B486" s="120">
        <v>1</v>
      </c>
      <c r="C486" s="138"/>
      <c r="D486" s="120"/>
      <c r="E486" s="139"/>
      <c r="F486" s="134"/>
      <c r="G486" s="134"/>
      <c r="H486" s="134"/>
      <c r="I486" s="134"/>
      <c r="J486" s="134"/>
      <c r="K486" s="134"/>
      <c r="L486" s="134"/>
      <c r="M486" s="134"/>
      <c r="N486" s="134"/>
      <c r="O486" s="134"/>
      <c r="P486" s="134"/>
      <c r="Q486" s="120"/>
    </row>
    <row r="487" spans="1:18" x14ac:dyDescent="0.3">
      <c r="A487" s="108">
        <v>2</v>
      </c>
      <c r="B487" s="120">
        <v>2</v>
      </c>
      <c r="C487" s="138"/>
      <c r="D487" s="120"/>
      <c r="E487" s="139"/>
      <c r="F487" s="134"/>
      <c r="G487" s="134"/>
      <c r="H487" s="134"/>
      <c r="I487" s="134"/>
      <c r="J487" s="134"/>
      <c r="K487" s="134"/>
      <c r="L487" s="134"/>
      <c r="M487" s="134"/>
      <c r="N487" s="134"/>
      <c r="O487" s="134"/>
      <c r="P487" s="134"/>
      <c r="Q487" s="120"/>
    </row>
    <row r="488" spans="1:18" x14ac:dyDescent="0.3">
      <c r="A488" s="108">
        <v>3</v>
      </c>
      <c r="B488" s="120">
        <v>3</v>
      </c>
      <c r="C488" s="138"/>
      <c r="D488" s="120"/>
      <c r="E488" s="139"/>
      <c r="F488" s="134"/>
      <c r="G488" s="134"/>
      <c r="H488" s="134"/>
      <c r="I488" s="134"/>
      <c r="J488" s="134"/>
      <c r="K488" s="134"/>
      <c r="L488" s="134"/>
      <c r="M488" s="134"/>
      <c r="N488" s="134"/>
      <c r="O488" s="134"/>
      <c r="P488" s="134"/>
      <c r="Q488" s="120"/>
    </row>
    <row r="489" spans="1:18" x14ac:dyDescent="0.3">
      <c r="A489" s="108">
        <v>4</v>
      </c>
      <c r="B489" s="120">
        <v>4</v>
      </c>
      <c r="C489" s="138"/>
      <c r="D489" s="120"/>
      <c r="E489" s="139"/>
      <c r="F489" s="134"/>
      <c r="G489" s="134"/>
      <c r="H489" s="134"/>
      <c r="I489" s="134"/>
      <c r="J489" s="134"/>
      <c r="K489" s="134"/>
      <c r="L489" s="134"/>
      <c r="M489" s="134"/>
      <c r="N489" s="134"/>
      <c r="O489" s="134"/>
      <c r="P489" s="134"/>
      <c r="Q489" s="120"/>
    </row>
    <row r="490" spans="1:18" x14ac:dyDescent="0.3">
      <c r="A490" s="108">
        <v>5</v>
      </c>
      <c r="B490" s="120">
        <v>5</v>
      </c>
      <c r="C490" s="138"/>
      <c r="D490" s="120"/>
      <c r="E490" s="139"/>
      <c r="F490" s="134"/>
      <c r="G490" s="134"/>
      <c r="H490" s="134"/>
      <c r="I490" s="134"/>
      <c r="J490" s="134"/>
      <c r="K490" s="134"/>
      <c r="L490" s="134"/>
      <c r="M490" s="134"/>
      <c r="N490" s="134"/>
      <c r="O490" s="134"/>
      <c r="P490" s="134"/>
      <c r="Q490" s="120"/>
    </row>
    <row r="491" spans="1:18" x14ac:dyDescent="0.3">
      <c r="A491" s="108">
        <v>6</v>
      </c>
      <c r="B491" s="120">
        <v>6</v>
      </c>
      <c r="C491" s="138"/>
      <c r="D491" s="120"/>
      <c r="E491" s="139"/>
      <c r="F491" s="134"/>
      <c r="G491" s="134"/>
      <c r="H491" s="134"/>
      <c r="I491" s="134"/>
      <c r="J491" s="134"/>
      <c r="K491" s="134"/>
      <c r="L491" s="134"/>
      <c r="M491" s="134"/>
      <c r="N491" s="134"/>
      <c r="O491" s="134"/>
      <c r="P491" s="134"/>
      <c r="Q491" s="120"/>
    </row>
    <row r="492" spans="1:18" x14ac:dyDescent="0.3">
      <c r="A492" s="108">
        <v>7</v>
      </c>
      <c r="B492" s="120">
        <v>7</v>
      </c>
      <c r="C492" s="138"/>
      <c r="D492" s="120"/>
      <c r="E492" s="139"/>
      <c r="F492" s="134"/>
      <c r="G492" s="134"/>
      <c r="H492" s="134"/>
      <c r="I492" s="134"/>
      <c r="J492" s="134"/>
      <c r="K492" s="134"/>
      <c r="L492" s="134"/>
      <c r="M492" s="134"/>
      <c r="N492" s="134"/>
      <c r="O492" s="134"/>
      <c r="P492" s="134"/>
      <c r="Q492" s="120"/>
    </row>
    <row r="493" spans="1:18" x14ac:dyDescent="0.3">
      <c r="A493" s="108">
        <v>8</v>
      </c>
      <c r="B493" s="120">
        <v>8</v>
      </c>
      <c r="C493" s="138"/>
      <c r="D493" s="120"/>
      <c r="E493" s="139"/>
      <c r="F493" s="134"/>
      <c r="G493" s="134"/>
      <c r="H493" s="134"/>
      <c r="I493" s="134"/>
      <c r="J493" s="134"/>
      <c r="K493" s="134"/>
      <c r="L493" s="134"/>
      <c r="M493" s="134"/>
      <c r="N493" s="134"/>
      <c r="O493" s="134"/>
      <c r="P493" s="134"/>
      <c r="Q493" s="120"/>
    </row>
    <row r="494" spans="1:18" x14ac:dyDescent="0.3">
      <c r="A494" s="108">
        <v>9</v>
      </c>
      <c r="B494" s="120">
        <v>9</v>
      </c>
      <c r="C494" s="138"/>
      <c r="D494" s="120"/>
      <c r="E494" s="139"/>
      <c r="F494" s="134"/>
      <c r="G494" s="134"/>
      <c r="H494" s="134"/>
      <c r="I494" s="134"/>
      <c r="J494" s="134"/>
      <c r="K494" s="134"/>
      <c r="L494" s="134"/>
      <c r="M494" s="134"/>
      <c r="N494" s="134"/>
      <c r="O494" s="134"/>
      <c r="P494" s="134"/>
      <c r="Q494" s="120"/>
    </row>
    <row r="495" spans="1:18" x14ac:dyDescent="0.3">
      <c r="A495" s="108">
        <v>10</v>
      </c>
      <c r="B495" s="120">
        <v>10</v>
      </c>
      <c r="C495" s="138"/>
      <c r="D495" s="120"/>
      <c r="E495" s="139"/>
      <c r="F495" s="134"/>
      <c r="G495" s="134"/>
      <c r="H495" s="134"/>
      <c r="I495" s="134"/>
      <c r="J495" s="134"/>
      <c r="K495" s="134"/>
      <c r="L495" s="134"/>
      <c r="M495" s="134"/>
      <c r="N495" s="134"/>
      <c r="O495" s="134"/>
      <c r="P495" s="134"/>
      <c r="Q495" s="120"/>
    </row>
    <row r="496" spans="1:18" x14ac:dyDescent="0.3">
      <c r="A496" s="108">
        <v>11</v>
      </c>
      <c r="B496" s="120">
        <v>11</v>
      </c>
      <c r="C496" s="138"/>
      <c r="D496" s="120"/>
      <c r="E496" s="139"/>
      <c r="F496" s="134"/>
      <c r="G496" s="134"/>
      <c r="H496" s="134"/>
      <c r="I496" s="134"/>
      <c r="J496" s="134"/>
      <c r="K496" s="134"/>
      <c r="L496" s="134"/>
      <c r="M496" s="134"/>
      <c r="N496" s="134"/>
      <c r="O496" s="134"/>
      <c r="P496" s="134"/>
      <c r="Q496" s="120"/>
    </row>
    <row r="497" spans="1:17" x14ac:dyDescent="0.3">
      <c r="A497" s="108">
        <v>12</v>
      </c>
      <c r="B497" s="120">
        <v>12</v>
      </c>
      <c r="C497" s="138"/>
      <c r="D497" s="120"/>
      <c r="E497" s="139"/>
      <c r="F497" s="134"/>
      <c r="G497" s="134"/>
      <c r="H497" s="134"/>
      <c r="I497" s="134"/>
      <c r="J497" s="134"/>
      <c r="K497" s="134"/>
      <c r="L497" s="134"/>
      <c r="M497" s="134"/>
      <c r="N497" s="134"/>
      <c r="O497" s="134"/>
      <c r="P497" s="134"/>
      <c r="Q497" s="120"/>
    </row>
    <row r="498" spans="1:17" x14ac:dyDescent="0.3">
      <c r="A498" s="108">
        <v>13</v>
      </c>
      <c r="B498" s="120">
        <v>13</v>
      </c>
      <c r="C498" s="138"/>
      <c r="D498" s="120"/>
      <c r="E498" s="139"/>
      <c r="F498" s="134"/>
      <c r="G498" s="134"/>
      <c r="H498" s="134"/>
      <c r="I498" s="134"/>
      <c r="J498" s="134"/>
      <c r="K498" s="134"/>
      <c r="L498" s="134"/>
      <c r="M498" s="134"/>
      <c r="N498" s="134"/>
      <c r="O498" s="134"/>
      <c r="P498" s="134"/>
      <c r="Q498" s="120"/>
    </row>
    <row r="499" spans="1:17" x14ac:dyDescent="0.3">
      <c r="A499" s="108">
        <v>14</v>
      </c>
      <c r="B499" s="120">
        <v>14</v>
      </c>
      <c r="C499" s="138"/>
      <c r="D499" s="120"/>
      <c r="E499" s="139"/>
      <c r="F499" s="134"/>
      <c r="G499" s="134"/>
      <c r="H499" s="134"/>
      <c r="I499" s="134"/>
      <c r="J499" s="134"/>
      <c r="K499" s="134"/>
      <c r="L499" s="134"/>
      <c r="M499" s="134"/>
      <c r="N499" s="134"/>
      <c r="O499" s="134"/>
      <c r="P499" s="134"/>
      <c r="Q499" s="120"/>
    </row>
    <row r="500" spans="1:17" x14ac:dyDescent="0.3">
      <c r="A500" s="108">
        <v>15</v>
      </c>
      <c r="B500" s="120">
        <v>15</v>
      </c>
      <c r="C500" s="138"/>
      <c r="D500" s="120"/>
      <c r="E500" s="139"/>
      <c r="F500" s="134"/>
      <c r="G500" s="134"/>
      <c r="H500" s="134"/>
      <c r="I500" s="134"/>
      <c r="J500" s="134"/>
      <c r="K500" s="134"/>
      <c r="L500" s="134"/>
      <c r="M500" s="134"/>
      <c r="N500" s="134"/>
      <c r="O500" s="134"/>
      <c r="P500" s="134"/>
      <c r="Q500" s="120"/>
    </row>
    <row r="501" spans="1:17" x14ac:dyDescent="0.3">
      <c r="A501" s="108">
        <v>16</v>
      </c>
      <c r="B501" s="120">
        <v>16</v>
      </c>
      <c r="C501" s="138"/>
      <c r="D501" s="120"/>
      <c r="E501" s="139"/>
      <c r="F501" s="134"/>
      <c r="G501" s="134"/>
      <c r="H501" s="134"/>
      <c r="I501" s="134"/>
      <c r="J501" s="134"/>
      <c r="K501" s="134"/>
      <c r="L501" s="134"/>
      <c r="M501" s="134"/>
      <c r="N501" s="134"/>
      <c r="O501" s="134"/>
      <c r="P501" s="134"/>
      <c r="Q501" s="120"/>
    </row>
    <row r="502" spans="1:17" x14ac:dyDescent="0.3">
      <c r="A502" s="108">
        <v>17</v>
      </c>
      <c r="B502" s="120">
        <v>17</v>
      </c>
      <c r="C502" s="138"/>
      <c r="D502" s="120"/>
      <c r="E502" s="139"/>
      <c r="F502" s="134"/>
      <c r="G502" s="134"/>
      <c r="H502" s="134"/>
      <c r="I502" s="134"/>
      <c r="J502" s="134"/>
      <c r="K502" s="134"/>
      <c r="L502" s="134"/>
      <c r="M502" s="134"/>
      <c r="N502" s="134"/>
      <c r="O502" s="134"/>
      <c r="P502" s="134"/>
      <c r="Q502" s="120"/>
    </row>
    <row r="503" spans="1:17" x14ac:dyDescent="0.3">
      <c r="A503" s="108">
        <v>18</v>
      </c>
      <c r="B503" s="120">
        <v>18</v>
      </c>
      <c r="C503" s="138"/>
      <c r="D503" s="120"/>
      <c r="E503" s="139"/>
      <c r="F503" s="134"/>
      <c r="G503" s="134"/>
      <c r="H503" s="134"/>
      <c r="I503" s="134"/>
      <c r="J503" s="134"/>
      <c r="K503" s="134"/>
      <c r="L503" s="134"/>
      <c r="M503" s="134"/>
      <c r="N503" s="134"/>
      <c r="O503" s="134"/>
      <c r="P503" s="134"/>
      <c r="Q503" s="120"/>
    </row>
    <row r="504" spans="1:17" x14ac:dyDescent="0.3">
      <c r="A504" s="108">
        <v>19</v>
      </c>
      <c r="B504" s="120">
        <v>19</v>
      </c>
      <c r="C504" s="138"/>
      <c r="D504" s="120"/>
      <c r="E504" s="139"/>
      <c r="F504" s="134"/>
      <c r="G504" s="134"/>
      <c r="H504" s="134"/>
      <c r="I504" s="134"/>
      <c r="J504" s="134"/>
      <c r="K504" s="134"/>
      <c r="L504" s="134"/>
      <c r="M504" s="134"/>
      <c r="N504" s="134"/>
      <c r="O504" s="134"/>
      <c r="P504" s="134"/>
      <c r="Q504" s="120"/>
    </row>
    <row r="505" spans="1:17" x14ac:dyDescent="0.3">
      <c r="A505" s="108">
        <v>20</v>
      </c>
      <c r="B505" s="120">
        <v>20</v>
      </c>
      <c r="C505" s="138"/>
      <c r="D505" s="120"/>
      <c r="E505" s="139"/>
      <c r="F505" s="134"/>
      <c r="G505" s="134"/>
      <c r="H505" s="134"/>
      <c r="I505" s="134"/>
      <c r="J505" s="134"/>
      <c r="K505" s="134"/>
      <c r="L505" s="134"/>
      <c r="M505" s="134"/>
      <c r="N505" s="134"/>
      <c r="O505" s="134"/>
      <c r="P505" s="134"/>
      <c r="Q505" s="120"/>
    </row>
    <row r="506" spans="1:17" ht="14.4" thickBot="1" x14ac:dyDescent="0.35">
      <c r="A506" s="108">
        <v>0</v>
      </c>
      <c r="B506" s="129" t="s">
        <v>24</v>
      </c>
      <c r="C506" s="130"/>
      <c r="D506" s="130"/>
      <c r="E506" s="130"/>
      <c r="F506" s="133">
        <f>SUM(F486:F505)</f>
        <v>0</v>
      </c>
      <c r="G506" s="133">
        <f t="shared" ref="G506:P506" si="16">SUM(G486:G505)</f>
        <v>0</v>
      </c>
      <c r="H506" s="133">
        <f t="shared" si="16"/>
        <v>0</v>
      </c>
      <c r="I506" s="133">
        <f t="shared" si="16"/>
        <v>0</v>
      </c>
      <c r="J506" s="133">
        <f t="shared" si="16"/>
        <v>0</v>
      </c>
      <c r="K506" s="133">
        <f t="shared" si="16"/>
        <v>0</v>
      </c>
      <c r="L506" s="133">
        <f t="shared" si="16"/>
        <v>0</v>
      </c>
      <c r="M506" s="133">
        <f t="shared" si="16"/>
        <v>0</v>
      </c>
      <c r="N506" s="133">
        <f t="shared" si="16"/>
        <v>0</v>
      </c>
      <c r="O506" s="133">
        <f t="shared" si="16"/>
        <v>0</v>
      </c>
      <c r="P506" s="133">
        <f t="shared" si="16"/>
        <v>0</v>
      </c>
      <c r="Q506" s="103"/>
    </row>
    <row r="507" spans="1:17" ht="14.4" thickTop="1" x14ac:dyDescent="0.3">
      <c r="A507" s="108">
        <v>0</v>
      </c>
      <c r="B507" s="88"/>
      <c r="C507" s="88"/>
      <c r="D507" s="88"/>
      <c r="E507" s="88"/>
      <c r="F507" s="87"/>
      <c r="G507" s="87"/>
      <c r="H507" s="87"/>
      <c r="I507" s="87"/>
      <c r="J507" s="87"/>
      <c r="K507" s="87"/>
      <c r="L507" s="87"/>
      <c r="M507" s="87"/>
      <c r="N507" s="87"/>
      <c r="O507" s="87"/>
      <c r="P507" s="87"/>
      <c r="Q507" s="88"/>
    </row>
    <row r="508" spans="1:17" x14ac:dyDescent="0.3">
      <c r="A508" s="108">
        <v>0</v>
      </c>
      <c r="B508" s="88"/>
      <c r="C508" s="88"/>
      <c r="D508" s="88"/>
      <c r="E508" s="88"/>
      <c r="F508" s="87"/>
      <c r="G508" s="87"/>
      <c r="H508" s="87"/>
      <c r="I508" s="87"/>
      <c r="J508" s="87"/>
      <c r="K508" s="87"/>
      <c r="L508" s="87"/>
      <c r="M508" s="87"/>
      <c r="N508" s="87"/>
      <c r="O508" s="87"/>
      <c r="P508" s="87"/>
      <c r="Q508" s="88"/>
    </row>
    <row r="509" spans="1:17" x14ac:dyDescent="0.3">
      <c r="A509" s="108">
        <v>0</v>
      </c>
      <c r="B509" s="88" t="s">
        <v>20</v>
      </c>
      <c r="C509" s="88"/>
      <c r="D509" s="88" t="s">
        <v>21</v>
      </c>
      <c r="E509" s="88"/>
      <c r="F509" s="87"/>
      <c r="G509" s="87"/>
      <c r="H509" s="87"/>
      <c r="I509" s="87"/>
      <c r="J509" s="87"/>
      <c r="K509" s="87"/>
      <c r="L509" s="87"/>
      <c r="M509" s="87"/>
      <c r="N509" s="87"/>
      <c r="O509" s="87"/>
      <c r="P509" s="87"/>
      <c r="Q509" s="88"/>
    </row>
    <row r="510" spans="1:17" x14ac:dyDescent="0.3">
      <c r="A510" s="108">
        <v>0</v>
      </c>
      <c r="B510" s="88" t="s">
        <v>12</v>
      </c>
      <c r="C510" s="88"/>
      <c r="D510" s="88" t="s">
        <v>16</v>
      </c>
      <c r="E510" s="88"/>
      <c r="F510" s="87"/>
      <c r="G510" s="87"/>
      <c r="H510" s="87"/>
      <c r="I510" s="87"/>
      <c r="J510" s="87"/>
      <c r="K510" s="87"/>
      <c r="L510" s="87"/>
      <c r="M510" s="87"/>
      <c r="N510" s="87"/>
      <c r="O510" s="87"/>
      <c r="P510" s="87"/>
      <c r="Q510" s="88"/>
    </row>
    <row r="511" spans="1:17" x14ac:dyDescent="0.3">
      <c r="A511" s="108">
        <v>0</v>
      </c>
      <c r="B511" s="88"/>
      <c r="C511" s="88"/>
      <c r="D511" s="88" t="s">
        <v>22</v>
      </c>
      <c r="E511" s="88"/>
      <c r="F511" s="87"/>
      <c r="G511" s="87"/>
      <c r="H511" s="87"/>
      <c r="I511" s="87"/>
      <c r="J511" s="87"/>
      <c r="K511" s="87"/>
      <c r="L511" s="87"/>
      <c r="M511" s="87"/>
      <c r="N511" s="87"/>
      <c r="O511" s="87"/>
      <c r="P511" s="87"/>
      <c r="Q511" s="88"/>
    </row>
    <row r="512" spans="1:17" ht="14.4" customHeight="1" x14ac:dyDescent="0.3">
      <c r="A512" s="108">
        <v>0</v>
      </c>
      <c r="B512" s="88" t="s">
        <v>41</v>
      </c>
      <c r="C512" s="88"/>
      <c r="D512" s="88" t="str">
        <f>D242</f>
        <v>S A M Perera</v>
      </c>
      <c r="E512" s="88"/>
      <c r="F512" s="87"/>
      <c r="G512" s="87"/>
      <c r="H512" s="87"/>
      <c r="I512" s="87"/>
      <c r="J512" s="87"/>
      <c r="K512" s="87"/>
      <c r="L512" s="87"/>
      <c r="M512" s="87"/>
      <c r="N512" s="87" t="s">
        <v>40</v>
      </c>
      <c r="O512" s="87"/>
      <c r="P512" s="87"/>
      <c r="Q512" s="88" t="str">
        <f>Q242</f>
        <v>SAM/CENTRAL/KY/NC/26/DEC/1-A</v>
      </c>
    </row>
    <row r="513" spans="1:18" x14ac:dyDescent="0.3">
      <c r="A513" s="108">
        <v>0</v>
      </c>
      <c r="B513" s="88"/>
      <c r="C513" s="88"/>
      <c r="D513" s="88"/>
      <c r="E513" s="88"/>
      <c r="F513" s="87"/>
      <c r="G513" s="87"/>
      <c r="H513" s="87"/>
      <c r="I513" s="87"/>
      <c r="J513" s="87"/>
      <c r="K513" s="87"/>
      <c r="L513" s="87"/>
      <c r="M513" s="87"/>
      <c r="N513" s="87"/>
      <c r="O513" s="87"/>
      <c r="P513" s="87"/>
      <c r="Q513" s="88"/>
    </row>
    <row r="514" spans="1:18" ht="24.9" customHeight="1" x14ac:dyDescent="0.3">
      <c r="A514" s="108">
        <v>0</v>
      </c>
      <c r="B514" s="140" t="s">
        <v>47</v>
      </c>
      <c r="C514" s="141"/>
      <c r="D514" s="141"/>
      <c r="E514" s="141"/>
      <c r="F514" s="142"/>
      <c r="G514" s="142"/>
      <c r="H514" s="142"/>
      <c r="I514" s="142"/>
      <c r="J514" s="142"/>
      <c r="K514" s="142"/>
      <c r="L514" s="142"/>
      <c r="M514" s="142"/>
      <c r="N514" s="142"/>
      <c r="O514" s="142"/>
      <c r="P514" s="142"/>
      <c r="Q514" s="141"/>
      <c r="R514" s="115"/>
    </row>
    <row r="515" spans="1:18" ht="60.6" customHeight="1" x14ac:dyDescent="0.3">
      <c r="A515" s="108">
        <v>0</v>
      </c>
      <c r="B515" s="143" t="s">
        <v>17</v>
      </c>
      <c r="C515" s="143" t="s">
        <v>18</v>
      </c>
      <c r="D515" s="144" t="s">
        <v>30</v>
      </c>
      <c r="E515" s="145" t="s">
        <v>19</v>
      </c>
      <c r="F515" s="146" t="s">
        <v>23</v>
      </c>
      <c r="G515" s="146" t="s">
        <v>38</v>
      </c>
      <c r="H515" s="146" t="s">
        <v>42</v>
      </c>
      <c r="I515" s="146" t="s">
        <v>43</v>
      </c>
      <c r="J515" s="146" t="s">
        <v>33</v>
      </c>
      <c r="K515" s="146" t="s">
        <v>44</v>
      </c>
      <c r="L515" s="146" t="s">
        <v>53</v>
      </c>
      <c r="M515" s="146" t="s">
        <v>91</v>
      </c>
      <c r="N515" s="146" t="s">
        <v>92</v>
      </c>
      <c r="O515" s="146" t="s">
        <v>34</v>
      </c>
      <c r="P515" s="146" t="s">
        <v>90</v>
      </c>
      <c r="Q515" s="143" t="s">
        <v>39</v>
      </c>
    </row>
    <row r="516" spans="1:18" x14ac:dyDescent="0.3">
      <c r="A516" s="108">
        <v>1</v>
      </c>
      <c r="B516" s="120">
        <v>1</v>
      </c>
      <c r="C516" s="138"/>
      <c r="D516" s="120"/>
      <c r="E516" s="139"/>
      <c r="F516" s="134"/>
      <c r="G516" s="134"/>
      <c r="H516" s="134"/>
      <c r="I516" s="134"/>
      <c r="J516" s="134"/>
      <c r="K516" s="134"/>
      <c r="L516" s="134"/>
      <c r="M516" s="134"/>
      <c r="N516" s="134"/>
      <c r="O516" s="134"/>
      <c r="P516" s="134"/>
      <c r="Q516" s="120"/>
    </row>
    <row r="517" spans="1:18" x14ac:dyDescent="0.3">
      <c r="A517" s="108">
        <v>2</v>
      </c>
      <c r="B517" s="120">
        <v>2</v>
      </c>
      <c r="C517" s="138"/>
      <c r="D517" s="120"/>
      <c r="E517" s="139"/>
      <c r="F517" s="134"/>
      <c r="G517" s="134"/>
      <c r="H517" s="134"/>
      <c r="I517" s="134"/>
      <c r="J517" s="134"/>
      <c r="K517" s="134"/>
      <c r="L517" s="134"/>
      <c r="M517" s="134"/>
      <c r="N517" s="134"/>
      <c r="O517" s="134"/>
      <c r="P517" s="134"/>
      <c r="Q517" s="120"/>
    </row>
    <row r="518" spans="1:18" x14ac:dyDescent="0.3">
      <c r="A518" s="108">
        <v>3</v>
      </c>
      <c r="B518" s="120">
        <v>3</v>
      </c>
      <c r="C518" s="138"/>
      <c r="D518" s="120"/>
      <c r="E518" s="139"/>
      <c r="F518" s="134"/>
      <c r="G518" s="134"/>
      <c r="H518" s="134"/>
      <c r="I518" s="134"/>
      <c r="J518" s="134"/>
      <c r="K518" s="134"/>
      <c r="L518" s="134"/>
      <c r="M518" s="134"/>
      <c r="N518" s="134"/>
      <c r="O518" s="134"/>
      <c r="P518" s="134"/>
      <c r="Q518" s="120"/>
    </row>
    <row r="519" spans="1:18" x14ac:dyDescent="0.3">
      <c r="A519" s="108">
        <v>4</v>
      </c>
      <c r="B519" s="120">
        <v>4</v>
      </c>
      <c r="C519" s="138"/>
      <c r="D519" s="120"/>
      <c r="E519" s="139"/>
      <c r="F519" s="134"/>
      <c r="G519" s="134"/>
      <c r="H519" s="134"/>
      <c r="I519" s="134"/>
      <c r="J519" s="134"/>
      <c r="K519" s="134"/>
      <c r="L519" s="134"/>
      <c r="M519" s="134"/>
      <c r="N519" s="134"/>
      <c r="O519" s="134"/>
      <c r="P519" s="134"/>
      <c r="Q519" s="120"/>
    </row>
    <row r="520" spans="1:18" x14ac:dyDescent="0.3">
      <c r="A520" s="108">
        <v>5</v>
      </c>
      <c r="B520" s="120">
        <v>5</v>
      </c>
      <c r="C520" s="138"/>
      <c r="D520" s="120"/>
      <c r="E520" s="139"/>
      <c r="F520" s="134"/>
      <c r="G520" s="134"/>
      <c r="H520" s="134"/>
      <c r="I520" s="134"/>
      <c r="J520" s="134"/>
      <c r="K520" s="134"/>
      <c r="L520" s="134"/>
      <c r="M520" s="134"/>
      <c r="N520" s="134"/>
      <c r="O520" s="134"/>
      <c r="P520" s="134"/>
      <c r="Q520" s="120"/>
    </row>
    <row r="521" spans="1:18" x14ac:dyDescent="0.3">
      <c r="A521" s="108">
        <v>6</v>
      </c>
      <c r="B521" s="120">
        <v>6</v>
      </c>
      <c r="C521" s="138"/>
      <c r="D521" s="120"/>
      <c r="E521" s="139"/>
      <c r="F521" s="134"/>
      <c r="G521" s="134"/>
      <c r="H521" s="134"/>
      <c r="I521" s="134"/>
      <c r="J521" s="134"/>
      <c r="K521" s="134"/>
      <c r="L521" s="134"/>
      <c r="M521" s="134"/>
      <c r="N521" s="134"/>
      <c r="O521" s="134"/>
      <c r="P521" s="134"/>
      <c r="Q521" s="120"/>
    </row>
    <row r="522" spans="1:18" x14ac:dyDescent="0.3">
      <c r="A522" s="108">
        <v>7</v>
      </c>
      <c r="B522" s="120">
        <v>7</v>
      </c>
      <c r="C522" s="138"/>
      <c r="D522" s="120"/>
      <c r="E522" s="139"/>
      <c r="F522" s="134"/>
      <c r="G522" s="134"/>
      <c r="H522" s="134"/>
      <c r="I522" s="134"/>
      <c r="J522" s="134"/>
      <c r="K522" s="134"/>
      <c r="L522" s="134"/>
      <c r="M522" s="134"/>
      <c r="N522" s="134"/>
      <c r="O522" s="134"/>
      <c r="P522" s="134"/>
      <c r="Q522" s="120"/>
    </row>
    <row r="523" spans="1:18" x14ac:dyDescent="0.3">
      <c r="A523" s="108">
        <v>8</v>
      </c>
      <c r="B523" s="120">
        <v>8</v>
      </c>
      <c r="C523" s="138"/>
      <c r="D523" s="120"/>
      <c r="E523" s="139"/>
      <c r="F523" s="134"/>
      <c r="G523" s="134"/>
      <c r="H523" s="134"/>
      <c r="I523" s="134"/>
      <c r="J523" s="134"/>
      <c r="K523" s="134"/>
      <c r="L523" s="134"/>
      <c r="M523" s="134"/>
      <c r="N523" s="134"/>
      <c r="O523" s="134"/>
      <c r="P523" s="134"/>
      <c r="Q523" s="120"/>
    </row>
    <row r="524" spans="1:18" x14ac:dyDescent="0.3">
      <c r="A524" s="108">
        <v>9</v>
      </c>
      <c r="B524" s="120">
        <v>9</v>
      </c>
      <c r="C524" s="138"/>
      <c r="D524" s="120"/>
      <c r="E524" s="139"/>
      <c r="F524" s="134"/>
      <c r="G524" s="134"/>
      <c r="H524" s="134"/>
      <c r="I524" s="134"/>
      <c r="J524" s="134"/>
      <c r="K524" s="134"/>
      <c r="L524" s="134"/>
      <c r="M524" s="134"/>
      <c r="N524" s="134"/>
      <c r="O524" s="134"/>
      <c r="P524" s="134"/>
      <c r="Q524" s="120"/>
    </row>
    <row r="525" spans="1:18" x14ac:dyDescent="0.3">
      <c r="A525" s="108">
        <v>10</v>
      </c>
      <c r="B525" s="120">
        <v>10</v>
      </c>
      <c r="C525" s="138"/>
      <c r="D525" s="120"/>
      <c r="E525" s="139"/>
      <c r="F525" s="134"/>
      <c r="G525" s="134"/>
      <c r="H525" s="134"/>
      <c r="I525" s="134"/>
      <c r="J525" s="134"/>
      <c r="K525" s="134"/>
      <c r="L525" s="134"/>
      <c r="M525" s="134"/>
      <c r="N525" s="134"/>
      <c r="O525" s="134"/>
      <c r="P525" s="134"/>
      <c r="Q525" s="120"/>
    </row>
    <row r="526" spans="1:18" x14ac:dyDescent="0.3">
      <c r="A526" s="108">
        <v>11</v>
      </c>
      <c r="B526" s="120">
        <v>11</v>
      </c>
      <c r="C526" s="138"/>
      <c r="D526" s="120"/>
      <c r="E526" s="139"/>
      <c r="F526" s="134"/>
      <c r="G526" s="134"/>
      <c r="H526" s="134"/>
      <c r="I526" s="134"/>
      <c r="J526" s="134"/>
      <c r="K526" s="134"/>
      <c r="L526" s="134"/>
      <c r="M526" s="134"/>
      <c r="N526" s="134"/>
      <c r="O526" s="134"/>
      <c r="P526" s="134"/>
      <c r="Q526" s="120"/>
    </row>
    <row r="527" spans="1:18" x14ac:dyDescent="0.3">
      <c r="A527" s="108">
        <v>12</v>
      </c>
      <c r="B527" s="120">
        <v>12</v>
      </c>
      <c r="C527" s="138"/>
      <c r="D527" s="120"/>
      <c r="E527" s="139"/>
      <c r="F527" s="134"/>
      <c r="G527" s="134"/>
      <c r="H527" s="134"/>
      <c r="I527" s="134"/>
      <c r="J527" s="134"/>
      <c r="K527" s="134"/>
      <c r="L527" s="134"/>
      <c r="M527" s="134"/>
      <c r="N527" s="134"/>
      <c r="O527" s="134"/>
      <c r="P527" s="134"/>
      <c r="Q527" s="120"/>
    </row>
    <row r="528" spans="1:18" x14ac:dyDescent="0.3">
      <c r="A528" s="108">
        <v>13</v>
      </c>
      <c r="B528" s="120">
        <v>13</v>
      </c>
      <c r="C528" s="138"/>
      <c r="D528" s="120"/>
      <c r="E528" s="139"/>
      <c r="F528" s="134"/>
      <c r="G528" s="134"/>
      <c r="H528" s="134"/>
      <c r="I528" s="134"/>
      <c r="J528" s="134"/>
      <c r="K528" s="134"/>
      <c r="L528" s="134"/>
      <c r="M528" s="134"/>
      <c r="N528" s="134"/>
      <c r="O528" s="134"/>
      <c r="P528" s="134"/>
      <c r="Q528" s="120"/>
    </row>
    <row r="529" spans="1:18" x14ac:dyDescent="0.3">
      <c r="A529" s="108">
        <v>14</v>
      </c>
      <c r="B529" s="120">
        <v>14</v>
      </c>
      <c r="C529" s="138"/>
      <c r="D529" s="120"/>
      <c r="E529" s="139"/>
      <c r="F529" s="134"/>
      <c r="G529" s="134"/>
      <c r="H529" s="134"/>
      <c r="I529" s="134"/>
      <c r="J529" s="134"/>
      <c r="K529" s="134"/>
      <c r="L529" s="134"/>
      <c r="M529" s="134"/>
      <c r="N529" s="134"/>
      <c r="O529" s="134"/>
      <c r="P529" s="134"/>
      <c r="Q529" s="120"/>
    </row>
    <row r="530" spans="1:18" x14ac:dyDescent="0.3">
      <c r="A530" s="108">
        <v>15</v>
      </c>
      <c r="B530" s="120">
        <v>15</v>
      </c>
      <c r="C530" s="138"/>
      <c r="D530" s="120"/>
      <c r="E530" s="139"/>
      <c r="F530" s="134"/>
      <c r="G530" s="134"/>
      <c r="H530" s="134"/>
      <c r="I530" s="134"/>
      <c r="J530" s="134"/>
      <c r="K530" s="134"/>
      <c r="L530" s="134"/>
      <c r="M530" s="134"/>
      <c r="N530" s="134"/>
      <c r="O530" s="134"/>
      <c r="P530" s="134"/>
      <c r="Q530" s="120"/>
    </row>
    <row r="531" spans="1:18" x14ac:dyDescent="0.3">
      <c r="A531" s="108">
        <v>16</v>
      </c>
      <c r="B531" s="120">
        <v>16</v>
      </c>
      <c r="C531" s="138"/>
      <c r="D531" s="120"/>
      <c r="E531" s="139"/>
      <c r="F531" s="134"/>
      <c r="G531" s="134"/>
      <c r="H531" s="134"/>
      <c r="I531" s="134"/>
      <c r="J531" s="134"/>
      <c r="K531" s="134"/>
      <c r="L531" s="134"/>
      <c r="M531" s="134"/>
      <c r="N531" s="134"/>
      <c r="O531" s="134"/>
      <c r="P531" s="134"/>
      <c r="Q531" s="120"/>
    </row>
    <row r="532" spans="1:18" x14ac:dyDescent="0.3">
      <c r="A532" s="108">
        <v>17</v>
      </c>
      <c r="B532" s="120">
        <v>17</v>
      </c>
      <c r="C532" s="138"/>
      <c r="D532" s="120"/>
      <c r="E532" s="139"/>
      <c r="F532" s="134"/>
      <c r="G532" s="134"/>
      <c r="H532" s="134"/>
      <c r="I532" s="134"/>
      <c r="J532" s="134"/>
      <c r="K532" s="134"/>
      <c r="L532" s="134"/>
      <c r="M532" s="134"/>
      <c r="N532" s="134"/>
      <c r="O532" s="134"/>
      <c r="P532" s="134"/>
      <c r="Q532" s="120"/>
    </row>
    <row r="533" spans="1:18" x14ac:dyDescent="0.3">
      <c r="A533" s="108">
        <v>18</v>
      </c>
      <c r="B533" s="120">
        <v>18</v>
      </c>
      <c r="C533" s="138"/>
      <c r="D533" s="120"/>
      <c r="E533" s="139"/>
      <c r="F533" s="134"/>
      <c r="G533" s="134"/>
      <c r="H533" s="134"/>
      <c r="I533" s="134"/>
      <c r="J533" s="134"/>
      <c r="K533" s="134"/>
      <c r="L533" s="134"/>
      <c r="M533" s="134"/>
      <c r="N533" s="134"/>
      <c r="O533" s="134"/>
      <c r="P533" s="134"/>
      <c r="Q533" s="120"/>
    </row>
    <row r="534" spans="1:18" x14ac:dyDescent="0.3">
      <c r="A534" s="108">
        <v>19</v>
      </c>
      <c r="B534" s="120">
        <v>19</v>
      </c>
      <c r="C534" s="138"/>
      <c r="D534" s="120"/>
      <c r="E534" s="139"/>
      <c r="F534" s="134"/>
      <c r="G534" s="134"/>
      <c r="H534" s="134"/>
      <c r="I534" s="134"/>
      <c r="J534" s="134"/>
      <c r="K534" s="134"/>
      <c r="L534" s="134"/>
      <c r="M534" s="134"/>
      <c r="N534" s="134"/>
      <c r="O534" s="134"/>
      <c r="P534" s="134"/>
      <c r="Q534" s="120"/>
    </row>
    <row r="535" spans="1:18" x14ac:dyDescent="0.3">
      <c r="A535" s="108">
        <v>20</v>
      </c>
      <c r="B535" s="120">
        <v>20</v>
      </c>
      <c r="C535" s="138"/>
      <c r="D535" s="120"/>
      <c r="E535" s="139"/>
      <c r="F535" s="134"/>
      <c r="G535" s="134"/>
      <c r="H535" s="134"/>
      <c r="I535" s="134"/>
      <c r="J535" s="134"/>
      <c r="K535" s="134"/>
      <c r="L535" s="134"/>
      <c r="M535" s="134"/>
      <c r="N535" s="134"/>
      <c r="O535" s="134"/>
      <c r="P535" s="134"/>
      <c r="Q535" s="120"/>
    </row>
    <row r="536" spans="1:18" ht="14.4" thickBot="1" x14ac:dyDescent="0.35">
      <c r="A536" s="108">
        <v>0</v>
      </c>
      <c r="B536" s="129" t="s">
        <v>24</v>
      </c>
      <c r="C536" s="130"/>
      <c r="D536" s="130"/>
      <c r="E536" s="130"/>
      <c r="F536" s="133">
        <f>SUM(F516:F535)</f>
        <v>0</v>
      </c>
      <c r="G536" s="133">
        <f t="shared" ref="G536:P536" si="17">SUM(G516:G535)</f>
        <v>0</v>
      </c>
      <c r="H536" s="133">
        <f t="shared" si="17"/>
        <v>0</v>
      </c>
      <c r="I536" s="133">
        <f t="shared" si="17"/>
        <v>0</v>
      </c>
      <c r="J536" s="133">
        <f t="shared" si="17"/>
        <v>0</v>
      </c>
      <c r="K536" s="133">
        <f t="shared" si="17"/>
        <v>0</v>
      </c>
      <c r="L536" s="133">
        <f t="shared" si="17"/>
        <v>0</v>
      </c>
      <c r="M536" s="133">
        <f t="shared" si="17"/>
        <v>0</v>
      </c>
      <c r="N536" s="133">
        <f t="shared" si="17"/>
        <v>0</v>
      </c>
      <c r="O536" s="133">
        <f t="shared" si="17"/>
        <v>0</v>
      </c>
      <c r="P536" s="133">
        <f t="shared" si="17"/>
        <v>0</v>
      </c>
      <c r="Q536" s="103"/>
    </row>
    <row r="537" spans="1:18" ht="14.4" thickTop="1" x14ac:dyDescent="0.3">
      <c r="A537" s="108">
        <v>0</v>
      </c>
      <c r="B537" s="88"/>
      <c r="C537" s="88"/>
      <c r="D537" s="88"/>
      <c r="E537" s="88"/>
      <c r="F537" s="87"/>
      <c r="G537" s="87"/>
      <c r="H537" s="87"/>
      <c r="I537" s="87"/>
      <c r="J537" s="87"/>
      <c r="K537" s="87"/>
      <c r="L537" s="87"/>
      <c r="M537" s="87"/>
      <c r="N537" s="87"/>
      <c r="O537" s="87"/>
      <c r="P537" s="87"/>
      <c r="Q537" s="88"/>
    </row>
    <row r="538" spans="1:18" x14ac:dyDescent="0.3">
      <c r="A538" s="108">
        <v>0</v>
      </c>
      <c r="B538" s="88"/>
      <c r="C538" s="88"/>
      <c r="D538" s="88"/>
      <c r="E538" s="88"/>
      <c r="F538" s="87"/>
      <c r="G538" s="87"/>
      <c r="H538" s="87"/>
      <c r="I538" s="87"/>
      <c r="J538" s="87"/>
      <c r="K538" s="87"/>
      <c r="L538" s="87"/>
      <c r="M538" s="87"/>
      <c r="N538" s="87"/>
      <c r="O538" s="87"/>
      <c r="P538" s="87"/>
      <c r="Q538" s="88"/>
    </row>
    <row r="539" spans="1:18" x14ac:dyDescent="0.3">
      <c r="A539" s="108">
        <v>0</v>
      </c>
      <c r="B539" s="88" t="s">
        <v>20</v>
      </c>
      <c r="C539" s="88"/>
      <c r="D539" s="88" t="s">
        <v>21</v>
      </c>
      <c r="E539" s="88"/>
      <c r="F539" s="87"/>
      <c r="G539" s="87"/>
      <c r="H539" s="87"/>
      <c r="I539" s="87"/>
      <c r="J539" s="87"/>
      <c r="K539" s="87"/>
      <c r="L539" s="87"/>
      <c r="M539" s="87"/>
      <c r="N539" s="87"/>
      <c r="O539" s="87"/>
      <c r="P539" s="87"/>
      <c r="Q539" s="88"/>
    </row>
    <row r="540" spans="1:18" x14ac:dyDescent="0.3">
      <c r="A540" s="108">
        <v>0</v>
      </c>
      <c r="B540" s="88" t="s">
        <v>12</v>
      </c>
      <c r="C540" s="88"/>
      <c r="D540" s="88" t="s">
        <v>16</v>
      </c>
      <c r="E540" s="88"/>
      <c r="F540" s="87"/>
      <c r="G540" s="87"/>
      <c r="H540" s="87"/>
      <c r="I540" s="87"/>
      <c r="J540" s="87"/>
      <c r="K540" s="87"/>
      <c r="L540" s="87"/>
      <c r="M540" s="87"/>
      <c r="N540" s="87"/>
      <c r="O540" s="87"/>
      <c r="P540" s="87"/>
      <c r="Q540" s="88"/>
    </row>
    <row r="541" spans="1:18" x14ac:dyDescent="0.3">
      <c r="A541" s="108">
        <v>0</v>
      </c>
      <c r="B541" s="88"/>
      <c r="C541" s="88"/>
      <c r="D541" s="88" t="s">
        <v>22</v>
      </c>
      <c r="E541" s="88"/>
      <c r="F541" s="87"/>
      <c r="G541" s="87"/>
      <c r="H541" s="87"/>
      <c r="I541" s="87"/>
      <c r="J541" s="87"/>
      <c r="K541" s="87"/>
      <c r="L541" s="87"/>
      <c r="M541" s="87"/>
      <c r="N541" s="87"/>
      <c r="O541" s="87"/>
      <c r="P541" s="87"/>
      <c r="Q541" s="88"/>
    </row>
    <row r="542" spans="1:18" ht="14.4" customHeight="1" x14ac:dyDescent="0.3">
      <c r="A542" s="108">
        <v>0</v>
      </c>
      <c r="B542" s="88" t="s">
        <v>41</v>
      </c>
      <c r="C542" s="88"/>
      <c r="D542" s="88" t="str">
        <f>D272</f>
        <v>S A M Perera</v>
      </c>
      <c r="E542" s="88"/>
      <c r="F542" s="87"/>
      <c r="G542" s="87"/>
      <c r="H542" s="87"/>
      <c r="I542" s="87"/>
      <c r="J542" s="87"/>
      <c r="K542" s="87"/>
      <c r="L542" s="87"/>
      <c r="M542" s="87"/>
      <c r="N542" s="87" t="s">
        <v>40</v>
      </c>
      <c r="O542" s="87"/>
      <c r="P542" s="87"/>
      <c r="Q542" s="88" t="str">
        <f>Q272</f>
        <v>SAM/CENTRAL/KY/NC/26/DEC/1-A</v>
      </c>
    </row>
    <row r="543" spans="1:18" x14ac:dyDescent="0.3">
      <c r="A543" s="108">
        <v>0</v>
      </c>
      <c r="B543" s="88"/>
      <c r="C543" s="88"/>
      <c r="D543" s="88"/>
      <c r="E543" s="88"/>
      <c r="F543" s="87"/>
      <c r="G543" s="87"/>
      <c r="H543" s="87"/>
      <c r="I543" s="87"/>
      <c r="J543" s="87"/>
      <c r="K543" s="87"/>
      <c r="L543" s="87"/>
      <c r="M543" s="87"/>
      <c r="N543" s="87"/>
      <c r="O543" s="87"/>
      <c r="P543" s="87"/>
      <c r="Q543" s="88"/>
    </row>
    <row r="544" spans="1:18" ht="24.9" customHeight="1" x14ac:dyDescent="0.3">
      <c r="A544" s="108">
        <v>0</v>
      </c>
      <c r="B544" s="140" t="s">
        <v>47</v>
      </c>
      <c r="C544" s="141"/>
      <c r="D544" s="141"/>
      <c r="E544" s="141"/>
      <c r="F544" s="142"/>
      <c r="G544" s="142"/>
      <c r="H544" s="142"/>
      <c r="I544" s="142"/>
      <c r="J544" s="142"/>
      <c r="K544" s="142"/>
      <c r="L544" s="142"/>
      <c r="M544" s="142"/>
      <c r="N544" s="142"/>
      <c r="O544" s="142"/>
      <c r="P544" s="142"/>
      <c r="Q544" s="141"/>
      <c r="R544" s="115"/>
    </row>
    <row r="545" spans="1:17" ht="60.6" customHeight="1" x14ac:dyDescent="0.3">
      <c r="A545" s="108">
        <v>0</v>
      </c>
      <c r="B545" s="143" t="s">
        <v>17</v>
      </c>
      <c r="C545" s="143" t="s">
        <v>18</v>
      </c>
      <c r="D545" s="144" t="s">
        <v>30</v>
      </c>
      <c r="E545" s="145" t="s">
        <v>19</v>
      </c>
      <c r="F545" s="146" t="s">
        <v>23</v>
      </c>
      <c r="G545" s="146" t="s">
        <v>38</v>
      </c>
      <c r="H545" s="146" t="s">
        <v>42</v>
      </c>
      <c r="I545" s="146" t="s">
        <v>43</v>
      </c>
      <c r="J545" s="146" t="s">
        <v>33</v>
      </c>
      <c r="K545" s="146" t="s">
        <v>44</v>
      </c>
      <c r="L545" s="146" t="s">
        <v>53</v>
      </c>
      <c r="M545" s="146" t="s">
        <v>91</v>
      </c>
      <c r="N545" s="146" t="s">
        <v>92</v>
      </c>
      <c r="O545" s="146" t="s">
        <v>34</v>
      </c>
      <c r="P545" s="146" t="s">
        <v>90</v>
      </c>
      <c r="Q545" s="143" t="s">
        <v>39</v>
      </c>
    </row>
    <row r="546" spans="1:17" x14ac:dyDescent="0.3">
      <c r="A546" s="108">
        <v>1</v>
      </c>
      <c r="B546" s="120">
        <v>1</v>
      </c>
      <c r="C546" s="138"/>
      <c r="D546" s="120"/>
      <c r="E546" s="139"/>
      <c r="F546" s="134"/>
      <c r="G546" s="134"/>
      <c r="H546" s="134"/>
      <c r="I546" s="134"/>
      <c r="J546" s="134"/>
      <c r="K546" s="134"/>
      <c r="L546" s="134"/>
      <c r="M546" s="134"/>
      <c r="N546" s="134"/>
      <c r="O546" s="134"/>
      <c r="P546" s="134"/>
      <c r="Q546" s="120"/>
    </row>
    <row r="547" spans="1:17" x14ac:dyDescent="0.3">
      <c r="A547" s="108">
        <v>2</v>
      </c>
      <c r="B547" s="120">
        <v>2</v>
      </c>
      <c r="C547" s="138"/>
      <c r="D547" s="120"/>
      <c r="E547" s="139"/>
      <c r="F547" s="134"/>
      <c r="G547" s="134"/>
      <c r="H547" s="134"/>
      <c r="I547" s="134"/>
      <c r="J547" s="134"/>
      <c r="K547" s="134"/>
      <c r="L547" s="134"/>
      <c r="M547" s="134"/>
      <c r="N547" s="134"/>
      <c r="O547" s="134"/>
      <c r="P547" s="134"/>
      <c r="Q547" s="120"/>
    </row>
    <row r="548" spans="1:17" x14ac:dyDescent="0.3">
      <c r="A548" s="108">
        <v>3</v>
      </c>
      <c r="B548" s="120">
        <v>3</v>
      </c>
      <c r="C548" s="138"/>
      <c r="D548" s="120"/>
      <c r="E548" s="139"/>
      <c r="F548" s="134"/>
      <c r="G548" s="134"/>
      <c r="H548" s="134"/>
      <c r="I548" s="134"/>
      <c r="J548" s="134"/>
      <c r="K548" s="134"/>
      <c r="L548" s="134"/>
      <c r="M548" s="134"/>
      <c r="N548" s="134"/>
      <c r="O548" s="134"/>
      <c r="P548" s="134"/>
      <c r="Q548" s="120"/>
    </row>
    <row r="549" spans="1:17" x14ac:dyDescent="0.3">
      <c r="A549" s="108">
        <v>4</v>
      </c>
      <c r="B549" s="120">
        <v>4</v>
      </c>
      <c r="C549" s="138"/>
      <c r="D549" s="120"/>
      <c r="E549" s="139"/>
      <c r="F549" s="134"/>
      <c r="G549" s="134"/>
      <c r="H549" s="134"/>
      <c r="I549" s="134"/>
      <c r="J549" s="134"/>
      <c r="K549" s="134"/>
      <c r="L549" s="134"/>
      <c r="M549" s="134"/>
      <c r="N549" s="134"/>
      <c r="O549" s="134"/>
      <c r="P549" s="134"/>
      <c r="Q549" s="120"/>
    </row>
    <row r="550" spans="1:17" x14ac:dyDescent="0.3">
      <c r="A550" s="108">
        <v>5</v>
      </c>
      <c r="B550" s="120">
        <v>5</v>
      </c>
      <c r="C550" s="138"/>
      <c r="D550" s="120"/>
      <c r="E550" s="139"/>
      <c r="F550" s="134"/>
      <c r="G550" s="134"/>
      <c r="H550" s="134"/>
      <c r="I550" s="134"/>
      <c r="J550" s="134"/>
      <c r="K550" s="134"/>
      <c r="L550" s="134"/>
      <c r="M550" s="134"/>
      <c r="N550" s="134"/>
      <c r="O550" s="134"/>
      <c r="P550" s="134"/>
      <c r="Q550" s="120"/>
    </row>
    <row r="551" spans="1:17" x14ac:dyDescent="0.3">
      <c r="A551" s="108">
        <v>6</v>
      </c>
      <c r="B551" s="120">
        <v>6</v>
      </c>
      <c r="C551" s="138"/>
      <c r="D551" s="120"/>
      <c r="E551" s="139"/>
      <c r="F551" s="134"/>
      <c r="G551" s="134"/>
      <c r="H551" s="134"/>
      <c r="I551" s="134"/>
      <c r="J551" s="134"/>
      <c r="K551" s="134"/>
      <c r="L551" s="134"/>
      <c r="M551" s="134"/>
      <c r="N551" s="134"/>
      <c r="O551" s="134"/>
      <c r="P551" s="134"/>
      <c r="Q551" s="120"/>
    </row>
    <row r="552" spans="1:17" x14ac:dyDescent="0.3">
      <c r="A552" s="108">
        <v>7</v>
      </c>
      <c r="B552" s="120">
        <v>7</v>
      </c>
      <c r="C552" s="138"/>
      <c r="D552" s="120"/>
      <c r="E552" s="139"/>
      <c r="F552" s="134"/>
      <c r="G552" s="134"/>
      <c r="H552" s="134"/>
      <c r="I552" s="134"/>
      <c r="J552" s="134"/>
      <c r="K552" s="134"/>
      <c r="L552" s="134"/>
      <c r="M552" s="134"/>
      <c r="N552" s="134"/>
      <c r="O552" s="134"/>
      <c r="P552" s="134"/>
      <c r="Q552" s="120"/>
    </row>
    <row r="553" spans="1:17" x14ac:dyDescent="0.3">
      <c r="A553" s="108">
        <v>8</v>
      </c>
      <c r="B553" s="120">
        <v>8</v>
      </c>
      <c r="C553" s="138"/>
      <c r="D553" s="120"/>
      <c r="E553" s="139"/>
      <c r="F553" s="134"/>
      <c r="G553" s="134"/>
      <c r="H553" s="134"/>
      <c r="I553" s="134"/>
      <c r="J553" s="134"/>
      <c r="K553" s="134"/>
      <c r="L553" s="134"/>
      <c r="M553" s="134"/>
      <c r="N553" s="134"/>
      <c r="O553" s="134"/>
      <c r="P553" s="134"/>
      <c r="Q553" s="120"/>
    </row>
    <row r="554" spans="1:17" x14ac:dyDescent="0.3">
      <c r="A554" s="108">
        <v>9</v>
      </c>
      <c r="B554" s="120">
        <v>9</v>
      </c>
      <c r="C554" s="138"/>
      <c r="D554" s="120"/>
      <c r="E554" s="139"/>
      <c r="F554" s="134"/>
      <c r="G554" s="134"/>
      <c r="H554" s="134"/>
      <c r="I554" s="134"/>
      <c r="J554" s="134"/>
      <c r="K554" s="134"/>
      <c r="L554" s="134"/>
      <c r="M554" s="134"/>
      <c r="N554" s="134"/>
      <c r="O554" s="134"/>
      <c r="P554" s="134"/>
      <c r="Q554" s="120"/>
    </row>
    <row r="555" spans="1:17" x14ac:dyDescent="0.3">
      <c r="A555" s="108">
        <v>10</v>
      </c>
      <c r="B555" s="120">
        <v>10</v>
      </c>
      <c r="C555" s="138"/>
      <c r="D555" s="120"/>
      <c r="E555" s="139"/>
      <c r="F555" s="134"/>
      <c r="G555" s="134"/>
      <c r="H555" s="134"/>
      <c r="I555" s="134"/>
      <c r="J555" s="134"/>
      <c r="K555" s="134"/>
      <c r="L555" s="134"/>
      <c r="M555" s="134"/>
      <c r="N555" s="134"/>
      <c r="O555" s="134"/>
      <c r="P555" s="134"/>
      <c r="Q555" s="120"/>
    </row>
    <row r="556" spans="1:17" x14ac:dyDescent="0.3">
      <c r="A556" s="108">
        <v>11</v>
      </c>
      <c r="B556" s="120">
        <v>11</v>
      </c>
      <c r="C556" s="138"/>
      <c r="D556" s="120"/>
      <c r="E556" s="139"/>
      <c r="F556" s="134"/>
      <c r="G556" s="134"/>
      <c r="H556" s="134"/>
      <c r="I556" s="134"/>
      <c r="J556" s="134"/>
      <c r="K556" s="134"/>
      <c r="L556" s="134"/>
      <c r="M556" s="134"/>
      <c r="N556" s="134"/>
      <c r="O556" s="134"/>
      <c r="P556" s="134"/>
      <c r="Q556" s="120"/>
    </row>
    <row r="557" spans="1:17" x14ac:dyDescent="0.3">
      <c r="A557" s="108">
        <v>12</v>
      </c>
      <c r="B557" s="120">
        <v>12</v>
      </c>
      <c r="C557" s="138"/>
      <c r="D557" s="120"/>
      <c r="E557" s="139"/>
      <c r="F557" s="134"/>
      <c r="G557" s="134"/>
      <c r="H557" s="134"/>
      <c r="I557" s="134"/>
      <c r="J557" s="134"/>
      <c r="K557" s="134"/>
      <c r="L557" s="134"/>
      <c r="M557" s="134"/>
      <c r="N557" s="134"/>
      <c r="O557" s="134"/>
      <c r="P557" s="134"/>
      <c r="Q557" s="120"/>
    </row>
    <row r="558" spans="1:17" x14ac:dyDescent="0.3">
      <c r="A558" s="108">
        <v>13</v>
      </c>
      <c r="B558" s="120">
        <v>13</v>
      </c>
      <c r="C558" s="138"/>
      <c r="D558" s="120"/>
      <c r="E558" s="139"/>
      <c r="F558" s="134"/>
      <c r="G558" s="134"/>
      <c r="H558" s="134"/>
      <c r="I558" s="134"/>
      <c r="J558" s="134"/>
      <c r="K558" s="134"/>
      <c r="L558" s="134"/>
      <c r="M558" s="134"/>
      <c r="N558" s="134"/>
      <c r="O558" s="134"/>
      <c r="P558" s="134"/>
      <c r="Q558" s="120"/>
    </row>
    <row r="559" spans="1:17" x14ac:dyDescent="0.3">
      <c r="A559" s="108">
        <v>14</v>
      </c>
      <c r="B559" s="120">
        <v>14</v>
      </c>
      <c r="C559" s="138"/>
      <c r="D559" s="120"/>
      <c r="E559" s="139"/>
      <c r="F559" s="134"/>
      <c r="G559" s="134"/>
      <c r="H559" s="134"/>
      <c r="I559" s="134"/>
      <c r="J559" s="134"/>
      <c r="K559" s="134"/>
      <c r="L559" s="134"/>
      <c r="M559" s="134"/>
      <c r="N559" s="134"/>
      <c r="O559" s="134"/>
      <c r="P559" s="134"/>
      <c r="Q559" s="120"/>
    </row>
    <row r="560" spans="1:17" x14ac:dyDescent="0.3">
      <c r="A560" s="108">
        <v>15</v>
      </c>
      <c r="B560" s="120">
        <v>15</v>
      </c>
      <c r="C560" s="138"/>
      <c r="D560" s="120"/>
      <c r="E560" s="139"/>
      <c r="F560" s="134"/>
      <c r="G560" s="134"/>
      <c r="H560" s="134"/>
      <c r="I560" s="134"/>
      <c r="J560" s="134"/>
      <c r="K560" s="134"/>
      <c r="L560" s="134"/>
      <c r="M560" s="134"/>
      <c r="N560" s="134"/>
      <c r="O560" s="134"/>
      <c r="P560" s="134"/>
      <c r="Q560" s="120"/>
    </row>
    <row r="561" spans="1:18" x14ac:dyDescent="0.3">
      <c r="A561" s="108">
        <v>16</v>
      </c>
      <c r="B561" s="120">
        <v>16</v>
      </c>
      <c r="C561" s="138"/>
      <c r="D561" s="120"/>
      <c r="E561" s="139"/>
      <c r="F561" s="134"/>
      <c r="G561" s="134"/>
      <c r="H561" s="134"/>
      <c r="I561" s="134"/>
      <c r="J561" s="134"/>
      <c r="K561" s="134"/>
      <c r="L561" s="134"/>
      <c r="M561" s="134"/>
      <c r="N561" s="134"/>
      <c r="O561" s="134"/>
      <c r="P561" s="134"/>
      <c r="Q561" s="120"/>
    </row>
    <row r="562" spans="1:18" x14ac:dyDescent="0.3">
      <c r="A562" s="108">
        <v>17</v>
      </c>
      <c r="B562" s="120">
        <v>17</v>
      </c>
      <c r="C562" s="138"/>
      <c r="D562" s="120"/>
      <c r="E562" s="139"/>
      <c r="F562" s="134"/>
      <c r="G562" s="134"/>
      <c r="H562" s="134"/>
      <c r="I562" s="134"/>
      <c r="J562" s="134"/>
      <c r="K562" s="134"/>
      <c r="L562" s="134"/>
      <c r="M562" s="134"/>
      <c r="N562" s="134"/>
      <c r="O562" s="134"/>
      <c r="P562" s="134"/>
      <c r="Q562" s="120"/>
    </row>
    <row r="563" spans="1:18" x14ac:dyDescent="0.3">
      <c r="A563" s="108">
        <v>18</v>
      </c>
      <c r="B563" s="120">
        <v>18</v>
      </c>
      <c r="C563" s="138"/>
      <c r="D563" s="120"/>
      <c r="E563" s="139"/>
      <c r="F563" s="134"/>
      <c r="G563" s="134"/>
      <c r="H563" s="134"/>
      <c r="I563" s="134"/>
      <c r="J563" s="134"/>
      <c r="K563" s="134"/>
      <c r="L563" s="134"/>
      <c r="M563" s="134"/>
      <c r="N563" s="134"/>
      <c r="O563" s="134"/>
      <c r="P563" s="134"/>
      <c r="Q563" s="120"/>
    </row>
    <row r="564" spans="1:18" x14ac:dyDescent="0.3">
      <c r="A564" s="108">
        <v>19</v>
      </c>
      <c r="B564" s="120">
        <v>19</v>
      </c>
      <c r="C564" s="138"/>
      <c r="D564" s="120"/>
      <c r="E564" s="139"/>
      <c r="F564" s="134"/>
      <c r="G564" s="134"/>
      <c r="H564" s="134"/>
      <c r="I564" s="134"/>
      <c r="J564" s="134"/>
      <c r="K564" s="134"/>
      <c r="L564" s="134"/>
      <c r="M564" s="134"/>
      <c r="N564" s="134"/>
      <c r="O564" s="134"/>
      <c r="P564" s="134"/>
      <c r="Q564" s="120"/>
    </row>
    <row r="565" spans="1:18" x14ac:dyDescent="0.3">
      <c r="A565" s="108">
        <v>20</v>
      </c>
      <c r="B565" s="120">
        <v>20</v>
      </c>
      <c r="C565" s="138"/>
      <c r="D565" s="120"/>
      <c r="E565" s="139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20"/>
    </row>
    <row r="566" spans="1:18" ht="14.4" thickBot="1" x14ac:dyDescent="0.35">
      <c r="A566" s="108">
        <v>0</v>
      </c>
      <c r="B566" s="129" t="s">
        <v>24</v>
      </c>
      <c r="C566" s="130"/>
      <c r="D566" s="130"/>
      <c r="E566" s="130"/>
      <c r="F566" s="133">
        <f>SUM(F546:F565)</f>
        <v>0</v>
      </c>
      <c r="G566" s="133">
        <f t="shared" ref="G566:P566" si="18">SUM(G546:G565)</f>
        <v>0</v>
      </c>
      <c r="H566" s="133">
        <f t="shared" si="18"/>
        <v>0</v>
      </c>
      <c r="I566" s="133">
        <f t="shared" si="18"/>
        <v>0</v>
      </c>
      <c r="J566" s="133">
        <f t="shared" si="18"/>
        <v>0</v>
      </c>
      <c r="K566" s="133">
        <f t="shared" si="18"/>
        <v>0</v>
      </c>
      <c r="L566" s="133">
        <f t="shared" si="18"/>
        <v>0</v>
      </c>
      <c r="M566" s="133">
        <f t="shared" si="18"/>
        <v>0</v>
      </c>
      <c r="N566" s="133">
        <f t="shared" si="18"/>
        <v>0</v>
      </c>
      <c r="O566" s="133">
        <f t="shared" si="18"/>
        <v>0</v>
      </c>
      <c r="P566" s="133">
        <f t="shared" si="18"/>
        <v>0</v>
      </c>
      <c r="Q566" s="103"/>
    </row>
    <row r="567" spans="1:18" ht="14.4" thickTop="1" x14ac:dyDescent="0.3">
      <c r="A567" s="108">
        <v>0</v>
      </c>
      <c r="B567" s="88"/>
      <c r="C567" s="88"/>
      <c r="D567" s="88"/>
      <c r="E567" s="88"/>
      <c r="F567" s="87"/>
      <c r="G567" s="87"/>
      <c r="H567" s="87"/>
      <c r="I567" s="87"/>
      <c r="J567" s="87"/>
      <c r="K567" s="87"/>
      <c r="L567" s="87"/>
      <c r="M567" s="87"/>
      <c r="N567" s="87"/>
      <c r="O567" s="87"/>
      <c r="P567" s="87"/>
      <c r="Q567" s="88"/>
    </row>
    <row r="568" spans="1:18" x14ac:dyDescent="0.3">
      <c r="A568" s="108">
        <v>0</v>
      </c>
      <c r="B568" s="88"/>
      <c r="C568" s="88"/>
      <c r="D568" s="88"/>
      <c r="E568" s="88"/>
      <c r="F568" s="87"/>
      <c r="G568" s="87"/>
      <c r="H568" s="87"/>
      <c r="I568" s="87"/>
      <c r="J568" s="87"/>
      <c r="K568" s="87"/>
      <c r="L568" s="87"/>
      <c r="M568" s="87"/>
      <c r="N568" s="87"/>
      <c r="O568" s="87"/>
      <c r="P568" s="87"/>
      <c r="Q568" s="88"/>
    </row>
    <row r="569" spans="1:18" x14ac:dyDescent="0.3">
      <c r="A569" s="108">
        <v>0</v>
      </c>
      <c r="B569" s="88" t="s">
        <v>20</v>
      </c>
      <c r="C569" s="88"/>
      <c r="D569" s="88" t="s">
        <v>21</v>
      </c>
      <c r="E569" s="88"/>
      <c r="F569" s="87"/>
      <c r="G569" s="87"/>
      <c r="H569" s="87"/>
      <c r="I569" s="87"/>
      <c r="J569" s="87"/>
      <c r="K569" s="87"/>
      <c r="L569" s="87"/>
      <c r="M569" s="87"/>
      <c r="N569" s="87"/>
      <c r="O569" s="87"/>
      <c r="P569" s="87"/>
      <c r="Q569" s="88"/>
    </row>
    <row r="570" spans="1:18" x14ac:dyDescent="0.3">
      <c r="A570" s="108">
        <v>0</v>
      </c>
      <c r="B570" s="88" t="s">
        <v>12</v>
      </c>
      <c r="C570" s="88"/>
      <c r="D570" s="88" t="s">
        <v>16</v>
      </c>
      <c r="E570" s="88"/>
      <c r="F570" s="87"/>
      <c r="G570" s="87"/>
      <c r="H570" s="87"/>
      <c r="I570" s="87"/>
      <c r="J570" s="87"/>
      <c r="K570" s="87"/>
      <c r="L570" s="87"/>
      <c r="M570" s="87"/>
      <c r="N570" s="87"/>
      <c r="O570" s="87"/>
      <c r="P570" s="87"/>
      <c r="Q570" s="88"/>
    </row>
    <row r="571" spans="1:18" x14ac:dyDescent="0.3">
      <c r="A571" s="108">
        <v>0</v>
      </c>
      <c r="B571" s="88"/>
      <c r="C571" s="88"/>
      <c r="D571" s="88" t="s">
        <v>22</v>
      </c>
      <c r="E571" s="88"/>
      <c r="F571" s="87"/>
      <c r="G571" s="87"/>
      <c r="H571" s="87"/>
      <c r="I571" s="87"/>
      <c r="J571" s="87"/>
      <c r="K571" s="87"/>
      <c r="L571" s="87"/>
      <c r="M571" s="87"/>
      <c r="N571" s="87"/>
      <c r="O571" s="87"/>
      <c r="P571" s="87"/>
      <c r="Q571" s="88"/>
    </row>
    <row r="572" spans="1:18" ht="14.4" customHeight="1" x14ac:dyDescent="0.3">
      <c r="A572" s="108">
        <v>0</v>
      </c>
      <c r="B572" s="88" t="s">
        <v>41</v>
      </c>
      <c r="C572" s="88"/>
      <c r="D572" s="88" t="str">
        <f>D302</f>
        <v>S A M Perera</v>
      </c>
      <c r="E572" s="88"/>
      <c r="F572" s="87"/>
      <c r="G572" s="87"/>
      <c r="H572" s="87"/>
      <c r="I572" s="87"/>
      <c r="J572" s="87"/>
      <c r="K572" s="87"/>
      <c r="L572" s="87"/>
      <c r="M572" s="87"/>
      <c r="N572" s="87" t="s">
        <v>40</v>
      </c>
      <c r="O572" s="87"/>
      <c r="P572" s="87"/>
      <c r="Q572" s="88" t="str">
        <f>Q302</f>
        <v>SAM/CENTRAL/KY/NC/26/DEC/1-A</v>
      </c>
    </row>
    <row r="573" spans="1:18" x14ac:dyDescent="0.3">
      <c r="A573" s="108">
        <v>0</v>
      </c>
      <c r="B573" s="88"/>
      <c r="C573" s="88"/>
      <c r="D573" s="88"/>
      <c r="E573" s="88"/>
      <c r="F573" s="87"/>
      <c r="G573" s="87"/>
      <c r="H573" s="87"/>
      <c r="I573" s="87"/>
      <c r="J573" s="87"/>
      <c r="K573" s="87"/>
      <c r="L573" s="87"/>
      <c r="M573" s="87"/>
      <c r="N573" s="87"/>
      <c r="O573" s="87"/>
      <c r="P573" s="87"/>
      <c r="Q573" s="88"/>
    </row>
    <row r="574" spans="1:18" ht="24.9" customHeight="1" x14ac:dyDescent="0.3">
      <c r="A574" s="108">
        <v>0</v>
      </c>
      <c r="B574" s="140" t="s">
        <v>47</v>
      </c>
      <c r="C574" s="141"/>
      <c r="D574" s="141"/>
      <c r="E574" s="141"/>
      <c r="F574" s="142"/>
      <c r="G574" s="142"/>
      <c r="H574" s="142"/>
      <c r="I574" s="142"/>
      <c r="J574" s="142"/>
      <c r="K574" s="142"/>
      <c r="L574" s="142"/>
      <c r="M574" s="142"/>
      <c r="N574" s="142"/>
      <c r="O574" s="142"/>
      <c r="P574" s="142"/>
      <c r="Q574" s="141"/>
      <c r="R574" s="115"/>
    </row>
    <row r="575" spans="1:18" ht="60.6" customHeight="1" x14ac:dyDescent="0.3">
      <c r="A575" s="108">
        <v>0</v>
      </c>
      <c r="B575" s="143" t="s">
        <v>17</v>
      </c>
      <c r="C575" s="143" t="s">
        <v>18</v>
      </c>
      <c r="D575" s="144" t="s">
        <v>30</v>
      </c>
      <c r="E575" s="145" t="s">
        <v>19</v>
      </c>
      <c r="F575" s="146" t="s">
        <v>23</v>
      </c>
      <c r="G575" s="146" t="s">
        <v>38</v>
      </c>
      <c r="H575" s="146" t="s">
        <v>42</v>
      </c>
      <c r="I575" s="146" t="s">
        <v>43</v>
      </c>
      <c r="J575" s="146" t="s">
        <v>33</v>
      </c>
      <c r="K575" s="146" t="s">
        <v>44</v>
      </c>
      <c r="L575" s="146" t="s">
        <v>53</v>
      </c>
      <c r="M575" s="146" t="s">
        <v>91</v>
      </c>
      <c r="N575" s="146" t="s">
        <v>92</v>
      </c>
      <c r="O575" s="146" t="s">
        <v>34</v>
      </c>
      <c r="P575" s="146" t="s">
        <v>90</v>
      </c>
      <c r="Q575" s="143" t="s">
        <v>39</v>
      </c>
    </row>
    <row r="576" spans="1:18" x14ac:dyDescent="0.3">
      <c r="A576" s="108">
        <v>1</v>
      </c>
      <c r="B576" s="120">
        <v>1</v>
      </c>
      <c r="C576" s="138"/>
      <c r="D576" s="120"/>
      <c r="E576" s="139"/>
      <c r="F576" s="134"/>
      <c r="G576" s="134"/>
      <c r="H576" s="134"/>
      <c r="I576" s="134"/>
      <c r="J576" s="134"/>
      <c r="K576" s="134"/>
      <c r="L576" s="134"/>
      <c r="M576" s="134"/>
      <c r="N576" s="134"/>
      <c r="O576" s="134"/>
      <c r="P576" s="134"/>
      <c r="Q576" s="120"/>
    </row>
    <row r="577" spans="1:17" x14ac:dyDescent="0.3">
      <c r="A577" s="108">
        <v>2</v>
      </c>
      <c r="B577" s="120">
        <v>2</v>
      </c>
      <c r="C577" s="138"/>
      <c r="D577" s="120"/>
      <c r="E577" s="139"/>
      <c r="F577" s="134"/>
      <c r="G577" s="134"/>
      <c r="H577" s="134"/>
      <c r="I577" s="134"/>
      <c r="J577" s="134"/>
      <c r="K577" s="134"/>
      <c r="L577" s="134"/>
      <c r="M577" s="134"/>
      <c r="N577" s="134"/>
      <c r="O577" s="134"/>
      <c r="P577" s="134"/>
      <c r="Q577" s="120"/>
    </row>
    <row r="578" spans="1:17" x14ac:dyDescent="0.3">
      <c r="A578" s="108">
        <v>3</v>
      </c>
      <c r="B578" s="120">
        <v>3</v>
      </c>
      <c r="C578" s="138"/>
      <c r="D578" s="120"/>
      <c r="E578" s="139"/>
      <c r="F578" s="134"/>
      <c r="G578" s="134"/>
      <c r="H578" s="134"/>
      <c r="I578" s="134"/>
      <c r="J578" s="134"/>
      <c r="K578" s="134"/>
      <c r="L578" s="134"/>
      <c r="M578" s="134"/>
      <c r="N578" s="134"/>
      <c r="O578" s="134"/>
      <c r="P578" s="134"/>
      <c r="Q578" s="120"/>
    </row>
    <row r="579" spans="1:17" x14ac:dyDescent="0.3">
      <c r="A579" s="108">
        <v>4</v>
      </c>
      <c r="B579" s="120">
        <v>4</v>
      </c>
      <c r="C579" s="138"/>
      <c r="D579" s="120"/>
      <c r="E579" s="139"/>
      <c r="F579" s="134"/>
      <c r="G579" s="134"/>
      <c r="H579" s="134"/>
      <c r="I579" s="134"/>
      <c r="J579" s="134"/>
      <c r="K579" s="134"/>
      <c r="L579" s="134"/>
      <c r="M579" s="134"/>
      <c r="N579" s="134"/>
      <c r="O579" s="134"/>
      <c r="P579" s="134"/>
      <c r="Q579" s="120"/>
    </row>
    <row r="580" spans="1:17" x14ac:dyDescent="0.3">
      <c r="A580" s="108">
        <v>5</v>
      </c>
      <c r="B580" s="120">
        <v>5</v>
      </c>
      <c r="C580" s="138"/>
      <c r="D580" s="120"/>
      <c r="E580" s="139"/>
      <c r="F580" s="134"/>
      <c r="G580" s="134"/>
      <c r="H580" s="134"/>
      <c r="I580" s="134"/>
      <c r="J580" s="134"/>
      <c r="K580" s="134"/>
      <c r="L580" s="134"/>
      <c r="M580" s="134"/>
      <c r="N580" s="134"/>
      <c r="O580" s="134"/>
      <c r="P580" s="134"/>
      <c r="Q580" s="120"/>
    </row>
    <row r="581" spans="1:17" x14ac:dyDescent="0.3">
      <c r="A581" s="108">
        <v>6</v>
      </c>
      <c r="B581" s="120">
        <v>6</v>
      </c>
      <c r="C581" s="138"/>
      <c r="D581" s="120"/>
      <c r="E581" s="139"/>
      <c r="F581" s="134"/>
      <c r="G581" s="134"/>
      <c r="H581" s="134"/>
      <c r="I581" s="134"/>
      <c r="J581" s="134"/>
      <c r="K581" s="134"/>
      <c r="L581" s="134"/>
      <c r="M581" s="134"/>
      <c r="N581" s="134"/>
      <c r="O581" s="134"/>
      <c r="P581" s="134"/>
      <c r="Q581" s="120"/>
    </row>
    <row r="582" spans="1:17" x14ac:dyDescent="0.3">
      <c r="A582" s="108">
        <v>7</v>
      </c>
      <c r="B582" s="120">
        <v>7</v>
      </c>
      <c r="C582" s="138"/>
      <c r="D582" s="120"/>
      <c r="E582" s="139"/>
      <c r="F582" s="134"/>
      <c r="G582" s="134"/>
      <c r="H582" s="134"/>
      <c r="I582" s="134"/>
      <c r="J582" s="134"/>
      <c r="K582" s="134"/>
      <c r="L582" s="134"/>
      <c r="M582" s="134"/>
      <c r="N582" s="134"/>
      <c r="O582" s="134"/>
      <c r="P582" s="134"/>
      <c r="Q582" s="120"/>
    </row>
    <row r="583" spans="1:17" x14ac:dyDescent="0.3">
      <c r="A583" s="108">
        <v>8</v>
      </c>
      <c r="B583" s="120">
        <v>8</v>
      </c>
      <c r="C583" s="138"/>
      <c r="D583" s="120"/>
      <c r="E583" s="139"/>
      <c r="F583" s="134"/>
      <c r="G583" s="134"/>
      <c r="H583" s="134"/>
      <c r="I583" s="134"/>
      <c r="J583" s="134"/>
      <c r="K583" s="134"/>
      <c r="L583" s="134"/>
      <c r="M583" s="134"/>
      <c r="N583" s="134"/>
      <c r="O583" s="134"/>
      <c r="P583" s="134"/>
      <c r="Q583" s="120"/>
    </row>
    <row r="584" spans="1:17" x14ac:dyDescent="0.3">
      <c r="A584" s="108">
        <v>9</v>
      </c>
      <c r="B584" s="120">
        <v>9</v>
      </c>
      <c r="C584" s="138"/>
      <c r="D584" s="120"/>
      <c r="E584" s="139"/>
      <c r="F584" s="134"/>
      <c r="G584" s="134"/>
      <c r="H584" s="134"/>
      <c r="I584" s="134"/>
      <c r="J584" s="134"/>
      <c r="K584" s="134"/>
      <c r="L584" s="134"/>
      <c r="M584" s="134"/>
      <c r="N584" s="134"/>
      <c r="O584" s="134"/>
      <c r="P584" s="134"/>
      <c r="Q584" s="120"/>
    </row>
    <row r="585" spans="1:17" x14ac:dyDescent="0.3">
      <c r="A585" s="108">
        <v>10</v>
      </c>
      <c r="B585" s="120">
        <v>10</v>
      </c>
      <c r="C585" s="138"/>
      <c r="D585" s="120"/>
      <c r="E585" s="139"/>
      <c r="F585" s="134"/>
      <c r="G585" s="134"/>
      <c r="H585" s="134"/>
      <c r="I585" s="134"/>
      <c r="J585" s="134"/>
      <c r="K585" s="134"/>
      <c r="L585" s="134"/>
      <c r="M585" s="134"/>
      <c r="N585" s="134"/>
      <c r="O585" s="134"/>
      <c r="P585" s="134"/>
      <c r="Q585" s="120"/>
    </row>
    <row r="586" spans="1:17" x14ac:dyDescent="0.3">
      <c r="A586" s="108">
        <v>11</v>
      </c>
      <c r="B586" s="120">
        <v>11</v>
      </c>
      <c r="C586" s="138"/>
      <c r="D586" s="120"/>
      <c r="E586" s="139"/>
      <c r="F586" s="134"/>
      <c r="G586" s="134"/>
      <c r="H586" s="134"/>
      <c r="I586" s="134"/>
      <c r="J586" s="134"/>
      <c r="K586" s="134"/>
      <c r="L586" s="134"/>
      <c r="M586" s="134"/>
      <c r="N586" s="134"/>
      <c r="O586" s="134"/>
      <c r="P586" s="134"/>
      <c r="Q586" s="120"/>
    </row>
    <row r="587" spans="1:17" x14ac:dyDescent="0.3">
      <c r="A587" s="108">
        <v>12</v>
      </c>
      <c r="B587" s="120">
        <v>12</v>
      </c>
      <c r="C587" s="138"/>
      <c r="D587" s="120"/>
      <c r="E587" s="139"/>
      <c r="F587" s="134"/>
      <c r="G587" s="134"/>
      <c r="H587" s="134"/>
      <c r="I587" s="134"/>
      <c r="J587" s="134"/>
      <c r="K587" s="134"/>
      <c r="L587" s="134"/>
      <c r="M587" s="134"/>
      <c r="N587" s="134"/>
      <c r="O587" s="134"/>
      <c r="P587" s="134"/>
      <c r="Q587" s="120"/>
    </row>
    <row r="588" spans="1:17" x14ac:dyDescent="0.3">
      <c r="A588" s="108">
        <v>13</v>
      </c>
      <c r="B588" s="120">
        <v>13</v>
      </c>
      <c r="C588" s="138"/>
      <c r="D588" s="120"/>
      <c r="E588" s="139"/>
      <c r="F588" s="134"/>
      <c r="G588" s="134"/>
      <c r="H588" s="134"/>
      <c r="I588" s="134"/>
      <c r="J588" s="134"/>
      <c r="K588" s="134"/>
      <c r="L588" s="134"/>
      <c r="M588" s="134"/>
      <c r="N588" s="134"/>
      <c r="O588" s="134"/>
      <c r="P588" s="134"/>
      <c r="Q588" s="120"/>
    </row>
    <row r="589" spans="1:17" x14ac:dyDescent="0.3">
      <c r="A589" s="108">
        <v>14</v>
      </c>
      <c r="B589" s="120">
        <v>14</v>
      </c>
      <c r="C589" s="138"/>
      <c r="D589" s="120"/>
      <c r="E589" s="139"/>
      <c r="F589" s="134"/>
      <c r="G589" s="134"/>
      <c r="H589" s="134"/>
      <c r="I589" s="134"/>
      <c r="J589" s="134"/>
      <c r="K589" s="134"/>
      <c r="L589" s="134"/>
      <c r="M589" s="134"/>
      <c r="N589" s="134"/>
      <c r="O589" s="134"/>
      <c r="P589" s="134"/>
      <c r="Q589" s="120"/>
    </row>
    <row r="590" spans="1:17" x14ac:dyDescent="0.3">
      <c r="A590" s="108">
        <v>15</v>
      </c>
      <c r="B590" s="120">
        <v>15</v>
      </c>
      <c r="C590" s="138"/>
      <c r="D590" s="120"/>
      <c r="E590" s="139"/>
      <c r="F590" s="134"/>
      <c r="G590" s="134"/>
      <c r="H590" s="134"/>
      <c r="I590" s="134"/>
      <c r="J590" s="134"/>
      <c r="K590" s="134"/>
      <c r="L590" s="134"/>
      <c r="M590" s="134"/>
      <c r="N590" s="134"/>
      <c r="O590" s="134"/>
      <c r="P590" s="134"/>
      <c r="Q590" s="120"/>
    </row>
    <row r="591" spans="1:17" x14ac:dyDescent="0.3">
      <c r="A591" s="108">
        <v>16</v>
      </c>
      <c r="B591" s="120">
        <v>16</v>
      </c>
      <c r="C591" s="138"/>
      <c r="D591" s="120"/>
      <c r="E591" s="139"/>
      <c r="F591" s="134"/>
      <c r="G591" s="134"/>
      <c r="H591" s="134"/>
      <c r="I591" s="134"/>
      <c r="J591" s="134"/>
      <c r="K591" s="134"/>
      <c r="L591" s="134"/>
      <c r="M591" s="134"/>
      <c r="N591" s="134"/>
      <c r="O591" s="134"/>
      <c r="P591" s="134"/>
      <c r="Q591" s="120"/>
    </row>
    <row r="592" spans="1:17" x14ac:dyDescent="0.3">
      <c r="A592" s="108">
        <v>17</v>
      </c>
      <c r="B592" s="120">
        <v>17</v>
      </c>
      <c r="C592" s="138"/>
      <c r="D592" s="120"/>
      <c r="E592" s="139"/>
      <c r="F592" s="134"/>
      <c r="G592" s="134"/>
      <c r="H592" s="134"/>
      <c r="I592" s="134"/>
      <c r="J592" s="134"/>
      <c r="K592" s="134"/>
      <c r="L592" s="134"/>
      <c r="M592" s="134"/>
      <c r="N592" s="134"/>
      <c r="O592" s="134"/>
      <c r="P592" s="134"/>
      <c r="Q592" s="120"/>
    </row>
    <row r="593" spans="1:17" x14ac:dyDescent="0.3">
      <c r="A593" s="108">
        <v>18</v>
      </c>
      <c r="B593" s="120">
        <v>18</v>
      </c>
      <c r="C593" s="138"/>
      <c r="D593" s="120"/>
      <c r="E593" s="139"/>
      <c r="F593" s="134"/>
      <c r="G593" s="134"/>
      <c r="H593" s="134"/>
      <c r="I593" s="134"/>
      <c r="J593" s="134"/>
      <c r="K593" s="134"/>
      <c r="L593" s="134"/>
      <c r="M593" s="134"/>
      <c r="N593" s="134"/>
      <c r="O593" s="134"/>
      <c r="P593" s="134"/>
      <c r="Q593" s="120"/>
    </row>
    <row r="594" spans="1:17" x14ac:dyDescent="0.3">
      <c r="A594" s="108">
        <v>19</v>
      </c>
      <c r="B594" s="120">
        <v>19</v>
      </c>
      <c r="C594" s="138"/>
      <c r="D594" s="120"/>
      <c r="E594" s="139"/>
      <c r="F594" s="134"/>
      <c r="G594" s="134"/>
      <c r="H594" s="134"/>
      <c r="I594" s="134"/>
      <c r="J594" s="134"/>
      <c r="K594" s="134"/>
      <c r="L594" s="134"/>
      <c r="M594" s="134"/>
      <c r="N594" s="134"/>
      <c r="O594" s="134"/>
      <c r="P594" s="134"/>
      <c r="Q594" s="120"/>
    </row>
    <row r="595" spans="1:17" x14ac:dyDescent="0.3">
      <c r="A595" s="108">
        <v>20</v>
      </c>
      <c r="B595" s="120">
        <v>20</v>
      </c>
      <c r="C595" s="138"/>
      <c r="D595" s="120"/>
      <c r="E595" s="139"/>
      <c r="F595" s="134"/>
      <c r="G595" s="134"/>
      <c r="H595" s="134"/>
      <c r="I595" s="134"/>
      <c r="J595" s="134"/>
      <c r="K595" s="134"/>
      <c r="L595" s="134"/>
      <c r="M595" s="134"/>
      <c r="N595" s="134"/>
      <c r="O595" s="134"/>
      <c r="P595" s="134"/>
      <c r="Q595" s="120"/>
    </row>
    <row r="596" spans="1:17" ht="14.4" thickBot="1" x14ac:dyDescent="0.35">
      <c r="A596" s="108">
        <v>0</v>
      </c>
      <c r="B596" s="129" t="s">
        <v>24</v>
      </c>
      <c r="C596" s="130"/>
      <c r="D596" s="130"/>
      <c r="E596" s="130"/>
      <c r="F596" s="133">
        <f>SUM(F576:F595)</f>
        <v>0</v>
      </c>
      <c r="G596" s="133">
        <f t="shared" ref="G596:P596" si="19">SUM(G576:G595)</f>
        <v>0</v>
      </c>
      <c r="H596" s="133">
        <f t="shared" si="19"/>
        <v>0</v>
      </c>
      <c r="I596" s="133">
        <f t="shared" si="19"/>
        <v>0</v>
      </c>
      <c r="J596" s="133">
        <f t="shared" si="19"/>
        <v>0</v>
      </c>
      <c r="K596" s="133">
        <f t="shared" si="19"/>
        <v>0</v>
      </c>
      <c r="L596" s="133">
        <f t="shared" si="19"/>
        <v>0</v>
      </c>
      <c r="M596" s="133">
        <f t="shared" si="19"/>
        <v>0</v>
      </c>
      <c r="N596" s="133">
        <f t="shared" si="19"/>
        <v>0</v>
      </c>
      <c r="O596" s="133">
        <f t="shared" si="19"/>
        <v>0</v>
      </c>
      <c r="P596" s="133">
        <f t="shared" si="19"/>
        <v>0</v>
      </c>
      <c r="Q596" s="103"/>
    </row>
    <row r="597" spans="1:17" ht="14.4" thickTop="1" x14ac:dyDescent="0.3">
      <c r="A597" s="108">
        <v>0</v>
      </c>
      <c r="B597" s="88"/>
      <c r="C597" s="88"/>
      <c r="D597" s="88"/>
      <c r="E597" s="88"/>
      <c r="F597" s="87"/>
      <c r="G597" s="87"/>
      <c r="H597" s="87"/>
      <c r="I597" s="87"/>
      <c r="J597" s="87"/>
      <c r="K597" s="87"/>
      <c r="L597" s="87"/>
      <c r="M597" s="87"/>
      <c r="N597" s="87"/>
      <c r="O597" s="87"/>
      <c r="P597" s="87"/>
      <c r="Q597" s="88"/>
    </row>
    <row r="598" spans="1:17" x14ac:dyDescent="0.3">
      <c r="A598" s="108">
        <v>0</v>
      </c>
      <c r="B598" s="88"/>
      <c r="C598" s="88"/>
      <c r="D598" s="88"/>
      <c r="E598" s="88"/>
      <c r="F598" s="87"/>
      <c r="G598" s="87"/>
      <c r="H598" s="87"/>
      <c r="I598" s="87"/>
      <c r="J598" s="87"/>
      <c r="K598" s="87"/>
      <c r="L598" s="87"/>
      <c r="M598" s="87"/>
      <c r="N598" s="87"/>
      <c r="O598" s="87"/>
      <c r="P598" s="87"/>
      <c r="Q598" s="88"/>
    </row>
    <row r="599" spans="1:17" x14ac:dyDescent="0.3">
      <c r="A599" s="108">
        <v>0</v>
      </c>
      <c r="B599" s="88" t="s">
        <v>20</v>
      </c>
      <c r="C599" s="88"/>
      <c r="D599" s="88" t="s">
        <v>21</v>
      </c>
      <c r="E599" s="88"/>
      <c r="F599" s="87"/>
      <c r="G599" s="87"/>
      <c r="H599" s="87"/>
      <c r="I599" s="87"/>
      <c r="J599" s="87"/>
      <c r="K599" s="87"/>
      <c r="L599" s="87"/>
      <c r="M599" s="87"/>
      <c r="N599" s="87"/>
      <c r="O599" s="87"/>
      <c r="P599" s="87"/>
      <c r="Q599" s="88"/>
    </row>
    <row r="600" spans="1:17" x14ac:dyDescent="0.3">
      <c r="A600" s="108">
        <v>0</v>
      </c>
      <c r="B600" s="88" t="s">
        <v>12</v>
      </c>
      <c r="C600" s="88"/>
      <c r="D600" s="88" t="s">
        <v>16</v>
      </c>
      <c r="E600" s="88"/>
      <c r="F600" s="87"/>
      <c r="G600" s="87"/>
      <c r="H600" s="87"/>
      <c r="I600" s="87"/>
      <c r="J600" s="87"/>
      <c r="K600" s="87"/>
      <c r="L600" s="87"/>
      <c r="M600" s="87"/>
      <c r="N600" s="87"/>
      <c r="O600" s="87"/>
      <c r="P600" s="87"/>
      <c r="Q600" s="88"/>
    </row>
    <row r="601" spans="1:17" x14ac:dyDescent="0.3">
      <c r="A601" s="108">
        <v>0</v>
      </c>
      <c r="B601" s="88"/>
      <c r="C601" s="88"/>
      <c r="D601" s="88" t="s">
        <v>22</v>
      </c>
      <c r="E601" s="88"/>
      <c r="F601" s="87"/>
      <c r="G601" s="87"/>
      <c r="H601" s="87"/>
      <c r="I601" s="87"/>
      <c r="J601" s="87"/>
      <c r="K601" s="87"/>
      <c r="L601" s="87"/>
      <c r="M601" s="87"/>
      <c r="N601" s="87"/>
      <c r="O601" s="87"/>
      <c r="P601" s="87"/>
      <c r="Q601" s="88"/>
    </row>
    <row r="603" spans="1:17" ht="14.4" thickBot="1" x14ac:dyDescent="0.35"/>
    <row r="604" spans="1:17" ht="23.4" customHeight="1" thickBot="1" x14ac:dyDescent="0.45">
      <c r="C604" s="237" t="s">
        <v>134</v>
      </c>
      <c r="D604" s="238"/>
      <c r="E604" s="239"/>
      <c r="F604" s="147">
        <f t="shared" ref="F604:P604" si="20">SUM(F5:F24,F35:F54,F66:F85,F96:F115,F126:F145,F156:F175,F186:F205,F216:F235,F246:F265,F276:F295,F306:F325,F336:F355,F366:F385,F396:F415,F426:F445,F456:F475,F486:F505,F516:F535,F546:F565,F576:F595)</f>
        <v>0</v>
      </c>
      <c r="G604" s="148">
        <f t="shared" si="20"/>
        <v>0</v>
      </c>
      <c r="H604" s="148">
        <f t="shared" si="20"/>
        <v>0</v>
      </c>
      <c r="I604" s="148">
        <f t="shared" si="20"/>
        <v>0</v>
      </c>
      <c r="J604" s="148">
        <f t="shared" si="20"/>
        <v>0</v>
      </c>
      <c r="K604" s="148">
        <f t="shared" si="20"/>
        <v>0</v>
      </c>
      <c r="L604" s="148">
        <f t="shared" si="20"/>
        <v>0</v>
      </c>
      <c r="M604" s="148">
        <f t="shared" si="20"/>
        <v>0</v>
      </c>
      <c r="N604" s="148">
        <f t="shared" si="20"/>
        <v>0</v>
      </c>
      <c r="O604" s="148">
        <f t="shared" si="20"/>
        <v>0</v>
      </c>
      <c r="P604" s="148">
        <f t="shared" si="20"/>
        <v>0</v>
      </c>
    </row>
  </sheetData>
  <mergeCells count="4">
    <mergeCell ref="B3:Q3"/>
    <mergeCell ref="B33:Q33"/>
    <mergeCell ref="B64:Q64"/>
    <mergeCell ref="C604:E604"/>
  </mergeCells>
  <conditionalFormatting sqref="C51:C53">
    <cfRule type="duplicateValues" dxfId="70" priority="9"/>
    <cfRule type="duplicateValues" dxfId="69" priority="10"/>
    <cfRule type="duplicateValues" dxfId="68" priority="11"/>
    <cfRule type="duplicateValues" dxfId="67" priority="12"/>
  </conditionalFormatting>
  <conditionalFormatting sqref="C54">
    <cfRule type="duplicateValues" dxfId="66" priority="5"/>
    <cfRule type="duplicateValues" dxfId="65" priority="6"/>
    <cfRule type="duplicateValues" dxfId="64" priority="7"/>
    <cfRule type="duplicateValues" dxfId="63" priority="8"/>
  </conditionalFormatting>
  <conditionalFormatting sqref="C66:C67">
    <cfRule type="duplicateValues" dxfId="62" priority="60"/>
    <cfRule type="duplicateValues" dxfId="61" priority="61"/>
    <cfRule type="duplicateValues" dxfId="60" priority="62"/>
    <cfRule type="duplicateValues" dxfId="59" priority="63"/>
  </conditionalFormatting>
  <conditionalFormatting sqref="C68">
    <cfRule type="duplicateValues" dxfId="58" priority="56"/>
    <cfRule type="duplicateValues" dxfId="57" priority="57"/>
    <cfRule type="duplicateValues" dxfId="56" priority="58"/>
    <cfRule type="duplicateValues" dxfId="55" priority="59"/>
  </conditionalFormatting>
  <dataValidations count="1">
    <dataValidation type="custom" allowBlank="1" showDropDown="1" showErrorMessage="1" sqref="E66:E70 E35:E54" xr:uid="{B4927468-01F2-41A4-ACCF-0DA9B8C00183}">
      <formula1>OR(NOT(ISERROR(DATEVALUE(E35))), AND(ISNUMBER(E35), LEFT(CELL("format", E35))="D"))</formula1>
    </dataValidation>
  </dataValidations>
  <pageMargins left="0.25" right="0.25" top="0.75" bottom="0.75" header="0.3" footer="0.3"/>
  <pageSetup paperSize="9" scale="96" orientation="landscape" r:id="rId1"/>
  <rowBreaks count="19" manualBreakCount="19">
    <brk id="30" min="1" max="16" man="1"/>
    <brk id="61" min="1" max="16" man="1"/>
    <brk id="91" min="1" max="16" man="1"/>
    <brk id="121" min="1" max="16" man="1"/>
    <brk id="151" min="1" max="16" man="1"/>
    <brk id="181" min="1" max="16" man="1"/>
    <brk id="211" min="1" max="16" man="1"/>
    <brk id="241" min="1" max="16" man="1"/>
    <brk id="271" min="1" max="16" man="1"/>
    <brk id="301" min="1" max="16" man="1"/>
    <brk id="331" min="1" max="16" man="1"/>
    <brk id="361" min="1" max="16" man="1"/>
    <brk id="391" min="1" max="16" man="1"/>
    <brk id="421" min="1" max="16" man="1"/>
    <brk id="451" min="1" max="16" man="1"/>
    <brk id="481" min="1" max="16" man="1"/>
    <brk id="511" min="1" max="16" man="1"/>
    <brk id="541" min="1" max="16" man="1"/>
    <brk id="571" min="1" max="1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-0.249977111117893"/>
  </sheetPr>
  <dimension ref="A1:M467"/>
  <sheetViews>
    <sheetView topLeftCell="B371" zoomScaleNormal="100" zoomScaleSheetLayoutView="68" workbookViewId="0">
      <selection activeCell="I13" sqref="I13"/>
    </sheetView>
  </sheetViews>
  <sheetFormatPr defaultColWidth="9.109375" defaultRowHeight="13.8" x14ac:dyDescent="0.3"/>
  <cols>
    <col min="1" max="1" width="0" style="149" hidden="1" customWidth="1"/>
    <col min="2" max="2" width="9.44140625" style="174" customWidth="1"/>
    <col min="3" max="3" width="23.44140625" style="149" bestFit="1" customWidth="1"/>
    <col min="4" max="4" width="8.5546875" style="149" customWidth="1"/>
    <col min="5" max="5" width="14.33203125" style="149" customWidth="1"/>
    <col min="6" max="11" width="9.44140625" style="173" customWidth="1"/>
    <col min="12" max="12" width="43.109375" style="149" customWidth="1"/>
    <col min="13" max="13" width="11.5546875" style="149" customWidth="1"/>
    <col min="14" max="16384" width="9.109375" style="149"/>
  </cols>
  <sheetData>
    <row r="1" spans="1:13" ht="14.4" customHeight="1" x14ac:dyDescent="0.3">
      <c r="B1" s="150" t="s">
        <v>41</v>
      </c>
      <c r="C1" s="151"/>
      <c r="D1" s="152" t="str">
        <f>INVOICE!B1</f>
        <v>S A M Perera</v>
      </c>
      <c r="E1" s="152"/>
      <c r="F1" s="150"/>
      <c r="G1" s="150"/>
      <c r="H1" s="150"/>
      <c r="I1" s="150" t="s">
        <v>40</v>
      </c>
      <c r="J1" s="150"/>
      <c r="K1" s="150"/>
      <c r="L1" s="152" t="str">
        <f>CONCATENATE(INVOICE!H5,"-",INVOICE!H9)</f>
        <v>SAM/CENTRAL/KY/NC/26/DEC/1-A</v>
      </c>
    </row>
    <row r="3" spans="1:13" ht="24.9" customHeight="1" x14ac:dyDescent="0.3">
      <c r="B3" s="240" t="s">
        <v>124</v>
      </c>
      <c r="C3" s="240"/>
      <c r="D3" s="240"/>
      <c r="E3" s="240"/>
      <c r="F3" s="240"/>
      <c r="G3" s="240"/>
      <c r="H3" s="240"/>
      <c r="I3" s="240"/>
      <c r="J3" s="240"/>
      <c r="K3" s="240"/>
      <c r="L3" s="240"/>
      <c r="M3" s="153"/>
    </row>
    <row r="4" spans="1:13" ht="69.599999999999994" customHeight="1" x14ac:dyDescent="0.3">
      <c r="A4" s="149" t="s">
        <v>17</v>
      </c>
      <c r="B4" s="91" t="s">
        <v>17</v>
      </c>
      <c r="C4" s="154" t="s">
        <v>18</v>
      </c>
      <c r="D4" s="155" t="s">
        <v>30</v>
      </c>
      <c r="E4" s="156" t="s">
        <v>19</v>
      </c>
      <c r="F4" s="157" t="s">
        <v>36</v>
      </c>
      <c r="G4" s="157" t="s">
        <v>38</v>
      </c>
      <c r="H4" s="157" t="s">
        <v>44</v>
      </c>
      <c r="I4" s="157" t="s">
        <v>45</v>
      </c>
      <c r="J4" s="157" t="s">
        <v>46</v>
      </c>
      <c r="K4" s="157" t="s">
        <v>53</v>
      </c>
      <c r="L4" s="154" t="s">
        <v>37</v>
      </c>
    </row>
    <row r="5" spans="1:13" x14ac:dyDescent="0.3">
      <c r="A5" s="149">
        <v>2</v>
      </c>
      <c r="B5" s="158">
        <v>1</v>
      </c>
      <c r="C5" s="159"/>
      <c r="D5" s="51"/>
      <c r="E5" s="160"/>
      <c r="F5" s="128"/>
      <c r="G5" s="128"/>
      <c r="H5" s="128"/>
      <c r="I5" s="128"/>
      <c r="J5" s="128"/>
      <c r="K5" s="128"/>
      <c r="L5" s="161"/>
    </row>
    <row r="6" spans="1:13" x14ac:dyDescent="0.3">
      <c r="A6" s="149">
        <v>3</v>
      </c>
      <c r="B6" s="158">
        <v>2</v>
      </c>
      <c r="C6" s="162"/>
      <c r="D6" s="51"/>
      <c r="E6" s="163"/>
      <c r="F6" s="51"/>
      <c r="G6" s="51"/>
      <c r="H6" s="51"/>
      <c r="I6" s="51"/>
      <c r="J6" s="51"/>
      <c r="K6" s="51"/>
      <c r="L6" s="161"/>
    </row>
    <row r="7" spans="1:13" x14ac:dyDescent="0.3">
      <c r="A7" s="149">
        <v>1</v>
      </c>
      <c r="B7" s="158">
        <v>3</v>
      </c>
      <c r="C7" s="159"/>
      <c r="D7" s="51"/>
      <c r="E7" s="160"/>
      <c r="F7" s="128"/>
      <c r="G7" s="128"/>
      <c r="H7" s="128"/>
      <c r="I7" s="128"/>
      <c r="J7" s="128"/>
      <c r="K7" s="128"/>
      <c r="L7" s="161"/>
    </row>
    <row r="8" spans="1:13" x14ac:dyDescent="0.3">
      <c r="A8" s="149">
        <v>4</v>
      </c>
      <c r="B8" s="158">
        <v>4</v>
      </c>
      <c r="C8" s="159"/>
      <c r="D8" s="51"/>
      <c r="E8" s="160"/>
      <c r="F8" s="128"/>
      <c r="G8" s="128"/>
      <c r="H8" s="128"/>
      <c r="I8" s="128"/>
      <c r="J8" s="128"/>
      <c r="K8" s="128"/>
      <c r="L8" s="161"/>
    </row>
    <row r="9" spans="1:13" x14ac:dyDescent="0.3">
      <c r="A9" s="149">
        <v>5</v>
      </c>
      <c r="B9" s="158">
        <v>5</v>
      </c>
      <c r="C9" s="159"/>
      <c r="D9" s="51"/>
      <c r="E9" s="160"/>
      <c r="F9" s="128"/>
      <c r="G9" s="128"/>
      <c r="H9" s="128"/>
      <c r="I9" s="128"/>
      <c r="J9" s="128"/>
      <c r="K9" s="128"/>
      <c r="L9" s="161"/>
    </row>
    <row r="10" spans="1:13" x14ac:dyDescent="0.3">
      <c r="A10" s="149">
        <v>6</v>
      </c>
      <c r="B10" s="158">
        <v>6</v>
      </c>
      <c r="C10" s="159"/>
      <c r="D10" s="51"/>
      <c r="E10" s="160"/>
      <c r="F10" s="128"/>
      <c r="G10" s="128"/>
      <c r="H10" s="128"/>
      <c r="I10" s="128"/>
      <c r="J10" s="128"/>
      <c r="K10" s="128"/>
      <c r="L10" s="161"/>
    </row>
    <row r="11" spans="1:13" x14ac:dyDescent="0.3">
      <c r="A11" s="149">
        <v>7</v>
      </c>
      <c r="B11" s="158">
        <v>7</v>
      </c>
      <c r="C11" s="159"/>
      <c r="D11" s="51"/>
      <c r="E11" s="160"/>
      <c r="F11" s="128"/>
      <c r="G11" s="128"/>
      <c r="H11" s="128"/>
      <c r="I11" s="128"/>
      <c r="J11" s="128"/>
      <c r="K11" s="128"/>
      <c r="L11" s="161"/>
    </row>
    <row r="12" spans="1:13" x14ac:dyDescent="0.3">
      <c r="A12" s="149">
        <v>8</v>
      </c>
      <c r="B12" s="158">
        <v>8</v>
      </c>
      <c r="C12" s="159"/>
      <c r="D12" s="51"/>
      <c r="E12" s="160"/>
      <c r="F12" s="128"/>
      <c r="G12" s="128"/>
      <c r="H12" s="128"/>
      <c r="I12" s="128"/>
      <c r="J12" s="128"/>
      <c r="K12" s="128"/>
      <c r="L12" s="161"/>
    </row>
    <row r="13" spans="1:13" x14ac:dyDescent="0.3">
      <c r="A13" s="149">
        <v>9</v>
      </c>
      <c r="B13" s="158">
        <v>9</v>
      </c>
      <c r="C13" s="159"/>
      <c r="D13" s="51"/>
      <c r="E13" s="160"/>
      <c r="F13" s="128"/>
      <c r="G13" s="128"/>
      <c r="H13" s="128"/>
      <c r="I13" s="128"/>
      <c r="J13" s="128"/>
      <c r="K13" s="128"/>
      <c r="L13" s="161"/>
    </row>
    <row r="14" spans="1:13" x14ac:dyDescent="0.3">
      <c r="A14" s="149">
        <v>10</v>
      </c>
      <c r="B14" s="158">
        <v>10</v>
      </c>
      <c r="C14" s="159"/>
      <c r="D14" s="51"/>
      <c r="E14" s="160"/>
      <c r="F14" s="128"/>
      <c r="G14" s="128"/>
      <c r="H14" s="128"/>
      <c r="I14" s="128"/>
      <c r="J14" s="128"/>
      <c r="K14" s="128"/>
      <c r="L14" s="161"/>
    </row>
    <row r="15" spans="1:13" x14ac:dyDescent="0.3">
      <c r="A15" s="149">
        <v>11</v>
      </c>
      <c r="B15" s="158">
        <v>11</v>
      </c>
      <c r="C15" s="159"/>
      <c r="D15" s="51"/>
      <c r="E15" s="160"/>
      <c r="F15" s="128"/>
      <c r="G15" s="128"/>
      <c r="H15" s="128"/>
      <c r="I15" s="128"/>
      <c r="J15" s="128"/>
      <c r="K15" s="128"/>
      <c r="L15" s="161"/>
    </row>
    <row r="16" spans="1:13" x14ac:dyDescent="0.3">
      <c r="A16" s="149">
        <v>12</v>
      </c>
      <c r="B16" s="158">
        <v>12</v>
      </c>
      <c r="C16" s="164"/>
      <c r="D16" s="51"/>
      <c r="E16" s="165"/>
      <c r="F16" s="51"/>
      <c r="G16" s="51"/>
      <c r="H16" s="51"/>
      <c r="I16" s="51"/>
      <c r="J16" s="51"/>
      <c r="K16" s="51"/>
      <c r="L16" s="161"/>
    </row>
    <row r="17" spans="1:12" x14ac:dyDescent="0.3">
      <c r="A17" s="149">
        <v>13</v>
      </c>
      <c r="B17" s="158">
        <v>13</v>
      </c>
      <c r="C17" s="164"/>
      <c r="D17" s="51"/>
      <c r="E17" s="165"/>
      <c r="F17" s="51"/>
      <c r="G17" s="51"/>
      <c r="H17" s="51"/>
      <c r="I17" s="51"/>
      <c r="J17" s="51"/>
      <c r="K17" s="51"/>
      <c r="L17" s="161"/>
    </row>
    <row r="18" spans="1:12" x14ac:dyDescent="0.3">
      <c r="A18" s="149">
        <v>14</v>
      </c>
      <c r="B18" s="158">
        <v>14</v>
      </c>
      <c r="C18" s="164"/>
      <c r="D18" s="51"/>
      <c r="E18" s="165"/>
      <c r="F18" s="51"/>
      <c r="G18" s="51"/>
      <c r="H18" s="51"/>
      <c r="I18" s="51"/>
      <c r="J18" s="51"/>
      <c r="K18" s="51"/>
      <c r="L18" s="161"/>
    </row>
    <row r="19" spans="1:12" x14ac:dyDescent="0.3">
      <c r="A19" s="149">
        <v>15</v>
      </c>
      <c r="B19" s="158">
        <v>15</v>
      </c>
      <c r="C19" s="164"/>
      <c r="D19" s="51"/>
      <c r="E19" s="165"/>
      <c r="F19" s="51"/>
      <c r="G19" s="51"/>
      <c r="H19" s="51"/>
      <c r="I19" s="51"/>
      <c r="J19" s="51"/>
      <c r="K19" s="51"/>
      <c r="L19" s="161"/>
    </row>
    <row r="20" spans="1:12" x14ac:dyDescent="0.3">
      <c r="A20" s="149">
        <v>16</v>
      </c>
      <c r="B20" s="158">
        <v>16</v>
      </c>
      <c r="C20" s="164"/>
      <c r="D20" s="51"/>
      <c r="E20" s="165"/>
      <c r="F20" s="51"/>
      <c r="G20" s="51"/>
      <c r="H20" s="51"/>
      <c r="I20" s="51"/>
      <c r="J20" s="51"/>
      <c r="K20" s="51"/>
      <c r="L20" s="161"/>
    </row>
    <row r="21" spans="1:12" x14ac:dyDescent="0.3">
      <c r="A21" s="149">
        <v>17</v>
      </c>
      <c r="B21" s="158">
        <v>17</v>
      </c>
      <c r="C21" s="166"/>
      <c r="D21" s="51"/>
      <c r="E21" s="165"/>
      <c r="F21" s="51"/>
      <c r="G21" s="51"/>
      <c r="H21" s="51"/>
      <c r="I21" s="51"/>
      <c r="J21" s="51"/>
      <c r="K21" s="51"/>
      <c r="L21" s="161"/>
    </row>
    <row r="22" spans="1:12" x14ac:dyDescent="0.3">
      <c r="A22" s="149">
        <v>18</v>
      </c>
      <c r="B22" s="158">
        <v>18</v>
      </c>
      <c r="C22" s="164"/>
      <c r="D22" s="51"/>
      <c r="E22" s="165"/>
      <c r="F22" s="51"/>
      <c r="G22" s="51"/>
      <c r="H22" s="51"/>
      <c r="I22" s="51"/>
      <c r="J22" s="51"/>
      <c r="K22" s="51"/>
      <c r="L22" s="161"/>
    </row>
    <row r="23" spans="1:12" x14ac:dyDescent="0.3">
      <c r="A23" s="149">
        <v>19</v>
      </c>
      <c r="B23" s="158">
        <v>19</v>
      </c>
      <c r="C23" s="164"/>
      <c r="D23" s="51"/>
      <c r="E23" s="165"/>
      <c r="F23" s="51"/>
      <c r="G23" s="51"/>
      <c r="H23" s="51"/>
      <c r="I23" s="51"/>
      <c r="J23" s="51"/>
      <c r="K23" s="51"/>
      <c r="L23" s="161"/>
    </row>
    <row r="24" spans="1:12" x14ac:dyDescent="0.3">
      <c r="A24" s="149">
        <v>20</v>
      </c>
      <c r="B24" s="158">
        <v>20</v>
      </c>
      <c r="C24" s="164"/>
      <c r="D24" s="51"/>
      <c r="E24" s="165"/>
      <c r="F24" s="51"/>
      <c r="G24" s="51"/>
      <c r="H24" s="51"/>
      <c r="I24" s="51"/>
      <c r="J24" s="51"/>
      <c r="K24" s="51"/>
      <c r="L24" s="161"/>
    </row>
    <row r="25" spans="1:12" ht="14.4" thickBot="1" x14ac:dyDescent="0.35">
      <c r="A25" s="149">
        <v>0</v>
      </c>
      <c r="B25" s="45" t="s">
        <v>24</v>
      </c>
      <c r="C25" s="167"/>
      <c r="D25" s="167"/>
      <c r="E25" s="167"/>
      <c r="F25" s="168">
        <f t="shared" ref="F25:K25" si="0">SUM(F5:F24)</f>
        <v>0</v>
      </c>
      <c r="G25" s="168">
        <f t="shared" si="0"/>
        <v>0</v>
      </c>
      <c r="H25" s="168">
        <f t="shared" si="0"/>
        <v>0</v>
      </c>
      <c r="I25" s="168">
        <f t="shared" si="0"/>
        <v>0</v>
      </c>
      <c r="J25" s="168">
        <f t="shared" si="0"/>
        <v>0</v>
      </c>
      <c r="K25" s="168">
        <f t="shared" si="0"/>
        <v>0</v>
      </c>
      <c r="L25" s="169"/>
    </row>
    <row r="26" spans="1:12" ht="14.4" thickTop="1" x14ac:dyDescent="0.3">
      <c r="A26" s="149">
        <v>0</v>
      </c>
      <c r="B26" s="170"/>
      <c r="C26" s="171"/>
      <c r="D26" s="171"/>
      <c r="E26" s="171"/>
      <c r="F26" s="172"/>
    </row>
    <row r="27" spans="1:12" x14ac:dyDescent="0.3">
      <c r="A27" s="149">
        <v>0</v>
      </c>
      <c r="B27" s="170"/>
      <c r="C27" s="171"/>
      <c r="D27" s="171"/>
      <c r="E27" s="171"/>
      <c r="F27" s="172"/>
    </row>
    <row r="28" spans="1:12" x14ac:dyDescent="0.3">
      <c r="A28" s="149">
        <v>0</v>
      </c>
    </row>
    <row r="29" spans="1:12" x14ac:dyDescent="0.3">
      <c r="A29" s="149">
        <v>0</v>
      </c>
      <c r="B29" s="174" t="s">
        <v>20</v>
      </c>
      <c r="D29" s="149" t="s">
        <v>21</v>
      </c>
    </row>
    <row r="30" spans="1:12" x14ac:dyDescent="0.3">
      <c r="A30" s="149">
        <v>0</v>
      </c>
      <c r="B30" s="174" t="s">
        <v>12</v>
      </c>
      <c r="D30" s="149" t="s">
        <v>16</v>
      </c>
    </row>
    <row r="31" spans="1:12" x14ac:dyDescent="0.3">
      <c r="A31" s="149">
        <v>0</v>
      </c>
      <c r="D31" s="149" t="s">
        <v>22</v>
      </c>
    </row>
    <row r="32" spans="1:12" ht="14.4" customHeight="1" x14ac:dyDescent="0.3">
      <c r="A32" s="149">
        <v>0</v>
      </c>
      <c r="B32" s="172" t="s">
        <v>41</v>
      </c>
      <c r="C32" s="171"/>
      <c r="D32" s="149" t="str">
        <f>D1</f>
        <v>S A M Perera</v>
      </c>
      <c r="F32" s="172"/>
      <c r="G32" s="172"/>
      <c r="H32" s="172"/>
      <c r="I32" s="172" t="s">
        <v>40</v>
      </c>
      <c r="J32" s="172"/>
      <c r="K32" s="172"/>
      <c r="L32" s="149" t="str">
        <f>L1</f>
        <v>SAM/CENTRAL/KY/NC/26/DEC/1-A</v>
      </c>
    </row>
    <row r="33" spans="1:13" x14ac:dyDescent="0.3">
      <c r="A33" s="149">
        <v>0</v>
      </c>
    </row>
    <row r="34" spans="1:13" ht="24.9" customHeight="1" x14ac:dyDescent="0.3">
      <c r="A34" s="149">
        <v>0</v>
      </c>
      <c r="B34" s="240" t="s">
        <v>124</v>
      </c>
      <c r="C34" s="240"/>
      <c r="D34" s="240"/>
      <c r="E34" s="240"/>
      <c r="F34" s="240"/>
      <c r="G34" s="240"/>
      <c r="H34" s="240"/>
      <c r="I34" s="240"/>
      <c r="J34" s="240"/>
      <c r="K34" s="240"/>
      <c r="L34" s="240"/>
      <c r="M34" s="153"/>
    </row>
    <row r="35" spans="1:13" ht="69.599999999999994" customHeight="1" x14ac:dyDescent="0.3">
      <c r="A35" s="149">
        <v>0</v>
      </c>
      <c r="B35" s="91" t="s">
        <v>17</v>
      </c>
      <c r="C35" s="154" t="s">
        <v>18</v>
      </c>
      <c r="D35" s="155" t="s">
        <v>30</v>
      </c>
      <c r="E35" s="156" t="s">
        <v>19</v>
      </c>
      <c r="F35" s="157" t="s">
        <v>36</v>
      </c>
      <c r="G35" s="157" t="s">
        <v>38</v>
      </c>
      <c r="H35" s="157" t="s">
        <v>44</v>
      </c>
      <c r="I35" s="157" t="s">
        <v>45</v>
      </c>
      <c r="J35" s="157" t="s">
        <v>46</v>
      </c>
      <c r="K35" s="157" t="s">
        <v>53</v>
      </c>
      <c r="L35" s="154" t="s">
        <v>37</v>
      </c>
    </row>
    <row r="36" spans="1:13" x14ac:dyDescent="0.3">
      <c r="A36" s="149">
        <v>1</v>
      </c>
      <c r="B36" s="158">
        <v>1</v>
      </c>
      <c r="C36" s="159"/>
      <c r="D36" s="161"/>
      <c r="E36" s="160"/>
      <c r="F36" s="175"/>
      <c r="G36" s="128"/>
      <c r="H36" s="175"/>
      <c r="I36" s="175"/>
      <c r="J36" s="175"/>
      <c r="K36" s="128"/>
      <c r="L36" s="161"/>
    </row>
    <row r="37" spans="1:13" x14ac:dyDescent="0.3">
      <c r="A37" s="149">
        <v>2</v>
      </c>
      <c r="B37" s="158">
        <v>2</v>
      </c>
      <c r="C37" s="159"/>
      <c r="D37" s="161"/>
      <c r="E37" s="160"/>
      <c r="F37" s="176"/>
      <c r="G37" s="128"/>
      <c r="H37" s="176"/>
      <c r="I37" s="176"/>
      <c r="J37" s="176"/>
      <c r="K37" s="128"/>
      <c r="L37" s="161"/>
    </row>
    <row r="38" spans="1:13" x14ac:dyDescent="0.3">
      <c r="A38" s="149">
        <v>3</v>
      </c>
      <c r="B38" s="158">
        <v>3</v>
      </c>
      <c r="C38" s="159"/>
      <c r="D38" s="161"/>
      <c r="E38" s="160"/>
      <c r="F38" s="175"/>
      <c r="G38" s="128"/>
      <c r="H38" s="175"/>
      <c r="I38" s="175"/>
      <c r="J38" s="175"/>
      <c r="K38" s="128"/>
      <c r="L38" s="161"/>
    </row>
    <row r="39" spans="1:13" x14ac:dyDescent="0.3">
      <c r="A39" s="149">
        <v>4</v>
      </c>
      <c r="B39" s="158">
        <v>4</v>
      </c>
      <c r="C39" s="159"/>
      <c r="D39" s="161"/>
      <c r="E39" s="160"/>
      <c r="F39" s="175"/>
      <c r="G39" s="128"/>
      <c r="H39" s="175"/>
      <c r="I39" s="175"/>
      <c r="J39" s="175"/>
      <c r="K39" s="128"/>
      <c r="L39" s="161"/>
    </row>
    <row r="40" spans="1:13" x14ac:dyDescent="0.3">
      <c r="A40" s="149">
        <v>5</v>
      </c>
      <c r="B40" s="158">
        <v>5</v>
      </c>
      <c r="C40" s="159"/>
      <c r="D40" s="161"/>
      <c r="E40" s="160"/>
      <c r="F40" s="175"/>
      <c r="G40" s="128"/>
      <c r="H40" s="175"/>
      <c r="I40" s="175"/>
      <c r="J40" s="175"/>
      <c r="K40" s="128"/>
      <c r="L40" s="161"/>
    </row>
    <row r="41" spans="1:13" x14ac:dyDescent="0.3">
      <c r="A41" s="149">
        <v>6</v>
      </c>
      <c r="B41" s="158">
        <v>6</v>
      </c>
      <c r="C41" s="162"/>
      <c r="D41" s="161"/>
      <c r="E41" s="163"/>
      <c r="F41" s="177"/>
      <c r="G41" s="51"/>
      <c r="H41" s="177"/>
      <c r="I41" s="177"/>
      <c r="J41" s="177"/>
      <c r="K41" s="51"/>
      <c r="L41" s="161"/>
    </row>
    <row r="42" spans="1:13" x14ac:dyDescent="0.3">
      <c r="A42" s="149">
        <v>7</v>
      </c>
      <c r="B42" s="158">
        <v>7</v>
      </c>
      <c r="C42" s="159"/>
      <c r="D42" s="161"/>
      <c r="E42" s="160"/>
      <c r="F42" s="175"/>
      <c r="G42" s="128"/>
      <c r="H42" s="175"/>
      <c r="I42" s="175"/>
      <c r="J42" s="175"/>
      <c r="K42" s="128"/>
      <c r="L42" s="161"/>
    </row>
    <row r="43" spans="1:13" x14ac:dyDescent="0.3">
      <c r="A43" s="149">
        <v>8</v>
      </c>
      <c r="B43" s="158">
        <v>8</v>
      </c>
      <c r="C43" s="159"/>
      <c r="D43" s="161"/>
      <c r="E43" s="160"/>
      <c r="F43" s="176"/>
      <c r="G43" s="128"/>
      <c r="H43" s="176"/>
      <c r="I43" s="176"/>
      <c r="J43" s="176"/>
      <c r="K43" s="128"/>
      <c r="L43" s="161"/>
    </row>
    <row r="44" spans="1:13" x14ac:dyDescent="0.3">
      <c r="A44" s="149">
        <v>9</v>
      </c>
      <c r="B44" s="158">
        <v>9</v>
      </c>
      <c r="C44" s="159"/>
      <c r="D44" s="161"/>
      <c r="E44" s="160"/>
      <c r="F44" s="176"/>
      <c r="G44" s="128"/>
      <c r="H44" s="176"/>
      <c r="I44" s="176"/>
      <c r="J44" s="176"/>
      <c r="K44" s="128"/>
      <c r="L44" s="161"/>
    </row>
    <row r="45" spans="1:13" x14ac:dyDescent="0.3">
      <c r="A45" s="149">
        <v>10</v>
      </c>
      <c r="B45" s="158">
        <v>10</v>
      </c>
      <c r="C45" s="159"/>
      <c r="D45" s="161"/>
      <c r="E45" s="160"/>
      <c r="F45" s="175"/>
      <c r="G45" s="128"/>
      <c r="H45" s="175"/>
      <c r="I45" s="175"/>
      <c r="J45" s="175"/>
      <c r="K45" s="128"/>
      <c r="L45" s="161"/>
    </row>
    <row r="46" spans="1:13" x14ac:dyDescent="0.3">
      <c r="A46" s="149">
        <v>11</v>
      </c>
      <c r="B46" s="158">
        <v>11</v>
      </c>
      <c r="C46" s="162"/>
      <c r="D46" s="161"/>
      <c r="E46" s="163"/>
      <c r="F46" s="178"/>
      <c r="G46" s="51"/>
      <c r="H46" s="178"/>
      <c r="I46" s="178"/>
      <c r="J46" s="178"/>
      <c r="K46" s="51"/>
      <c r="L46" s="161"/>
    </row>
    <row r="47" spans="1:13" x14ac:dyDescent="0.3">
      <c r="A47" s="149">
        <v>12</v>
      </c>
      <c r="B47" s="158">
        <v>12</v>
      </c>
      <c r="C47" s="159"/>
      <c r="D47" s="161"/>
      <c r="E47" s="160"/>
      <c r="F47" s="175"/>
      <c r="G47" s="128"/>
      <c r="H47" s="175"/>
      <c r="I47" s="175"/>
      <c r="J47" s="175"/>
      <c r="K47" s="128"/>
      <c r="L47" s="161"/>
    </row>
    <row r="48" spans="1:13" x14ac:dyDescent="0.3">
      <c r="A48" s="149">
        <v>13</v>
      </c>
      <c r="B48" s="158">
        <v>13</v>
      </c>
      <c r="C48" s="159"/>
      <c r="D48" s="161"/>
      <c r="E48" s="160"/>
      <c r="F48" s="175"/>
      <c r="G48" s="128"/>
      <c r="H48" s="175"/>
      <c r="I48" s="175"/>
      <c r="J48" s="175"/>
      <c r="K48" s="128"/>
      <c r="L48" s="161"/>
    </row>
    <row r="49" spans="1:12" x14ac:dyDescent="0.3">
      <c r="A49" s="149">
        <v>14</v>
      </c>
      <c r="B49" s="158">
        <v>14</v>
      </c>
      <c r="C49" s="159"/>
      <c r="D49" s="161"/>
      <c r="E49" s="160"/>
      <c r="F49" s="175"/>
      <c r="G49" s="128"/>
      <c r="H49" s="175"/>
      <c r="I49" s="175"/>
      <c r="J49" s="175"/>
      <c r="K49" s="128"/>
      <c r="L49" s="161"/>
    </row>
    <row r="50" spans="1:12" x14ac:dyDescent="0.3">
      <c r="A50" s="149">
        <v>15</v>
      </c>
      <c r="B50" s="158">
        <v>15</v>
      </c>
      <c r="C50" s="159"/>
      <c r="D50" s="161"/>
      <c r="E50" s="160"/>
      <c r="F50" s="175"/>
      <c r="G50" s="128"/>
      <c r="H50" s="175"/>
      <c r="I50" s="175"/>
      <c r="J50" s="175"/>
      <c r="K50" s="128"/>
      <c r="L50" s="161"/>
    </row>
    <row r="51" spans="1:12" x14ac:dyDescent="0.3">
      <c r="A51" s="149">
        <v>16</v>
      </c>
      <c r="B51" s="158">
        <v>16</v>
      </c>
      <c r="C51" s="159"/>
      <c r="D51" s="161"/>
      <c r="E51" s="160"/>
      <c r="F51" s="175"/>
      <c r="G51" s="128"/>
      <c r="H51" s="175"/>
      <c r="I51" s="175"/>
      <c r="J51" s="175"/>
      <c r="K51" s="128"/>
      <c r="L51" s="161"/>
    </row>
    <row r="52" spans="1:12" x14ac:dyDescent="0.3">
      <c r="A52" s="149">
        <v>17</v>
      </c>
      <c r="B52" s="158">
        <v>17</v>
      </c>
      <c r="C52" s="159"/>
      <c r="D52" s="161"/>
      <c r="E52" s="160"/>
      <c r="F52" s="176"/>
      <c r="G52" s="128"/>
      <c r="H52" s="176"/>
      <c r="I52" s="176"/>
      <c r="J52" s="176"/>
      <c r="K52" s="128"/>
      <c r="L52" s="161"/>
    </row>
    <row r="53" spans="1:12" x14ac:dyDescent="0.3">
      <c r="A53" s="149">
        <v>18</v>
      </c>
      <c r="B53" s="158">
        <v>18</v>
      </c>
      <c r="C53" s="159"/>
      <c r="D53" s="161"/>
      <c r="E53" s="160"/>
      <c r="F53" s="175"/>
      <c r="G53" s="128"/>
      <c r="H53" s="175"/>
      <c r="I53" s="175"/>
      <c r="J53" s="175"/>
      <c r="K53" s="128"/>
      <c r="L53" s="161"/>
    </row>
    <row r="54" spans="1:12" x14ac:dyDescent="0.3">
      <c r="A54" s="149">
        <v>19</v>
      </c>
      <c r="B54" s="158">
        <v>19</v>
      </c>
      <c r="C54" s="159"/>
      <c r="D54" s="161"/>
      <c r="E54" s="160"/>
      <c r="F54" s="175"/>
      <c r="G54" s="128"/>
      <c r="H54" s="175"/>
      <c r="I54" s="175"/>
      <c r="J54" s="175"/>
      <c r="K54" s="128"/>
      <c r="L54" s="161"/>
    </row>
    <row r="55" spans="1:12" x14ac:dyDescent="0.3">
      <c r="A55" s="149">
        <v>20</v>
      </c>
      <c r="B55" s="158">
        <v>20</v>
      </c>
      <c r="C55" s="159"/>
      <c r="D55" s="161"/>
      <c r="E55" s="160"/>
      <c r="F55" s="176"/>
      <c r="G55" s="128"/>
      <c r="H55" s="176"/>
      <c r="I55" s="176"/>
      <c r="J55" s="176"/>
      <c r="K55" s="128"/>
      <c r="L55" s="161"/>
    </row>
    <row r="56" spans="1:12" ht="14.4" thickBot="1" x14ac:dyDescent="0.35">
      <c r="A56" s="149">
        <v>0</v>
      </c>
      <c r="B56" s="45" t="s">
        <v>24</v>
      </c>
      <c r="C56" s="167"/>
      <c r="D56" s="167"/>
      <c r="E56" s="167"/>
      <c r="F56" s="179">
        <f t="shared" ref="F56:L56" si="1">SUM(F36:F55)</f>
        <v>0</v>
      </c>
      <c r="G56" s="179">
        <f t="shared" si="1"/>
        <v>0</v>
      </c>
      <c r="H56" s="179">
        <f t="shared" si="1"/>
        <v>0</v>
      </c>
      <c r="I56" s="179">
        <f t="shared" si="1"/>
        <v>0</v>
      </c>
      <c r="J56" s="179">
        <f t="shared" si="1"/>
        <v>0</v>
      </c>
      <c r="K56" s="179">
        <f t="shared" si="1"/>
        <v>0</v>
      </c>
      <c r="L56" s="169">
        <f t="shared" si="1"/>
        <v>0</v>
      </c>
    </row>
    <row r="57" spans="1:12" ht="14.4" thickTop="1" x14ac:dyDescent="0.3">
      <c r="A57" s="149">
        <v>0</v>
      </c>
      <c r="B57" s="170"/>
      <c r="C57" s="171"/>
      <c r="D57" s="171"/>
      <c r="E57" s="171"/>
      <c r="F57" s="172"/>
    </row>
    <row r="58" spans="1:12" x14ac:dyDescent="0.3">
      <c r="A58" s="149">
        <v>0</v>
      </c>
      <c r="B58" s="170"/>
      <c r="C58" s="171"/>
      <c r="D58" s="171"/>
      <c r="E58" s="171"/>
      <c r="F58" s="172"/>
    </row>
    <row r="59" spans="1:12" x14ac:dyDescent="0.3">
      <c r="A59" s="149">
        <v>0</v>
      </c>
    </row>
    <row r="60" spans="1:12" x14ac:dyDescent="0.3">
      <c r="A60" s="149">
        <v>0</v>
      </c>
      <c r="B60" s="174" t="s">
        <v>20</v>
      </c>
      <c r="D60" s="149" t="s">
        <v>21</v>
      </c>
    </row>
    <row r="61" spans="1:12" x14ac:dyDescent="0.3">
      <c r="A61" s="149">
        <v>0</v>
      </c>
      <c r="B61" s="174" t="s">
        <v>12</v>
      </c>
      <c r="D61" s="149" t="s">
        <v>16</v>
      </c>
    </row>
    <row r="62" spans="1:12" x14ac:dyDescent="0.3">
      <c r="A62" s="149">
        <v>0</v>
      </c>
      <c r="D62" s="149" t="s">
        <v>22</v>
      </c>
    </row>
    <row r="63" spans="1:12" ht="14.4" customHeight="1" x14ac:dyDescent="0.3">
      <c r="A63" s="149">
        <v>0</v>
      </c>
      <c r="B63" s="172" t="s">
        <v>41</v>
      </c>
      <c r="C63" s="171"/>
      <c r="D63" s="149" t="str">
        <f>D1</f>
        <v>S A M Perera</v>
      </c>
      <c r="F63" s="172"/>
      <c r="G63" s="172"/>
      <c r="H63" s="172"/>
      <c r="I63" s="172" t="s">
        <v>40</v>
      </c>
      <c r="J63" s="172"/>
      <c r="K63" s="172"/>
      <c r="L63" s="149" t="str">
        <f>L1</f>
        <v>SAM/CENTRAL/KY/NC/26/DEC/1-A</v>
      </c>
    </row>
    <row r="64" spans="1:12" x14ac:dyDescent="0.3">
      <c r="A64" s="149">
        <v>0</v>
      </c>
    </row>
    <row r="65" spans="1:13" ht="24.9" customHeight="1" x14ac:dyDescent="0.3">
      <c r="A65" s="149">
        <v>0</v>
      </c>
      <c r="B65" s="240" t="s">
        <v>124</v>
      </c>
      <c r="C65" s="240"/>
      <c r="D65" s="240"/>
      <c r="E65" s="240"/>
      <c r="F65" s="240"/>
      <c r="G65" s="240"/>
      <c r="H65" s="240"/>
      <c r="I65" s="240"/>
      <c r="J65" s="240"/>
      <c r="K65" s="240"/>
      <c r="L65" s="240"/>
      <c r="M65" s="153"/>
    </row>
    <row r="66" spans="1:13" ht="69.599999999999994" customHeight="1" x14ac:dyDescent="0.3">
      <c r="A66" s="149">
        <v>0</v>
      </c>
      <c r="B66" s="91" t="s">
        <v>17</v>
      </c>
      <c r="C66" s="154" t="s">
        <v>18</v>
      </c>
      <c r="D66" s="155" t="s">
        <v>30</v>
      </c>
      <c r="E66" s="156" t="s">
        <v>19</v>
      </c>
      <c r="F66" s="157" t="s">
        <v>36</v>
      </c>
      <c r="G66" s="157" t="s">
        <v>38</v>
      </c>
      <c r="H66" s="157" t="s">
        <v>44</v>
      </c>
      <c r="I66" s="157" t="s">
        <v>45</v>
      </c>
      <c r="J66" s="157" t="s">
        <v>46</v>
      </c>
      <c r="K66" s="157" t="s">
        <v>53</v>
      </c>
      <c r="L66" s="154" t="s">
        <v>37</v>
      </c>
    </row>
    <row r="67" spans="1:13" x14ac:dyDescent="0.3">
      <c r="A67" s="149">
        <v>1</v>
      </c>
      <c r="B67" s="158">
        <v>1</v>
      </c>
      <c r="C67" s="164"/>
      <c r="D67" s="51"/>
      <c r="E67" s="165"/>
      <c r="F67" s="51"/>
      <c r="G67" s="51"/>
      <c r="H67" s="51"/>
      <c r="I67" s="51"/>
      <c r="J67" s="51"/>
      <c r="K67" s="51"/>
      <c r="L67" s="161"/>
    </row>
    <row r="68" spans="1:13" x14ac:dyDescent="0.3">
      <c r="A68" s="149">
        <v>2</v>
      </c>
      <c r="B68" s="158">
        <v>2</v>
      </c>
      <c r="C68" s="164"/>
      <c r="D68" s="51"/>
      <c r="E68" s="165"/>
      <c r="F68" s="51"/>
      <c r="G68" s="51"/>
      <c r="H68" s="51"/>
      <c r="I68" s="51"/>
      <c r="J68" s="51"/>
      <c r="K68" s="51"/>
      <c r="L68" s="161"/>
    </row>
    <row r="69" spans="1:13" x14ac:dyDescent="0.3">
      <c r="A69" s="149">
        <v>3</v>
      </c>
      <c r="B69" s="158">
        <v>3</v>
      </c>
      <c r="C69" s="164"/>
      <c r="D69" s="51"/>
      <c r="E69" s="165"/>
      <c r="F69" s="51"/>
      <c r="G69" s="51"/>
      <c r="H69" s="51"/>
      <c r="I69" s="51"/>
      <c r="J69" s="51"/>
      <c r="K69" s="51"/>
      <c r="L69" s="161"/>
    </row>
    <row r="70" spans="1:13" x14ac:dyDescent="0.3">
      <c r="A70" s="149">
        <v>4</v>
      </c>
      <c r="B70" s="158">
        <v>4</v>
      </c>
      <c r="C70" s="164"/>
      <c r="D70" s="51"/>
      <c r="E70" s="165"/>
      <c r="F70" s="51"/>
      <c r="G70" s="51"/>
      <c r="H70" s="51"/>
      <c r="I70" s="51"/>
      <c r="J70" s="51"/>
      <c r="K70" s="51"/>
      <c r="L70" s="161"/>
    </row>
    <row r="71" spans="1:13" x14ac:dyDescent="0.3">
      <c r="A71" s="149">
        <v>5</v>
      </c>
      <c r="B71" s="158">
        <v>5</v>
      </c>
      <c r="C71" s="164"/>
      <c r="D71" s="51"/>
      <c r="E71" s="165"/>
      <c r="F71" s="51"/>
      <c r="G71" s="51"/>
      <c r="H71" s="51"/>
      <c r="I71" s="51"/>
      <c r="J71" s="51"/>
      <c r="K71" s="51"/>
      <c r="L71" s="161"/>
    </row>
    <row r="72" spans="1:13" x14ac:dyDescent="0.3">
      <c r="A72" s="149">
        <v>6</v>
      </c>
      <c r="B72" s="158">
        <v>6</v>
      </c>
      <c r="C72" s="164"/>
      <c r="D72" s="51"/>
      <c r="E72" s="165"/>
      <c r="F72" s="51"/>
      <c r="G72" s="51"/>
      <c r="H72" s="51"/>
      <c r="I72" s="51"/>
      <c r="J72" s="51"/>
      <c r="K72" s="51"/>
      <c r="L72" s="161"/>
    </row>
    <row r="73" spans="1:13" x14ac:dyDescent="0.3">
      <c r="A73" s="149">
        <v>7</v>
      </c>
      <c r="B73" s="158">
        <v>7</v>
      </c>
      <c r="C73" s="164"/>
      <c r="D73" s="51"/>
      <c r="E73" s="165"/>
      <c r="F73" s="51"/>
      <c r="G73" s="51"/>
      <c r="H73" s="51"/>
      <c r="I73" s="51"/>
      <c r="J73" s="51"/>
      <c r="K73" s="51"/>
      <c r="L73" s="161"/>
    </row>
    <row r="74" spans="1:13" x14ac:dyDescent="0.3">
      <c r="A74" s="149">
        <v>8</v>
      </c>
      <c r="B74" s="158">
        <v>8</v>
      </c>
      <c r="C74" s="164"/>
      <c r="D74" s="51"/>
      <c r="E74" s="165"/>
      <c r="F74" s="51"/>
      <c r="G74" s="51"/>
      <c r="H74" s="51"/>
      <c r="I74" s="51"/>
      <c r="J74" s="51"/>
      <c r="K74" s="51"/>
      <c r="L74" s="161"/>
    </row>
    <row r="75" spans="1:13" x14ac:dyDescent="0.3">
      <c r="A75" s="149">
        <v>9</v>
      </c>
      <c r="B75" s="158">
        <v>9</v>
      </c>
      <c r="C75" s="164"/>
      <c r="D75" s="51"/>
      <c r="E75" s="165"/>
      <c r="F75" s="51"/>
      <c r="G75" s="51"/>
      <c r="H75" s="51"/>
      <c r="I75" s="51"/>
      <c r="J75" s="51"/>
      <c r="K75" s="51"/>
      <c r="L75" s="161"/>
    </row>
    <row r="76" spans="1:13" x14ac:dyDescent="0.3">
      <c r="A76" s="149">
        <v>10</v>
      </c>
      <c r="B76" s="158">
        <v>10</v>
      </c>
      <c r="C76" s="164"/>
      <c r="D76" s="51"/>
      <c r="E76" s="165"/>
      <c r="F76" s="51"/>
      <c r="G76" s="51"/>
      <c r="H76" s="51"/>
      <c r="I76" s="51"/>
      <c r="J76" s="51"/>
      <c r="K76" s="51"/>
      <c r="L76" s="161"/>
    </row>
    <row r="77" spans="1:13" x14ac:dyDescent="0.3">
      <c r="A77" s="149">
        <v>11</v>
      </c>
      <c r="B77" s="158">
        <v>11</v>
      </c>
      <c r="C77" s="51"/>
      <c r="D77" s="51"/>
      <c r="E77" s="180"/>
      <c r="F77" s="51"/>
      <c r="G77" s="51"/>
      <c r="H77" s="51"/>
      <c r="I77" s="51"/>
      <c r="J77" s="51"/>
      <c r="K77" s="51"/>
      <c r="L77" s="161"/>
    </row>
    <row r="78" spans="1:13" x14ac:dyDescent="0.3">
      <c r="A78" s="149">
        <v>12</v>
      </c>
      <c r="B78" s="158">
        <v>12</v>
      </c>
      <c r="C78" s="181"/>
      <c r="D78" s="161"/>
      <c r="E78" s="182"/>
      <c r="F78" s="50"/>
      <c r="G78" s="50"/>
      <c r="H78" s="50"/>
      <c r="I78" s="50"/>
      <c r="J78" s="50"/>
      <c r="K78" s="50"/>
      <c r="L78" s="161"/>
    </row>
    <row r="79" spans="1:13" x14ac:dyDescent="0.3">
      <c r="A79" s="149">
        <v>13</v>
      </c>
      <c r="B79" s="158">
        <v>13</v>
      </c>
      <c r="C79" s="181"/>
      <c r="D79" s="161"/>
      <c r="E79" s="182"/>
      <c r="F79" s="50"/>
      <c r="G79" s="50"/>
      <c r="H79" s="50"/>
      <c r="I79" s="50"/>
      <c r="J79" s="50"/>
      <c r="K79" s="50"/>
      <c r="L79" s="161"/>
    </row>
    <row r="80" spans="1:13" x14ac:dyDescent="0.3">
      <c r="A80" s="149">
        <v>14</v>
      </c>
      <c r="B80" s="158">
        <v>14</v>
      </c>
      <c r="C80" s="181"/>
      <c r="D80" s="161"/>
      <c r="E80" s="182"/>
      <c r="F80" s="50"/>
      <c r="G80" s="50"/>
      <c r="H80" s="50"/>
      <c r="I80" s="50"/>
      <c r="J80" s="50"/>
      <c r="K80" s="50"/>
      <c r="L80" s="161"/>
    </row>
    <row r="81" spans="1:13" x14ac:dyDescent="0.3">
      <c r="A81" s="149">
        <v>15</v>
      </c>
      <c r="B81" s="158">
        <v>15</v>
      </c>
      <c r="C81" s="181"/>
      <c r="D81" s="161"/>
      <c r="E81" s="182"/>
      <c r="F81" s="50"/>
      <c r="G81" s="50"/>
      <c r="H81" s="50"/>
      <c r="I81" s="50"/>
      <c r="J81" s="50"/>
      <c r="K81" s="50"/>
      <c r="L81" s="161"/>
    </row>
    <row r="82" spans="1:13" x14ac:dyDescent="0.3">
      <c r="A82" s="149">
        <v>16</v>
      </c>
      <c r="B82" s="158">
        <v>16</v>
      </c>
      <c r="C82" s="181"/>
      <c r="D82" s="161"/>
      <c r="E82" s="182"/>
      <c r="F82" s="50"/>
      <c r="G82" s="50"/>
      <c r="H82" s="50"/>
      <c r="I82" s="50"/>
      <c r="J82" s="50"/>
      <c r="K82" s="50"/>
      <c r="L82" s="161"/>
    </row>
    <row r="83" spans="1:13" x14ac:dyDescent="0.3">
      <c r="A83" s="149">
        <v>17</v>
      </c>
      <c r="B83" s="158">
        <v>17</v>
      </c>
      <c r="C83" s="181"/>
      <c r="D83" s="161"/>
      <c r="E83" s="182"/>
      <c r="F83" s="50"/>
      <c r="G83" s="50"/>
      <c r="H83" s="50"/>
      <c r="I83" s="50"/>
      <c r="J83" s="50"/>
      <c r="K83" s="50"/>
      <c r="L83" s="161"/>
    </row>
    <row r="84" spans="1:13" x14ac:dyDescent="0.3">
      <c r="A84" s="149">
        <v>18</v>
      </c>
      <c r="B84" s="158">
        <v>18</v>
      </c>
      <c r="C84" s="181"/>
      <c r="D84" s="161"/>
      <c r="E84" s="182"/>
      <c r="F84" s="50"/>
      <c r="G84" s="50"/>
      <c r="H84" s="50"/>
      <c r="I84" s="50"/>
      <c r="J84" s="50"/>
      <c r="K84" s="50"/>
      <c r="L84" s="161"/>
    </row>
    <row r="85" spans="1:13" x14ac:dyDescent="0.3">
      <c r="A85" s="149">
        <v>19</v>
      </c>
      <c r="B85" s="158">
        <v>19</v>
      </c>
      <c r="C85" s="181"/>
      <c r="D85" s="161"/>
      <c r="E85" s="182"/>
      <c r="F85" s="50"/>
      <c r="G85" s="50"/>
      <c r="H85" s="50"/>
      <c r="I85" s="50"/>
      <c r="J85" s="50"/>
      <c r="K85" s="50"/>
      <c r="L85" s="161"/>
    </row>
    <row r="86" spans="1:13" x14ac:dyDescent="0.3">
      <c r="A86" s="149">
        <v>20</v>
      </c>
      <c r="B86" s="158">
        <v>20</v>
      </c>
      <c r="C86" s="181"/>
      <c r="D86" s="161"/>
      <c r="E86" s="182"/>
      <c r="F86" s="50"/>
      <c r="G86" s="50"/>
      <c r="H86" s="50"/>
      <c r="I86" s="50"/>
      <c r="J86" s="50"/>
      <c r="K86" s="50"/>
      <c r="L86" s="161"/>
    </row>
    <row r="87" spans="1:13" ht="14.4" thickBot="1" x14ac:dyDescent="0.35">
      <c r="A87" s="149">
        <v>0</v>
      </c>
      <c r="B87" s="45" t="s">
        <v>24</v>
      </c>
      <c r="C87" s="167"/>
      <c r="D87" s="167"/>
      <c r="E87" s="167"/>
      <c r="F87" s="179">
        <f t="shared" ref="F87:L87" si="2">SUM(F67:F86)</f>
        <v>0</v>
      </c>
      <c r="G87" s="179">
        <f t="shared" si="2"/>
        <v>0</v>
      </c>
      <c r="H87" s="179">
        <f t="shared" si="2"/>
        <v>0</v>
      </c>
      <c r="I87" s="179">
        <f t="shared" si="2"/>
        <v>0</v>
      </c>
      <c r="J87" s="179">
        <f t="shared" si="2"/>
        <v>0</v>
      </c>
      <c r="K87" s="179">
        <f t="shared" si="2"/>
        <v>0</v>
      </c>
      <c r="L87" s="169">
        <f t="shared" si="2"/>
        <v>0</v>
      </c>
    </row>
    <row r="88" spans="1:13" ht="14.4" thickTop="1" x14ac:dyDescent="0.3">
      <c r="A88" s="149">
        <v>0</v>
      </c>
      <c r="B88" s="170"/>
      <c r="C88" s="171"/>
      <c r="D88" s="171"/>
      <c r="E88" s="171"/>
      <c r="F88" s="172"/>
    </row>
    <row r="89" spans="1:13" x14ac:dyDescent="0.3">
      <c r="A89" s="149">
        <v>0</v>
      </c>
      <c r="B89" s="170"/>
      <c r="C89" s="171"/>
      <c r="D89" s="171"/>
      <c r="E89" s="171"/>
      <c r="F89" s="172"/>
    </row>
    <row r="90" spans="1:13" x14ac:dyDescent="0.3">
      <c r="A90" s="149">
        <v>0</v>
      </c>
    </row>
    <row r="91" spans="1:13" x14ac:dyDescent="0.3">
      <c r="A91" s="149">
        <v>0</v>
      </c>
      <c r="B91" s="174" t="s">
        <v>20</v>
      </c>
      <c r="D91" s="149" t="s">
        <v>21</v>
      </c>
    </row>
    <row r="92" spans="1:13" x14ac:dyDescent="0.3">
      <c r="A92" s="149">
        <v>0</v>
      </c>
      <c r="B92" s="174" t="s">
        <v>12</v>
      </c>
      <c r="D92" s="149" t="s">
        <v>16</v>
      </c>
    </row>
    <row r="93" spans="1:13" x14ac:dyDescent="0.3">
      <c r="A93" s="149">
        <v>0</v>
      </c>
      <c r="D93" s="149" t="s">
        <v>22</v>
      </c>
    </row>
    <row r="94" spans="1:13" ht="14.4" customHeight="1" x14ac:dyDescent="0.3">
      <c r="A94" s="149">
        <v>0</v>
      </c>
      <c r="B94" s="172" t="s">
        <v>41</v>
      </c>
      <c r="C94" s="171"/>
      <c r="D94" s="149" t="str">
        <f>D1</f>
        <v>S A M Perera</v>
      </c>
      <c r="F94" s="172"/>
      <c r="G94" s="172"/>
      <c r="H94" s="172"/>
      <c r="I94" s="172" t="s">
        <v>40</v>
      </c>
      <c r="J94" s="172"/>
      <c r="K94" s="172"/>
      <c r="L94" s="149" t="str">
        <f>L1</f>
        <v>SAM/CENTRAL/KY/NC/26/DEC/1-A</v>
      </c>
    </row>
    <row r="95" spans="1:13" x14ac:dyDescent="0.3">
      <c r="A95" s="149">
        <v>0</v>
      </c>
    </row>
    <row r="96" spans="1:13" ht="24.9" customHeight="1" x14ac:dyDescent="0.3">
      <c r="A96" s="149">
        <v>0</v>
      </c>
      <c r="B96" s="183" t="s">
        <v>117</v>
      </c>
      <c r="C96" s="184"/>
      <c r="D96" s="184"/>
      <c r="E96" s="184"/>
      <c r="F96" s="185"/>
      <c r="G96" s="185"/>
      <c r="H96" s="185"/>
      <c r="I96" s="185"/>
      <c r="J96" s="185"/>
      <c r="K96" s="185"/>
      <c r="L96" s="184"/>
      <c r="M96" s="153"/>
    </row>
    <row r="97" spans="1:12" ht="69.599999999999994" customHeight="1" x14ac:dyDescent="0.3">
      <c r="A97" s="149">
        <v>0</v>
      </c>
      <c r="B97" s="91" t="s">
        <v>17</v>
      </c>
      <c r="C97" s="154" t="s">
        <v>18</v>
      </c>
      <c r="D97" s="155" t="s">
        <v>30</v>
      </c>
      <c r="E97" s="156" t="s">
        <v>19</v>
      </c>
      <c r="F97" s="157" t="s">
        <v>36</v>
      </c>
      <c r="G97" s="157" t="s">
        <v>38</v>
      </c>
      <c r="H97" s="157" t="s">
        <v>44</v>
      </c>
      <c r="I97" s="157" t="s">
        <v>45</v>
      </c>
      <c r="J97" s="157" t="s">
        <v>46</v>
      </c>
      <c r="K97" s="157" t="s">
        <v>53</v>
      </c>
      <c r="L97" s="154" t="s">
        <v>37</v>
      </c>
    </row>
    <row r="98" spans="1:12" x14ac:dyDescent="0.3">
      <c r="A98" s="149">
        <v>1</v>
      </c>
      <c r="B98" s="158">
        <v>1</v>
      </c>
      <c r="C98" s="51"/>
      <c r="D98" s="161"/>
      <c r="E98" s="180"/>
      <c r="F98" s="178"/>
      <c r="G98" s="178"/>
      <c r="H98" s="178"/>
      <c r="I98" s="178"/>
      <c r="J98" s="178"/>
      <c r="K98" s="177"/>
      <c r="L98" s="161"/>
    </row>
    <row r="99" spans="1:12" x14ac:dyDescent="0.3">
      <c r="A99" s="149">
        <v>2</v>
      </c>
      <c r="B99" s="158">
        <v>2</v>
      </c>
      <c r="C99" s="51"/>
      <c r="D99" s="161"/>
      <c r="E99" s="180"/>
      <c r="F99" s="177"/>
      <c r="G99" s="177"/>
      <c r="H99" s="177"/>
      <c r="I99" s="177"/>
      <c r="J99" s="177"/>
      <c r="K99" s="177"/>
      <c r="L99" s="161"/>
    </row>
    <row r="100" spans="1:12" x14ac:dyDescent="0.3">
      <c r="A100" s="149">
        <v>3</v>
      </c>
      <c r="B100" s="158">
        <v>3</v>
      </c>
      <c r="C100" s="51"/>
      <c r="D100" s="161"/>
      <c r="E100" s="180"/>
      <c r="F100" s="177"/>
      <c r="G100" s="177"/>
      <c r="H100" s="177"/>
      <c r="I100" s="177"/>
      <c r="J100" s="177"/>
      <c r="K100" s="177"/>
      <c r="L100" s="161"/>
    </row>
    <row r="101" spans="1:12" x14ac:dyDescent="0.3">
      <c r="A101" s="149">
        <v>4</v>
      </c>
      <c r="B101" s="158">
        <v>4</v>
      </c>
      <c r="C101" s="51"/>
      <c r="D101" s="161"/>
      <c r="E101" s="180"/>
      <c r="F101" s="178"/>
      <c r="G101" s="178"/>
      <c r="H101" s="178"/>
      <c r="I101" s="178"/>
      <c r="J101" s="178"/>
      <c r="K101" s="177"/>
      <c r="L101" s="161"/>
    </row>
    <row r="102" spans="1:12" x14ac:dyDescent="0.3">
      <c r="A102" s="149">
        <v>5</v>
      </c>
      <c r="B102" s="158">
        <v>5</v>
      </c>
      <c r="C102" s="51"/>
      <c r="D102" s="161"/>
      <c r="E102" s="180"/>
      <c r="F102" s="178"/>
      <c r="G102" s="178"/>
      <c r="H102" s="178"/>
      <c r="I102" s="178"/>
      <c r="J102" s="178"/>
      <c r="K102" s="177"/>
      <c r="L102" s="161"/>
    </row>
    <row r="103" spans="1:12" x14ac:dyDescent="0.3">
      <c r="A103" s="149">
        <v>6</v>
      </c>
      <c r="B103" s="158">
        <v>6</v>
      </c>
      <c r="C103" s="51"/>
      <c r="D103" s="161"/>
      <c r="E103" s="180"/>
      <c r="F103" s="178"/>
      <c r="G103" s="178"/>
      <c r="H103" s="178"/>
      <c r="I103" s="178"/>
      <c r="J103" s="178"/>
      <c r="K103" s="177"/>
      <c r="L103" s="161"/>
    </row>
    <row r="104" spans="1:12" x14ac:dyDescent="0.3">
      <c r="A104" s="149">
        <v>7</v>
      </c>
      <c r="B104" s="158">
        <v>7</v>
      </c>
      <c r="C104" s="51"/>
      <c r="D104" s="161"/>
      <c r="E104" s="180"/>
      <c r="F104" s="178"/>
      <c r="G104" s="178"/>
      <c r="H104" s="178"/>
      <c r="I104" s="178"/>
      <c r="J104" s="178"/>
      <c r="K104" s="177"/>
      <c r="L104" s="161"/>
    </row>
    <row r="105" spans="1:12" x14ac:dyDescent="0.3">
      <c r="A105" s="149">
        <v>8</v>
      </c>
      <c r="B105" s="158">
        <v>8</v>
      </c>
      <c r="C105" s="51"/>
      <c r="D105" s="161"/>
      <c r="E105" s="180"/>
      <c r="F105" s="177"/>
      <c r="G105" s="177"/>
      <c r="H105" s="177"/>
      <c r="I105" s="177"/>
      <c r="J105" s="177"/>
      <c r="K105" s="177"/>
      <c r="L105" s="161"/>
    </row>
    <row r="106" spans="1:12" x14ac:dyDescent="0.3">
      <c r="A106" s="149">
        <v>9</v>
      </c>
      <c r="B106" s="158">
        <v>9</v>
      </c>
      <c r="C106" s="51"/>
      <c r="D106" s="161"/>
      <c r="E106" s="180"/>
      <c r="F106" s="177"/>
      <c r="G106" s="177"/>
      <c r="H106" s="177"/>
      <c r="I106" s="177"/>
      <c r="J106" s="177"/>
      <c r="K106" s="177"/>
      <c r="L106" s="161"/>
    </row>
    <row r="107" spans="1:12" x14ac:dyDescent="0.3">
      <c r="A107" s="149">
        <v>10</v>
      </c>
      <c r="B107" s="158">
        <v>10</v>
      </c>
      <c r="C107" s="51"/>
      <c r="D107" s="161"/>
      <c r="E107" s="180"/>
      <c r="F107" s="178"/>
      <c r="G107" s="178"/>
      <c r="H107" s="178"/>
      <c r="I107" s="178"/>
      <c r="J107" s="178"/>
      <c r="K107" s="177"/>
      <c r="L107" s="161"/>
    </row>
    <row r="108" spans="1:12" x14ac:dyDescent="0.3">
      <c r="A108" s="149">
        <v>11</v>
      </c>
      <c r="B108" s="158">
        <v>11</v>
      </c>
      <c r="C108" s="51"/>
      <c r="D108" s="161"/>
      <c r="E108" s="180"/>
      <c r="F108" s="177"/>
      <c r="G108" s="177"/>
      <c r="H108" s="177"/>
      <c r="I108" s="177"/>
      <c r="J108" s="177"/>
      <c r="K108" s="177"/>
      <c r="L108" s="161"/>
    </row>
    <row r="109" spans="1:12" x14ac:dyDescent="0.3">
      <c r="A109" s="149">
        <v>12</v>
      </c>
      <c r="B109" s="158">
        <v>12</v>
      </c>
      <c r="C109" s="51"/>
      <c r="D109" s="161"/>
      <c r="E109" s="180"/>
      <c r="F109" s="178"/>
      <c r="G109" s="178"/>
      <c r="H109" s="178"/>
      <c r="I109" s="178"/>
      <c r="J109" s="178"/>
      <c r="K109" s="177"/>
      <c r="L109" s="161"/>
    </row>
    <row r="110" spans="1:12" x14ac:dyDescent="0.3">
      <c r="A110" s="149">
        <v>13</v>
      </c>
      <c r="B110" s="158">
        <v>13</v>
      </c>
      <c r="C110" s="51"/>
      <c r="D110" s="161"/>
      <c r="E110" s="180"/>
      <c r="F110" s="178"/>
      <c r="G110" s="178"/>
      <c r="H110" s="178"/>
      <c r="I110" s="178"/>
      <c r="J110" s="178"/>
      <c r="K110" s="177"/>
      <c r="L110" s="161"/>
    </row>
    <row r="111" spans="1:12" x14ac:dyDescent="0.3">
      <c r="A111" s="149">
        <v>14</v>
      </c>
      <c r="B111" s="158">
        <v>14</v>
      </c>
      <c r="C111" s="51"/>
      <c r="D111" s="161"/>
      <c r="E111" s="180"/>
      <c r="F111" s="178"/>
      <c r="G111" s="178"/>
      <c r="H111" s="178"/>
      <c r="I111" s="178"/>
      <c r="J111" s="178"/>
      <c r="K111" s="177"/>
      <c r="L111" s="161"/>
    </row>
    <row r="112" spans="1:12" x14ac:dyDescent="0.3">
      <c r="A112" s="149">
        <v>15</v>
      </c>
      <c r="B112" s="158">
        <v>15</v>
      </c>
      <c r="C112" s="51"/>
      <c r="D112" s="161"/>
      <c r="E112" s="180"/>
      <c r="F112" s="177"/>
      <c r="G112" s="177"/>
      <c r="H112" s="177"/>
      <c r="I112" s="177"/>
      <c r="J112" s="177"/>
      <c r="K112" s="177"/>
      <c r="L112" s="161"/>
    </row>
    <row r="113" spans="1:13" x14ac:dyDescent="0.3">
      <c r="A113" s="149">
        <v>16</v>
      </c>
      <c r="B113" s="158">
        <v>16</v>
      </c>
      <c r="C113" s="51"/>
      <c r="D113" s="161"/>
      <c r="E113" s="180"/>
      <c r="F113" s="178"/>
      <c r="G113" s="178"/>
      <c r="H113" s="178"/>
      <c r="I113" s="178"/>
      <c r="J113" s="178"/>
      <c r="K113" s="177"/>
      <c r="L113" s="161"/>
    </row>
    <row r="114" spans="1:13" x14ac:dyDescent="0.3">
      <c r="A114" s="149">
        <v>17</v>
      </c>
      <c r="B114" s="158">
        <v>17</v>
      </c>
      <c r="C114" s="51"/>
      <c r="D114" s="161"/>
      <c r="E114" s="180"/>
      <c r="F114" s="178"/>
      <c r="G114" s="178"/>
      <c r="H114" s="178"/>
      <c r="I114" s="178"/>
      <c r="J114" s="178"/>
      <c r="K114" s="177"/>
      <c r="L114" s="161"/>
    </row>
    <row r="115" spans="1:13" x14ac:dyDescent="0.3">
      <c r="A115" s="149">
        <v>18</v>
      </c>
      <c r="B115" s="158">
        <v>18</v>
      </c>
      <c r="C115" s="51"/>
      <c r="D115" s="161"/>
      <c r="E115" s="180"/>
      <c r="F115" s="177"/>
      <c r="G115" s="177"/>
      <c r="H115" s="177"/>
      <c r="I115" s="177"/>
      <c r="J115" s="177"/>
      <c r="K115" s="177"/>
      <c r="L115" s="161"/>
    </row>
    <row r="116" spans="1:13" x14ac:dyDescent="0.3">
      <c r="A116" s="149">
        <v>19</v>
      </c>
      <c r="B116" s="158">
        <v>19</v>
      </c>
      <c r="C116" s="177"/>
      <c r="D116" s="161"/>
      <c r="E116" s="186"/>
      <c r="F116" s="178"/>
      <c r="G116" s="178"/>
      <c r="H116" s="178"/>
      <c r="I116" s="178"/>
      <c r="J116" s="178"/>
      <c r="K116" s="177"/>
      <c r="L116" s="161"/>
    </row>
    <row r="117" spans="1:13" x14ac:dyDescent="0.3">
      <c r="A117" s="149">
        <v>20</v>
      </c>
      <c r="B117" s="158">
        <v>20</v>
      </c>
      <c r="C117" s="177"/>
      <c r="D117" s="161"/>
      <c r="E117" s="186"/>
      <c r="F117" s="178"/>
      <c r="G117" s="178"/>
      <c r="H117" s="178"/>
      <c r="I117" s="178"/>
      <c r="J117" s="178"/>
      <c r="K117" s="177"/>
      <c r="L117" s="161"/>
    </row>
    <row r="118" spans="1:13" ht="14.4" thickBot="1" x14ac:dyDescent="0.35">
      <c r="A118" s="149">
        <v>0</v>
      </c>
      <c r="B118" s="45" t="s">
        <v>24</v>
      </c>
      <c r="C118" s="167"/>
      <c r="D118" s="167"/>
      <c r="E118" s="167"/>
      <c r="F118" s="179">
        <f t="shared" ref="F118:L118" si="3">SUM(F98:F117)</f>
        <v>0</v>
      </c>
      <c r="G118" s="179">
        <f t="shared" si="3"/>
        <v>0</v>
      </c>
      <c r="H118" s="179">
        <f t="shared" si="3"/>
        <v>0</v>
      </c>
      <c r="I118" s="179">
        <f t="shared" si="3"/>
        <v>0</v>
      </c>
      <c r="J118" s="179">
        <f t="shared" si="3"/>
        <v>0</v>
      </c>
      <c r="K118" s="179">
        <f t="shared" si="3"/>
        <v>0</v>
      </c>
      <c r="L118" s="169">
        <f t="shared" si="3"/>
        <v>0</v>
      </c>
    </row>
    <row r="119" spans="1:13" ht="14.4" thickTop="1" x14ac:dyDescent="0.3">
      <c r="A119" s="149">
        <v>0</v>
      </c>
      <c r="B119" s="170"/>
      <c r="C119" s="171"/>
      <c r="D119" s="171"/>
      <c r="E119" s="171"/>
      <c r="F119" s="172"/>
    </row>
    <row r="120" spans="1:13" x14ac:dyDescent="0.3">
      <c r="A120" s="149">
        <v>0</v>
      </c>
      <c r="B120" s="170"/>
      <c r="C120" s="171"/>
      <c r="D120" s="171"/>
      <c r="E120" s="171"/>
      <c r="F120" s="172"/>
    </row>
    <row r="121" spans="1:13" x14ac:dyDescent="0.3">
      <c r="A121" s="149">
        <v>0</v>
      </c>
    </row>
    <row r="122" spans="1:13" x14ac:dyDescent="0.3">
      <c r="A122" s="149">
        <v>0</v>
      </c>
      <c r="B122" s="174" t="s">
        <v>20</v>
      </c>
      <c r="D122" s="149" t="s">
        <v>21</v>
      </c>
    </row>
    <row r="123" spans="1:13" x14ac:dyDescent="0.3">
      <c r="A123" s="149">
        <v>0</v>
      </c>
      <c r="B123" s="174" t="s">
        <v>12</v>
      </c>
      <c r="D123" s="149" t="s">
        <v>16</v>
      </c>
    </row>
    <row r="124" spans="1:13" x14ac:dyDescent="0.3">
      <c r="A124" s="149">
        <v>0</v>
      </c>
      <c r="D124" s="149" t="s">
        <v>22</v>
      </c>
    </row>
    <row r="125" spans="1:13" ht="14.4" customHeight="1" x14ac:dyDescent="0.3">
      <c r="A125" s="149">
        <v>0</v>
      </c>
      <c r="B125" s="172" t="s">
        <v>41</v>
      </c>
      <c r="C125" s="171"/>
      <c r="D125" s="149" t="str">
        <f>D1</f>
        <v>S A M Perera</v>
      </c>
      <c r="F125" s="172"/>
      <c r="G125" s="172"/>
      <c r="H125" s="172"/>
      <c r="I125" s="172" t="s">
        <v>40</v>
      </c>
      <c r="J125" s="172"/>
      <c r="K125" s="172"/>
      <c r="L125" s="149" t="str">
        <f>L1</f>
        <v>SAM/CENTRAL/KY/NC/26/DEC/1-A</v>
      </c>
    </row>
    <row r="126" spans="1:13" x14ac:dyDescent="0.3">
      <c r="A126" s="149">
        <v>0</v>
      </c>
    </row>
    <row r="127" spans="1:13" ht="24.9" customHeight="1" x14ac:dyDescent="0.3">
      <c r="A127" s="149">
        <v>0</v>
      </c>
      <c r="B127" s="183" t="s">
        <v>117</v>
      </c>
      <c r="C127" s="184"/>
      <c r="D127" s="184"/>
      <c r="E127" s="184"/>
      <c r="F127" s="185"/>
      <c r="G127" s="185"/>
      <c r="H127" s="185"/>
      <c r="I127" s="185"/>
      <c r="J127" s="185"/>
      <c r="K127" s="185"/>
      <c r="L127" s="184"/>
      <c r="M127" s="153"/>
    </row>
    <row r="128" spans="1:13" ht="69.599999999999994" customHeight="1" x14ac:dyDescent="0.3">
      <c r="A128" s="149">
        <v>0</v>
      </c>
      <c r="B128" s="91" t="s">
        <v>17</v>
      </c>
      <c r="C128" s="154" t="s">
        <v>18</v>
      </c>
      <c r="D128" s="155" t="s">
        <v>30</v>
      </c>
      <c r="E128" s="156" t="s">
        <v>19</v>
      </c>
      <c r="F128" s="157" t="s">
        <v>36</v>
      </c>
      <c r="G128" s="157" t="s">
        <v>38</v>
      </c>
      <c r="H128" s="157" t="s">
        <v>44</v>
      </c>
      <c r="I128" s="157" t="s">
        <v>45</v>
      </c>
      <c r="J128" s="157" t="s">
        <v>46</v>
      </c>
      <c r="K128" s="157" t="s">
        <v>53</v>
      </c>
      <c r="L128" s="154" t="s">
        <v>37</v>
      </c>
    </row>
    <row r="129" spans="1:12" x14ac:dyDescent="0.3">
      <c r="A129" s="149">
        <v>1</v>
      </c>
      <c r="B129" s="158">
        <v>1</v>
      </c>
      <c r="C129" s="51"/>
      <c r="D129" s="161"/>
      <c r="E129" s="165"/>
      <c r="F129" s="51"/>
      <c r="G129" s="51"/>
      <c r="H129" s="51"/>
      <c r="I129" s="51"/>
      <c r="J129" s="51"/>
      <c r="K129" s="51"/>
      <c r="L129" s="161"/>
    </row>
    <row r="130" spans="1:12" x14ac:dyDescent="0.3">
      <c r="A130" s="149">
        <v>2</v>
      </c>
      <c r="B130" s="158">
        <v>2</v>
      </c>
      <c r="C130" s="51"/>
      <c r="D130" s="161"/>
      <c r="E130" s="165"/>
      <c r="F130" s="51"/>
      <c r="G130" s="51"/>
      <c r="H130" s="51"/>
      <c r="I130" s="51"/>
      <c r="J130" s="51"/>
      <c r="K130" s="51"/>
      <c r="L130" s="161"/>
    </row>
    <row r="131" spans="1:12" x14ac:dyDescent="0.3">
      <c r="A131" s="149">
        <v>3</v>
      </c>
      <c r="B131" s="158">
        <v>3</v>
      </c>
      <c r="C131" s="51"/>
      <c r="D131" s="161"/>
      <c r="E131" s="165"/>
      <c r="F131" s="51"/>
      <c r="G131" s="51"/>
      <c r="H131" s="51"/>
      <c r="I131" s="51"/>
      <c r="J131" s="51"/>
      <c r="K131" s="51"/>
      <c r="L131" s="161"/>
    </row>
    <row r="132" spans="1:12" x14ac:dyDescent="0.3">
      <c r="A132" s="149">
        <v>4</v>
      </c>
      <c r="B132" s="158">
        <v>4</v>
      </c>
      <c r="C132" s="51"/>
      <c r="D132" s="161"/>
      <c r="E132" s="165"/>
      <c r="F132" s="51"/>
      <c r="G132" s="51"/>
      <c r="H132" s="51"/>
      <c r="I132" s="51"/>
      <c r="J132" s="51"/>
      <c r="K132" s="51"/>
      <c r="L132" s="161"/>
    </row>
    <row r="133" spans="1:12" x14ac:dyDescent="0.3">
      <c r="A133" s="149">
        <v>5</v>
      </c>
      <c r="B133" s="158">
        <v>5</v>
      </c>
      <c r="C133" s="51"/>
      <c r="D133" s="161"/>
      <c r="E133" s="165"/>
      <c r="F133" s="51"/>
      <c r="G133" s="51"/>
      <c r="H133" s="51"/>
      <c r="I133" s="51"/>
      <c r="J133" s="51"/>
      <c r="K133" s="51"/>
      <c r="L133" s="161"/>
    </row>
    <row r="134" spans="1:12" x14ac:dyDescent="0.3">
      <c r="A134" s="149">
        <v>6</v>
      </c>
      <c r="B134" s="158">
        <v>6</v>
      </c>
      <c r="C134" s="51"/>
      <c r="D134" s="161"/>
      <c r="E134" s="165"/>
      <c r="F134" s="51"/>
      <c r="G134" s="51"/>
      <c r="H134" s="51"/>
      <c r="I134" s="51"/>
      <c r="J134" s="51"/>
      <c r="K134" s="51"/>
      <c r="L134" s="161"/>
    </row>
    <row r="135" spans="1:12" x14ac:dyDescent="0.3">
      <c r="A135" s="149">
        <v>7</v>
      </c>
      <c r="B135" s="158">
        <v>7</v>
      </c>
      <c r="C135" s="51"/>
      <c r="D135" s="161"/>
      <c r="E135" s="165"/>
      <c r="F135" s="51"/>
      <c r="G135" s="51"/>
      <c r="H135" s="51"/>
      <c r="I135" s="51"/>
      <c r="J135" s="51"/>
      <c r="K135" s="51"/>
      <c r="L135" s="161"/>
    </row>
    <row r="136" spans="1:12" x14ac:dyDescent="0.3">
      <c r="A136" s="149">
        <v>8</v>
      </c>
      <c r="B136" s="158">
        <v>8</v>
      </c>
      <c r="C136" s="51"/>
      <c r="D136" s="161"/>
      <c r="E136" s="165"/>
      <c r="F136" s="51"/>
      <c r="G136" s="51"/>
      <c r="H136" s="51"/>
      <c r="I136" s="51"/>
      <c r="J136" s="51"/>
      <c r="K136" s="51"/>
      <c r="L136" s="161"/>
    </row>
    <row r="137" spans="1:12" x14ac:dyDescent="0.3">
      <c r="A137" s="149">
        <v>9</v>
      </c>
      <c r="B137" s="158">
        <v>9</v>
      </c>
      <c r="C137" s="51"/>
      <c r="D137" s="161"/>
      <c r="E137" s="165"/>
      <c r="F137" s="51"/>
      <c r="G137" s="51"/>
      <c r="H137" s="51"/>
      <c r="I137" s="51"/>
      <c r="J137" s="51"/>
      <c r="K137" s="51"/>
      <c r="L137" s="161"/>
    </row>
    <row r="138" spans="1:12" x14ac:dyDescent="0.3">
      <c r="A138" s="149">
        <v>10</v>
      </c>
      <c r="B138" s="158">
        <v>10</v>
      </c>
      <c r="C138" s="51"/>
      <c r="D138" s="161"/>
      <c r="E138" s="165"/>
      <c r="F138" s="51"/>
      <c r="G138" s="51"/>
      <c r="H138" s="51"/>
      <c r="I138" s="51"/>
      <c r="J138" s="51"/>
      <c r="K138" s="51"/>
      <c r="L138" s="161"/>
    </row>
    <row r="139" spans="1:12" x14ac:dyDescent="0.3">
      <c r="A139" s="149">
        <v>11</v>
      </c>
      <c r="B139" s="158">
        <v>11</v>
      </c>
      <c r="C139" s="51"/>
      <c r="D139" s="161"/>
      <c r="E139" s="165"/>
      <c r="F139" s="51"/>
      <c r="G139" s="51"/>
      <c r="H139" s="51"/>
      <c r="I139" s="51"/>
      <c r="J139" s="51"/>
      <c r="K139" s="51"/>
      <c r="L139" s="161"/>
    </row>
    <row r="140" spans="1:12" x14ac:dyDescent="0.3">
      <c r="A140" s="149">
        <v>12</v>
      </c>
      <c r="B140" s="158">
        <v>12</v>
      </c>
      <c r="C140" s="51"/>
      <c r="D140" s="161"/>
      <c r="E140" s="165"/>
      <c r="F140" s="51"/>
      <c r="G140" s="51"/>
      <c r="H140" s="51"/>
      <c r="I140" s="51"/>
      <c r="J140" s="51"/>
      <c r="K140" s="51"/>
      <c r="L140" s="161"/>
    </row>
    <row r="141" spans="1:12" x14ac:dyDescent="0.3">
      <c r="A141" s="149">
        <v>13</v>
      </c>
      <c r="B141" s="158">
        <v>13</v>
      </c>
      <c r="C141" s="51"/>
      <c r="D141" s="161"/>
      <c r="E141" s="165"/>
      <c r="F141" s="51"/>
      <c r="G141" s="51"/>
      <c r="H141" s="51"/>
      <c r="I141" s="51"/>
      <c r="J141" s="51"/>
      <c r="K141" s="51"/>
      <c r="L141" s="161"/>
    </row>
    <row r="142" spans="1:12" x14ac:dyDescent="0.3">
      <c r="A142" s="149">
        <v>14</v>
      </c>
      <c r="B142" s="158">
        <v>14</v>
      </c>
      <c r="C142" s="51"/>
      <c r="D142" s="161"/>
      <c r="E142" s="165"/>
      <c r="F142" s="51"/>
      <c r="G142" s="51"/>
      <c r="H142" s="51"/>
      <c r="I142" s="51"/>
      <c r="J142" s="51"/>
      <c r="K142" s="51"/>
      <c r="L142" s="161"/>
    </row>
    <row r="143" spans="1:12" x14ac:dyDescent="0.3">
      <c r="A143" s="149">
        <v>15</v>
      </c>
      <c r="B143" s="158">
        <v>15</v>
      </c>
      <c r="C143" s="51"/>
      <c r="D143" s="161"/>
      <c r="E143" s="165"/>
      <c r="F143" s="51"/>
      <c r="G143" s="51"/>
      <c r="H143" s="51"/>
      <c r="I143" s="51"/>
      <c r="J143" s="51"/>
      <c r="K143" s="51"/>
      <c r="L143" s="161"/>
    </row>
    <row r="144" spans="1:12" x14ac:dyDescent="0.3">
      <c r="A144" s="149">
        <v>16</v>
      </c>
      <c r="B144" s="158">
        <v>16</v>
      </c>
      <c r="C144" s="181"/>
      <c r="D144" s="161"/>
      <c r="E144" s="182"/>
      <c r="F144" s="50"/>
      <c r="G144" s="50"/>
      <c r="H144" s="50"/>
      <c r="I144" s="50"/>
      <c r="J144" s="50"/>
      <c r="K144" s="50"/>
      <c r="L144" s="161"/>
    </row>
    <row r="145" spans="1:13" x14ac:dyDescent="0.3">
      <c r="A145" s="149">
        <v>17</v>
      </c>
      <c r="B145" s="158">
        <v>17</v>
      </c>
      <c r="C145" s="181"/>
      <c r="D145" s="161"/>
      <c r="E145" s="182"/>
      <c r="F145" s="50"/>
      <c r="G145" s="50"/>
      <c r="H145" s="50"/>
      <c r="I145" s="50"/>
      <c r="J145" s="50"/>
      <c r="K145" s="50"/>
      <c r="L145" s="161"/>
    </row>
    <row r="146" spans="1:13" x14ac:dyDescent="0.3">
      <c r="A146" s="149">
        <v>18</v>
      </c>
      <c r="B146" s="158">
        <v>18</v>
      </c>
      <c r="C146" s="181"/>
      <c r="D146" s="161"/>
      <c r="E146" s="182"/>
      <c r="F146" s="50"/>
      <c r="G146" s="50"/>
      <c r="H146" s="50"/>
      <c r="I146" s="50"/>
      <c r="J146" s="50"/>
      <c r="K146" s="50"/>
      <c r="L146" s="161"/>
    </row>
    <row r="147" spans="1:13" x14ac:dyDescent="0.3">
      <c r="A147" s="149">
        <v>19</v>
      </c>
      <c r="B147" s="158">
        <v>19</v>
      </c>
      <c r="C147" s="181"/>
      <c r="D147" s="161"/>
      <c r="E147" s="182"/>
      <c r="F147" s="50"/>
      <c r="G147" s="50"/>
      <c r="H147" s="50"/>
      <c r="I147" s="50"/>
      <c r="J147" s="50"/>
      <c r="K147" s="50"/>
      <c r="L147" s="161"/>
    </row>
    <row r="148" spans="1:13" x14ac:dyDescent="0.3">
      <c r="A148" s="149">
        <v>20</v>
      </c>
      <c r="B148" s="158">
        <v>20</v>
      </c>
      <c r="C148" s="181"/>
      <c r="D148" s="161"/>
      <c r="E148" s="182"/>
      <c r="F148" s="50"/>
      <c r="G148" s="50"/>
      <c r="H148" s="50"/>
      <c r="I148" s="50"/>
      <c r="J148" s="50"/>
      <c r="K148" s="50"/>
      <c r="L148" s="161"/>
    </row>
    <row r="149" spans="1:13" ht="14.4" thickBot="1" x14ac:dyDescent="0.35">
      <c r="A149" s="149">
        <v>0</v>
      </c>
      <c r="B149" s="45" t="s">
        <v>24</v>
      </c>
      <c r="C149" s="167"/>
      <c r="D149" s="167"/>
      <c r="E149" s="167"/>
      <c r="F149" s="179">
        <f t="shared" ref="F149:L149" si="4">SUM(F129:F148)</f>
        <v>0</v>
      </c>
      <c r="G149" s="179">
        <f t="shared" si="4"/>
        <v>0</v>
      </c>
      <c r="H149" s="179">
        <f t="shared" si="4"/>
        <v>0</v>
      </c>
      <c r="I149" s="179">
        <f t="shared" si="4"/>
        <v>0</v>
      </c>
      <c r="J149" s="179">
        <f t="shared" si="4"/>
        <v>0</v>
      </c>
      <c r="K149" s="179">
        <f t="shared" si="4"/>
        <v>0</v>
      </c>
      <c r="L149" s="169">
        <f t="shared" si="4"/>
        <v>0</v>
      </c>
    </row>
    <row r="150" spans="1:13" ht="14.4" thickTop="1" x14ac:dyDescent="0.3">
      <c r="A150" s="149">
        <v>0</v>
      </c>
      <c r="B150" s="170"/>
      <c r="C150" s="171"/>
      <c r="D150" s="171"/>
      <c r="E150" s="171"/>
      <c r="F150" s="172"/>
    </row>
    <row r="151" spans="1:13" x14ac:dyDescent="0.3">
      <c r="A151" s="149">
        <v>0</v>
      </c>
      <c r="B151" s="170"/>
      <c r="C151" s="171"/>
      <c r="D151" s="171"/>
      <c r="E151" s="171"/>
      <c r="F151" s="172"/>
    </row>
    <row r="152" spans="1:13" x14ac:dyDescent="0.3">
      <c r="A152" s="149">
        <v>0</v>
      </c>
    </row>
    <row r="153" spans="1:13" x14ac:dyDescent="0.3">
      <c r="A153" s="149">
        <v>0</v>
      </c>
      <c r="B153" s="174" t="s">
        <v>20</v>
      </c>
      <c r="D153" s="149" t="s">
        <v>21</v>
      </c>
    </row>
    <row r="154" spans="1:13" x14ac:dyDescent="0.3">
      <c r="A154" s="149">
        <v>0</v>
      </c>
      <c r="B154" s="174" t="s">
        <v>12</v>
      </c>
      <c r="D154" s="149" t="s">
        <v>16</v>
      </c>
    </row>
    <row r="155" spans="1:13" x14ac:dyDescent="0.3">
      <c r="A155" s="149">
        <v>0</v>
      </c>
      <c r="D155" s="149" t="s">
        <v>22</v>
      </c>
    </row>
    <row r="156" spans="1:13" ht="14.4" customHeight="1" x14ac:dyDescent="0.3">
      <c r="A156" s="149">
        <v>0</v>
      </c>
      <c r="B156" s="172" t="s">
        <v>41</v>
      </c>
      <c r="C156" s="171"/>
      <c r="D156" s="149" t="str">
        <f>D1</f>
        <v>S A M Perera</v>
      </c>
      <c r="F156" s="172"/>
      <c r="G156" s="172"/>
      <c r="H156" s="172"/>
      <c r="I156" s="172" t="s">
        <v>40</v>
      </c>
      <c r="J156" s="172"/>
      <c r="K156" s="172"/>
      <c r="L156" s="149" t="str">
        <f>L1</f>
        <v>SAM/CENTRAL/KY/NC/26/DEC/1-A</v>
      </c>
    </row>
    <row r="157" spans="1:13" x14ac:dyDescent="0.3">
      <c r="A157" s="149">
        <v>0</v>
      </c>
    </row>
    <row r="158" spans="1:13" ht="24.9" customHeight="1" x14ac:dyDescent="0.3">
      <c r="A158" s="149">
        <v>0</v>
      </c>
      <c r="B158" s="183" t="s">
        <v>48</v>
      </c>
      <c r="C158" s="184"/>
      <c r="D158" s="184"/>
      <c r="E158" s="184"/>
      <c r="F158" s="185"/>
      <c r="G158" s="185"/>
      <c r="H158" s="185"/>
      <c r="I158" s="185"/>
      <c r="J158" s="185"/>
      <c r="K158" s="185"/>
      <c r="L158" s="184"/>
      <c r="M158" s="153"/>
    </row>
    <row r="159" spans="1:13" ht="69.599999999999994" customHeight="1" x14ac:dyDescent="0.3">
      <c r="A159" s="149">
        <v>0</v>
      </c>
      <c r="B159" s="91" t="s">
        <v>17</v>
      </c>
      <c r="C159" s="154" t="s">
        <v>18</v>
      </c>
      <c r="D159" s="155" t="s">
        <v>30</v>
      </c>
      <c r="E159" s="156" t="s">
        <v>19</v>
      </c>
      <c r="F159" s="157" t="s">
        <v>36</v>
      </c>
      <c r="G159" s="157" t="s">
        <v>38</v>
      </c>
      <c r="H159" s="157" t="s">
        <v>44</v>
      </c>
      <c r="I159" s="157" t="s">
        <v>45</v>
      </c>
      <c r="J159" s="157" t="s">
        <v>46</v>
      </c>
      <c r="K159" s="157" t="s">
        <v>53</v>
      </c>
      <c r="L159" s="154" t="s">
        <v>37</v>
      </c>
    </row>
    <row r="160" spans="1:13" x14ac:dyDescent="0.3">
      <c r="A160" s="149">
        <v>1</v>
      </c>
      <c r="B160" s="158">
        <v>1</v>
      </c>
      <c r="C160" s="181"/>
      <c r="D160" s="161"/>
      <c r="E160" s="182"/>
      <c r="F160" s="50"/>
      <c r="G160" s="50"/>
      <c r="H160" s="50"/>
      <c r="I160" s="50"/>
      <c r="J160" s="50"/>
      <c r="K160" s="50"/>
      <c r="L160" s="161"/>
    </row>
    <row r="161" spans="1:12" x14ac:dyDescent="0.3">
      <c r="A161" s="149">
        <v>2</v>
      </c>
      <c r="B161" s="158">
        <v>2</v>
      </c>
      <c r="C161" s="181"/>
      <c r="D161" s="161"/>
      <c r="E161" s="182"/>
      <c r="F161" s="50"/>
      <c r="G161" s="50"/>
      <c r="H161" s="50"/>
      <c r="I161" s="50"/>
      <c r="J161" s="50"/>
      <c r="K161" s="50"/>
      <c r="L161" s="161"/>
    </row>
    <row r="162" spans="1:12" x14ac:dyDescent="0.3">
      <c r="A162" s="149">
        <v>3</v>
      </c>
      <c r="B162" s="158">
        <v>3</v>
      </c>
      <c r="C162" s="181"/>
      <c r="D162" s="161"/>
      <c r="E162" s="182"/>
      <c r="F162" s="50"/>
      <c r="G162" s="50"/>
      <c r="H162" s="50"/>
      <c r="I162" s="50"/>
      <c r="J162" s="50"/>
      <c r="K162" s="50"/>
      <c r="L162" s="161"/>
    </row>
    <row r="163" spans="1:12" x14ac:dyDescent="0.3">
      <c r="A163" s="149">
        <v>4</v>
      </c>
      <c r="B163" s="158">
        <v>4</v>
      </c>
      <c r="C163" s="181"/>
      <c r="D163" s="161"/>
      <c r="E163" s="182"/>
      <c r="F163" s="50"/>
      <c r="G163" s="50"/>
      <c r="H163" s="50"/>
      <c r="I163" s="50"/>
      <c r="J163" s="50"/>
      <c r="K163" s="50"/>
      <c r="L163" s="161"/>
    </row>
    <row r="164" spans="1:12" x14ac:dyDescent="0.3">
      <c r="A164" s="149">
        <v>5</v>
      </c>
      <c r="B164" s="158">
        <v>5</v>
      </c>
      <c r="C164" s="181"/>
      <c r="D164" s="161"/>
      <c r="E164" s="182"/>
      <c r="F164" s="50"/>
      <c r="G164" s="50"/>
      <c r="H164" s="50"/>
      <c r="I164" s="50"/>
      <c r="J164" s="50"/>
      <c r="K164" s="50"/>
      <c r="L164" s="161"/>
    </row>
    <row r="165" spans="1:12" x14ac:dyDescent="0.3">
      <c r="A165" s="149">
        <v>6</v>
      </c>
      <c r="B165" s="158">
        <v>6</v>
      </c>
      <c r="C165" s="181"/>
      <c r="D165" s="161"/>
      <c r="E165" s="182"/>
      <c r="F165" s="50"/>
      <c r="G165" s="50"/>
      <c r="H165" s="50"/>
      <c r="I165" s="50"/>
      <c r="J165" s="50"/>
      <c r="K165" s="50"/>
      <c r="L165" s="161"/>
    </row>
    <row r="166" spans="1:12" x14ac:dyDescent="0.3">
      <c r="A166" s="149">
        <v>7</v>
      </c>
      <c r="B166" s="158">
        <v>7</v>
      </c>
      <c r="C166" s="181"/>
      <c r="D166" s="161"/>
      <c r="E166" s="182"/>
      <c r="F166" s="50"/>
      <c r="G166" s="50"/>
      <c r="H166" s="50"/>
      <c r="I166" s="50"/>
      <c r="J166" s="50"/>
      <c r="K166" s="50"/>
      <c r="L166" s="161"/>
    </row>
    <row r="167" spans="1:12" x14ac:dyDescent="0.3">
      <c r="A167" s="149">
        <v>8</v>
      </c>
      <c r="B167" s="158">
        <v>8</v>
      </c>
      <c r="C167" s="181"/>
      <c r="D167" s="161"/>
      <c r="E167" s="182"/>
      <c r="F167" s="50"/>
      <c r="G167" s="50"/>
      <c r="H167" s="50"/>
      <c r="I167" s="50"/>
      <c r="J167" s="50"/>
      <c r="K167" s="50"/>
      <c r="L167" s="161"/>
    </row>
    <row r="168" spans="1:12" x14ac:dyDescent="0.3">
      <c r="A168" s="149">
        <v>9</v>
      </c>
      <c r="B168" s="158">
        <v>9</v>
      </c>
      <c r="C168" s="181"/>
      <c r="D168" s="161"/>
      <c r="E168" s="182"/>
      <c r="F168" s="50"/>
      <c r="G168" s="50"/>
      <c r="H168" s="50"/>
      <c r="I168" s="50"/>
      <c r="J168" s="50"/>
      <c r="K168" s="50"/>
      <c r="L168" s="161"/>
    </row>
    <row r="169" spans="1:12" x14ac:dyDescent="0.3">
      <c r="A169" s="149">
        <v>10</v>
      </c>
      <c r="B169" s="158">
        <v>10</v>
      </c>
      <c r="C169" s="181"/>
      <c r="D169" s="161"/>
      <c r="E169" s="182"/>
      <c r="F169" s="50"/>
      <c r="G169" s="50"/>
      <c r="H169" s="50"/>
      <c r="I169" s="50"/>
      <c r="J169" s="50"/>
      <c r="K169" s="50"/>
      <c r="L169" s="161"/>
    </row>
    <row r="170" spans="1:12" x14ac:dyDescent="0.3">
      <c r="A170" s="149">
        <v>11</v>
      </c>
      <c r="B170" s="158">
        <v>11</v>
      </c>
      <c r="C170" s="181"/>
      <c r="D170" s="161"/>
      <c r="E170" s="182"/>
      <c r="F170" s="50"/>
      <c r="G170" s="50"/>
      <c r="H170" s="50"/>
      <c r="I170" s="50"/>
      <c r="J170" s="50"/>
      <c r="K170" s="50"/>
      <c r="L170" s="161"/>
    </row>
    <row r="171" spans="1:12" x14ac:dyDescent="0.3">
      <c r="A171" s="149">
        <v>12</v>
      </c>
      <c r="B171" s="158">
        <v>12</v>
      </c>
      <c r="C171" s="181"/>
      <c r="D171" s="161"/>
      <c r="E171" s="182"/>
      <c r="F171" s="50"/>
      <c r="G171" s="50"/>
      <c r="H171" s="50"/>
      <c r="I171" s="50"/>
      <c r="J171" s="50"/>
      <c r="K171" s="50"/>
      <c r="L171" s="161"/>
    </row>
    <row r="172" spans="1:12" x14ac:dyDescent="0.3">
      <c r="A172" s="149">
        <v>13</v>
      </c>
      <c r="B172" s="158">
        <v>13</v>
      </c>
      <c r="C172" s="181"/>
      <c r="D172" s="161"/>
      <c r="E172" s="182"/>
      <c r="F172" s="50"/>
      <c r="G172" s="50"/>
      <c r="H172" s="50"/>
      <c r="I172" s="50"/>
      <c r="J172" s="50"/>
      <c r="K172" s="50"/>
      <c r="L172" s="161"/>
    </row>
    <row r="173" spans="1:12" x14ac:dyDescent="0.3">
      <c r="A173" s="149">
        <v>14</v>
      </c>
      <c r="B173" s="158">
        <v>14</v>
      </c>
      <c r="C173" s="181"/>
      <c r="D173" s="161"/>
      <c r="E173" s="182"/>
      <c r="F173" s="50"/>
      <c r="G173" s="50"/>
      <c r="H173" s="50"/>
      <c r="I173" s="50"/>
      <c r="J173" s="50"/>
      <c r="K173" s="50"/>
      <c r="L173" s="161"/>
    </row>
    <row r="174" spans="1:12" x14ac:dyDescent="0.3">
      <c r="A174" s="149">
        <v>15</v>
      </c>
      <c r="B174" s="158">
        <v>15</v>
      </c>
      <c r="C174" s="181"/>
      <c r="D174" s="161"/>
      <c r="E174" s="182"/>
      <c r="F174" s="50"/>
      <c r="G174" s="50"/>
      <c r="H174" s="50"/>
      <c r="I174" s="50"/>
      <c r="J174" s="50"/>
      <c r="K174" s="50"/>
      <c r="L174" s="161"/>
    </row>
    <row r="175" spans="1:12" x14ac:dyDescent="0.3">
      <c r="A175" s="149">
        <v>16</v>
      </c>
      <c r="B175" s="158">
        <v>16</v>
      </c>
      <c r="C175" s="181"/>
      <c r="D175" s="161"/>
      <c r="E175" s="182"/>
      <c r="F175" s="50"/>
      <c r="G175" s="50"/>
      <c r="H175" s="50"/>
      <c r="I175" s="50"/>
      <c r="J175" s="50"/>
      <c r="K175" s="50"/>
      <c r="L175" s="161"/>
    </row>
    <row r="176" spans="1:12" x14ac:dyDescent="0.3">
      <c r="A176" s="149">
        <v>17</v>
      </c>
      <c r="B176" s="158">
        <v>17</v>
      </c>
      <c r="C176" s="181"/>
      <c r="D176" s="161"/>
      <c r="E176" s="182"/>
      <c r="F176" s="50"/>
      <c r="G176" s="50"/>
      <c r="H176" s="50"/>
      <c r="I176" s="50"/>
      <c r="J176" s="50"/>
      <c r="K176" s="50"/>
      <c r="L176" s="161"/>
    </row>
    <row r="177" spans="1:13" x14ac:dyDescent="0.3">
      <c r="A177" s="149">
        <v>18</v>
      </c>
      <c r="B177" s="158">
        <v>18</v>
      </c>
      <c r="C177" s="181"/>
      <c r="D177" s="161"/>
      <c r="E177" s="182"/>
      <c r="F177" s="50"/>
      <c r="G177" s="50"/>
      <c r="H177" s="50"/>
      <c r="I177" s="50"/>
      <c r="J177" s="50"/>
      <c r="K177" s="50"/>
      <c r="L177" s="161"/>
    </row>
    <row r="178" spans="1:13" x14ac:dyDescent="0.3">
      <c r="A178" s="149">
        <v>19</v>
      </c>
      <c r="B178" s="158">
        <v>19</v>
      </c>
      <c r="C178" s="181"/>
      <c r="D178" s="161"/>
      <c r="E178" s="182"/>
      <c r="F178" s="50"/>
      <c r="G178" s="50"/>
      <c r="H178" s="50"/>
      <c r="I178" s="50"/>
      <c r="J178" s="50"/>
      <c r="K178" s="50"/>
      <c r="L178" s="161"/>
    </row>
    <row r="179" spans="1:13" x14ac:dyDescent="0.3">
      <c r="A179" s="149">
        <v>20</v>
      </c>
      <c r="B179" s="158">
        <v>20</v>
      </c>
      <c r="C179" s="181"/>
      <c r="D179" s="161"/>
      <c r="E179" s="182"/>
      <c r="F179" s="50"/>
      <c r="G179" s="50"/>
      <c r="H179" s="50"/>
      <c r="I179" s="50"/>
      <c r="J179" s="50"/>
      <c r="K179" s="50"/>
      <c r="L179" s="161"/>
    </row>
    <row r="180" spans="1:13" ht="14.4" thickBot="1" x14ac:dyDescent="0.35">
      <c r="A180" s="149">
        <v>0</v>
      </c>
      <c r="B180" s="45" t="s">
        <v>24</v>
      </c>
      <c r="C180" s="167"/>
      <c r="D180" s="167"/>
      <c r="E180" s="167"/>
      <c r="F180" s="179">
        <f t="shared" ref="F180:L180" si="5">SUM(F160:F179)</f>
        <v>0</v>
      </c>
      <c r="G180" s="179">
        <f t="shared" si="5"/>
        <v>0</v>
      </c>
      <c r="H180" s="179">
        <f t="shared" si="5"/>
        <v>0</v>
      </c>
      <c r="I180" s="179">
        <f t="shared" si="5"/>
        <v>0</v>
      </c>
      <c r="J180" s="179">
        <f t="shared" si="5"/>
        <v>0</v>
      </c>
      <c r="K180" s="179">
        <f t="shared" si="5"/>
        <v>0</v>
      </c>
      <c r="L180" s="169">
        <f t="shared" si="5"/>
        <v>0</v>
      </c>
    </row>
    <row r="181" spans="1:13" ht="14.4" thickTop="1" x14ac:dyDescent="0.3">
      <c r="A181" s="149">
        <v>0</v>
      </c>
      <c r="B181" s="170"/>
      <c r="C181" s="171"/>
      <c r="D181" s="171"/>
      <c r="E181" s="171"/>
      <c r="F181" s="172"/>
    </row>
    <row r="182" spans="1:13" x14ac:dyDescent="0.3">
      <c r="A182" s="149">
        <v>0</v>
      </c>
      <c r="B182" s="170"/>
      <c r="C182" s="171"/>
      <c r="D182" s="171"/>
      <c r="E182" s="171"/>
      <c r="F182" s="172"/>
    </row>
    <row r="183" spans="1:13" x14ac:dyDescent="0.3">
      <c r="A183" s="149">
        <v>0</v>
      </c>
    </row>
    <row r="184" spans="1:13" x14ac:dyDescent="0.3">
      <c r="A184" s="149">
        <v>0</v>
      </c>
      <c r="B184" s="174" t="s">
        <v>20</v>
      </c>
      <c r="D184" s="149" t="s">
        <v>21</v>
      </c>
    </row>
    <row r="185" spans="1:13" x14ac:dyDescent="0.3">
      <c r="A185" s="149">
        <v>0</v>
      </c>
      <c r="B185" s="174" t="s">
        <v>12</v>
      </c>
      <c r="D185" s="149" t="s">
        <v>16</v>
      </c>
    </row>
    <row r="186" spans="1:13" x14ac:dyDescent="0.3">
      <c r="A186" s="149">
        <v>0</v>
      </c>
      <c r="D186" s="149" t="s">
        <v>22</v>
      </c>
    </row>
    <row r="187" spans="1:13" ht="14.4" customHeight="1" x14ac:dyDescent="0.3">
      <c r="A187" s="149">
        <v>0</v>
      </c>
      <c r="B187" s="172" t="s">
        <v>41</v>
      </c>
      <c r="C187" s="171"/>
      <c r="D187" s="149" t="str">
        <f>D1</f>
        <v>S A M Perera</v>
      </c>
      <c r="F187" s="172"/>
      <c r="G187" s="172"/>
      <c r="H187" s="172"/>
      <c r="I187" s="172" t="s">
        <v>40</v>
      </c>
      <c r="J187" s="172"/>
      <c r="K187" s="172"/>
      <c r="L187" s="149" t="str">
        <f>L1</f>
        <v>SAM/CENTRAL/KY/NC/26/DEC/1-A</v>
      </c>
    </row>
    <row r="188" spans="1:13" x14ac:dyDescent="0.3">
      <c r="A188" s="149">
        <v>0</v>
      </c>
    </row>
    <row r="189" spans="1:13" ht="24.9" customHeight="1" x14ac:dyDescent="0.3">
      <c r="A189" s="149">
        <v>0</v>
      </c>
      <c r="B189" s="183" t="s">
        <v>48</v>
      </c>
      <c r="C189" s="184"/>
      <c r="D189" s="184"/>
      <c r="E189" s="184"/>
      <c r="F189" s="185"/>
      <c r="G189" s="185"/>
      <c r="H189" s="185"/>
      <c r="I189" s="185"/>
      <c r="J189" s="185"/>
      <c r="K189" s="185"/>
      <c r="L189" s="184"/>
      <c r="M189" s="153"/>
    </row>
    <row r="190" spans="1:13" ht="69.599999999999994" customHeight="1" x14ac:dyDescent="0.3">
      <c r="A190" s="149">
        <v>0</v>
      </c>
      <c r="B190" s="91" t="s">
        <v>17</v>
      </c>
      <c r="C190" s="154" t="s">
        <v>18</v>
      </c>
      <c r="D190" s="155" t="s">
        <v>30</v>
      </c>
      <c r="E190" s="156" t="s">
        <v>19</v>
      </c>
      <c r="F190" s="157" t="s">
        <v>36</v>
      </c>
      <c r="G190" s="157" t="s">
        <v>38</v>
      </c>
      <c r="H190" s="157" t="s">
        <v>44</v>
      </c>
      <c r="I190" s="157" t="s">
        <v>45</v>
      </c>
      <c r="J190" s="157" t="s">
        <v>46</v>
      </c>
      <c r="K190" s="157" t="s">
        <v>53</v>
      </c>
      <c r="L190" s="154" t="s">
        <v>37</v>
      </c>
    </row>
    <row r="191" spans="1:13" x14ac:dyDescent="0.3">
      <c r="A191" s="149">
        <v>1</v>
      </c>
      <c r="B191" s="158">
        <v>1</v>
      </c>
      <c r="C191" s="181"/>
      <c r="D191" s="161"/>
      <c r="E191" s="182"/>
      <c r="F191" s="50"/>
      <c r="G191" s="50"/>
      <c r="H191" s="50"/>
      <c r="I191" s="50"/>
      <c r="J191" s="50"/>
      <c r="K191" s="50"/>
      <c r="L191" s="161"/>
    </row>
    <row r="192" spans="1:13" x14ac:dyDescent="0.3">
      <c r="A192" s="149">
        <v>2</v>
      </c>
      <c r="B192" s="158">
        <v>2</v>
      </c>
      <c r="C192" s="181"/>
      <c r="D192" s="161"/>
      <c r="E192" s="182"/>
      <c r="F192" s="50"/>
      <c r="G192" s="50"/>
      <c r="H192" s="50"/>
      <c r="I192" s="50"/>
      <c r="J192" s="50"/>
      <c r="K192" s="50"/>
      <c r="L192" s="161"/>
    </row>
    <row r="193" spans="1:12" x14ac:dyDescent="0.3">
      <c r="A193" s="149">
        <v>3</v>
      </c>
      <c r="B193" s="158">
        <v>3</v>
      </c>
      <c r="C193" s="181"/>
      <c r="D193" s="161"/>
      <c r="E193" s="182"/>
      <c r="F193" s="50"/>
      <c r="G193" s="50"/>
      <c r="H193" s="50"/>
      <c r="I193" s="50"/>
      <c r="J193" s="50"/>
      <c r="K193" s="50"/>
      <c r="L193" s="161"/>
    </row>
    <row r="194" spans="1:12" x14ac:dyDescent="0.3">
      <c r="A194" s="149">
        <v>4</v>
      </c>
      <c r="B194" s="158">
        <v>4</v>
      </c>
      <c r="C194" s="181"/>
      <c r="D194" s="161"/>
      <c r="E194" s="182"/>
      <c r="F194" s="50"/>
      <c r="G194" s="50"/>
      <c r="H194" s="50"/>
      <c r="I194" s="50"/>
      <c r="J194" s="50"/>
      <c r="K194" s="50"/>
      <c r="L194" s="161"/>
    </row>
    <row r="195" spans="1:12" x14ac:dyDescent="0.3">
      <c r="A195" s="149">
        <v>5</v>
      </c>
      <c r="B195" s="158">
        <v>5</v>
      </c>
      <c r="C195" s="181"/>
      <c r="D195" s="161"/>
      <c r="E195" s="182"/>
      <c r="F195" s="50"/>
      <c r="G195" s="50"/>
      <c r="H195" s="50"/>
      <c r="I195" s="50"/>
      <c r="J195" s="50"/>
      <c r="K195" s="50"/>
      <c r="L195" s="161"/>
    </row>
    <row r="196" spans="1:12" x14ac:dyDescent="0.3">
      <c r="A196" s="149">
        <v>6</v>
      </c>
      <c r="B196" s="158">
        <v>6</v>
      </c>
      <c r="C196" s="181"/>
      <c r="D196" s="161"/>
      <c r="E196" s="182"/>
      <c r="F196" s="50"/>
      <c r="G196" s="50"/>
      <c r="H196" s="50"/>
      <c r="I196" s="50"/>
      <c r="J196" s="50"/>
      <c r="K196" s="50"/>
      <c r="L196" s="161"/>
    </row>
    <row r="197" spans="1:12" x14ac:dyDescent="0.3">
      <c r="A197" s="149">
        <v>7</v>
      </c>
      <c r="B197" s="158">
        <v>7</v>
      </c>
      <c r="C197" s="181"/>
      <c r="D197" s="161"/>
      <c r="E197" s="182"/>
      <c r="F197" s="50"/>
      <c r="G197" s="50"/>
      <c r="H197" s="50"/>
      <c r="I197" s="50"/>
      <c r="J197" s="50"/>
      <c r="K197" s="50"/>
      <c r="L197" s="161"/>
    </row>
    <row r="198" spans="1:12" x14ac:dyDescent="0.3">
      <c r="A198" s="149">
        <v>8</v>
      </c>
      <c r="B198" s="158">
        <v>8</v>
      </c>
      <c r="C198" s="181"/>
      <c r="D198" s="161"/>
      <c r="E198" s="182"/>
      <c r="F198" s="50"/>
      <c r="G198" s="50"/>
      <c r="H198" s="50"/>
      <c r="I198" s="50"/>
      <c r="J198" s="50"/>
      <c r="K198" s="50"/>
      <c r="L198" s="161"/>
    </row>
    <row r="199" spans="1:12" x14ac:dyDescent="0.3">
      <c r="A199" s="149">
        <v>9</v>
      </c>
      <c r="B199" s="158">
        <v>9</v>
      </c>
      <c r="C199" s="181"/>
      <c r="D199" s="161"/>
      <c r="E199" s="182"/>
      <c r="F199" s="50"/>
      <c r="G199" s="50"/>
      <c r="H199" s="50"/>
      <c r="I199" s="50"/>
      <c r="J199" s="50"/>
      <c r="K199" s="50"/>
      <c r="L199" s="161"/>
    </row>
    <row r="200" spans="1:12" x14ac:dyDescent="0.3">
      <c r="A200" s="149">
        <v>10</v>
      </c>
      <c r="B200" s="158">
        <v>10</v>
      </c>
      <c r="C200" s="181"/>
      <c r="D200" s="161"/>
      <c r="E200" s="182"/>
      <c r="F200" s="50"/>
      <c r="G200" s="50"/>
      <c r="H200" s="50"/>
      <c r="I200" s="50"/>
      <c r="J200" s="50"/>
      <c r="K200" s="50"/>
      <c r="L200" s="161"/>
    </row>
    <row r="201" spans="1:12" x14ac:dyDescent="0.3">
      <c r="A201" s="149">
        <v>11</v>
      </c>
      <c r="B201" s="158">
        <v>11</v>
      </c>
      <c r="C201" s="181"/>
      <c r="D201" s="161"/>
      <c r="E201" s="182"/>
      <c r="F201" s="50"/>
      <c r="G201" s="50"/>
      <c r="H201" s="50"/>
      <c r="I201" s="50"/>
      <c r="J201" s="50"/>
      <c r="K201" s="50"/>
      <c r="L201" s="161"/>
    </row>
    <row r="202" spans="1:12" x14ac:dyDescent="0.3">
      <c r="A202" s="149">
        <v>12</v>
      </c>
      <c r="B202" s="158">
        <v>12</v>
      </c>
      <c r="C202" s="181"/>
      <c r="D202" s="161"/>
      <c r="E202" s="182"/>
      <c r="F202" s="50"/>
      <c r="G202" s="50"/>
      <c r="H202" s="50"/>
      <c r="I202" s="50"/>
      <c r="J202" s="50"/>
      <c r="K202" s="50"/>
      <c r="L202" s="161"/>
    </row>
    <row r="203" spans="1:12" x14ac:dyDescent="0.3">
      <c r="A203" s="149">
        <v>13</v>
      </c>
      <c r="B203" s="158">
        <v>13</v>
      </c>
      <c r="C203" s="181"/>
      <c r="D203" s="161"/>
      <c r="E203" s="182"/>
      <c r="F203" s="50"/>
      <c r="G203" s="50"/>
      <c r="H203" s="50"/>
      <c r="I203" s="50"/>
      <c r="J203" s="50"/>
      <c r="K203" s="50"/>
      <c r="L203" s="161"/>
    </row>
    <row r="204" spans="1:12" x14ac:dyDescent="0.3">
      <c r="A204" s="149">
        <v>14</v>
      </c>
      <c r="B204" s="158">
        <v>14</v>
      </c>
      <c r="C204" s="181"/>
      <c r="D204" s="161"/>
      <c r="E204" s="182"/>
      <c r="F204" s="50"/>
      <c r="G204" s="50"/>
      <c r="H204" s="50"/>
      <c r="I204" s="50"/>
      <c r="J204" s="50"/>
      <c r="K204" s="50"/>
      <c r="L204" s="161"/>
    </row>
    <row r="205" spans="1:12" x14ac:dyDescent="0.3">
      <c r="A205" s="149">
        <v>15</v>
      </c>
      <c r="B205" s="158">
        <v>15</v>
      </c>
      <c r="C205" s="181"/>
      <c r="D205" s="161"/>
      <c r="E205" s="182"/>
      <c r="F205" s="50"/>
      <c r="G205" s="50"/>
      <c r="H205" s="50"/>
      <c r="I205" s="50"/>
      <c r="J205" s="50"/>
      <c r="K205" s="50"/>
      <c r="L205" s="161"/>
    </row>
    <row r="206" spans="1:12" x14ac:dyDescent="0.3">
      <c r="A206" s="149">
        <v>16</v>
      </c>
      <c r="B206" s="158">
        <v>16</v>
      </c>
      <c r="C206" s="181"/>
      <c r="D206" s="161"/>
      <c r="E206" s="182"/>
      <c r="F206" s="50"/>
      <c r="G206" s="50"/>
      <c r="H206" s="50"/>
      <c r="I206" s="50"/>
      <c r="J206" s="50"/>
      <c r="K206" s="50"/>
      <c r="L206" s="161"/>
    </row>
    <row r="207" spans="1:12" x14ac:dyDescent="0.3">
      <c r="A207" s="149">
        <v>17</v>
      </c>
      <c r="B207" s="158">
        <v>17</v>
      </c>
      <c r="C207" s="181"/>
      <c r="D207" s="161"/>
      <c r="E207" s="182"/>
      <c r="F207" s="50"/>
      <c r="G207" s="50"/>
      <c r="H207" s="50"/>
      <c r="I207" s="50"/>
      <c r="J207" s="50"/>
      <c r="K207" s="50"/>
      <c r="L207" s="161"/>
    </row>
    <row r="208" spans="1:12" x14ac:dyDescent="0.3">
      <c r="A208" s="149">
        <v>18</v>
      </c>
      <c r="B208" s="158">
        <v>18</v>
      </c>
      <c r="C208" s="181"/>
      <c r="D208" s="161"/>
      <c r="E208" s="182"/>
      <c r="F208" s="50"/>
      <c r="G208" s="50"/>
      <c r="H208" s="50"/>
      <c r="I208" s="50"/>
      <c r="J208" s="50"/>
      <c r="K208" s="50"/>
      <c r="L208" s="161"/>
    </row>
    <row r="209" spans="1:13" x14ac:dyDescent="0.3">
      <c r="A209" s="149">
        <v>19</v>
      </c>
      <c r="B209" s="158">
        <v>19</v>
      </c>
      <c r="C209" s="181"/>
      <c r="D209" s="161"/>
      <c r="E209" s="182"/>
      <c r="F209" s="50"/>
      <c r="G209" s="50"/>
      <c r="H209" s="50"/>
      <c r="I209" s="50"/>
      <c r="J209" s="50"/>
      <c r="K209" s="50"/>
      <c r="L209" s="161"/>
    </row>
    <row r="210" spans="1:13" x14ac:dyDescent="0.3">
      <c r="A210" s="149">
        <v>20</v>
      </c>
      <c r="B210" s="158">
        <v>20</v>
      </c>
      <c r="C210" s="181"/>
      <c r="D210" s="161"/>
      <c r="E210" s="182"/>
      <c r="F210" s="50"/>
      <c r="G210" s="50"/>
      <c r="H210" s="50"/>
      <c r="I210" s="50"/>
      <c r="J210" s="50"/>
      <c r="K210" s="50"/>
      <c r="L210" s="161"/>
    </row>
    <row r="211" spans="1:13" ht="14.4" thickBot="1" x14ac:dyDescent="0.35">
      <c r="A211" s="149">
        <v>0</v>
      </c>
      <c r="B211" s="45" t="s">
        <v>24</v>
      </c>
      <c r="C211" s="167"/>
      <c r="D211" s="167"/>
      <c r="E211" s="167"/>
      <c r="F211" s="179">
        <f t="shared" ref="F211:L211" si="6">SUM(F191:F210)</f>
        <v>0</v>
      </c>
      <c r="G211" s="179">
        <f t="shared" si="6"/>
        <v>0</v>
      </c>
      <c r="H211" s="179">
        <f t="shared" si="6"/>
        <v>0</v>
      </c>
      <c r="I211" s="179">
        <f t="shared" si="6"/>
        <v>0</v>
      </c>
      <c r="J211" s="179">
        <f t="shared" si="6"/>
        <v>0</v>
      </c>
      <c r="K211" s="179">
        <f t="shared" si="6"/>
        <v>0</v>
      </c>
      <c r="L211" s="169">
        <f t="shared" si="6"/>
        <v>0</v>
      </c>
    </row>
    <row r="212" spans="1:13" ht="14.4" thickTop="1" x14ac:dyDescent="0.3">
      <c r="A212" s="149">
        <v>0</v>
      </c>
      <c r="B212" s="170"/>
      <c r="C212" s="171"/>
      <c r="D212" s="171"/>
      <c r="E212" s="171"/>
      <c r="F212" s="172"/>
    </row>
    <row r="213" spans="1:13" x14ac:dyDescent="0.3">
      <c r="A213" s="149">
        <v>0</v>
      </c>
      <c r="B213" s="170"/>
      <c r="C213" s="171"/>
      <c r="D213" s="171"/>
      <c r="E213" s="171"/>
      <c r="F213" s="172"/>
    </row>
    <row r="214" spans="1:13" x14ac:dyDescent="0.3">
      <c r="A214" s="149">
        <v>0</v>
      </c>
    </row>
    <row r="215" spans="1:13" x14ac:dyDescent="0.3">
      <c r="A215" s="149">
        <v>0</v>
      </c>
      <c r="B215" s="174" t="s">
        <v>20</v>
      </c>
      <c r="D215" s="149" t="s">
        <v>21</v>
      </c>
    </row>
    <row r="216" spans="1:13" x14ac:dyDescent="0.3">
      <c r="A216" s="149">
        <v>0</v>
      </c>
      <c r="B216" s="174" t="s">
        <v>12</v>
      </c>
      <c r="D216" s="149" t="s">
        <v>16</v>
      </c>
    </row>
    <row r="217" spans="1:13" x14ac:dyDescent="0.3">
      <c r="A217" s="149">
        <v>0</v>
      </c>
      <c r="D217" s="149" t="s">
        <v>22</v>
      </c>
    </row>
    <row r="218" spans="1:13" ht="14.4" customHeight="1" x14ac:dyDescent="0.3">
      <c r="A218" s="149">
        <v>0</v>
      </c>
      <c r="B218" s="172" t="s">
        <v>41</v>
      </c>
      <c r="C218" s="171"/>
      <c r="D218" s="149" t="str">
        <f>D1</f>
        <v>S A M Perera</v>
      </c>
      <c r="F218" s="172"/>
      <c r="G218" s="172"/>
      <c r="H218" s="172"/>
      <c r="I218" s="172" t="s">
        <v>40</v>
      </c>
      <c r="J218" s="172"/>
      <c r="K218" s="172"/>
      <c r="L218" s="149" t="str">
        <f>L1</f>
        <v>SAM/CENTRAL/KY/NC/26/DEC/1-A</v>
      </c>
    </row>
    <row r="219" spans="1:13" x14ac:dyDescent="0.3">
      <c r="A219" s="149">
        <v>0</v>
      </c>
    </row>
    <row r="220" spans="1:13" ht="24.9" customHeight="1" x14ac:dyDescent="0.3">
      <c r="A220" s="149">
        <v>0</v>
      </c>
      <c r="B220" s="183" t="s">
        <v>48</v>
      </c>
      <c r="C220" s="184"/>
      <c r="D220" s="184"/>
      <c r="E220" s="184"/>
      <c r="F220" s="185"/>
      <c r="G220" s="185"/>
      <c r="H220" s="185"/>
      <c r="I220" s="185"/>
      <c r="J220" s="185"/>
      <c r="K220" s="185"/>
      <c r="L220" s="184"/>
      <c r="M220" s="153"/>
    </row>
    <row r="221" spans="1:13" ht="69.599999999999994" customHeight="1" x14ac:dyDescent="0.3">
      <c r="A221" s="149">
        <v>0</v>
      </c>
      <c r="B221" s="91" t="s">
        <v>17</v>
      </c>
      <c r="C221" s="154" t="s">
        <v>18</v>
      </c>
      <c r="D221" s="155" t="s">
        <v>30</v>
      </c>
      <c r="E221" s="156" t="s">
        <v>19</v>
      </c>
      <c r="F221" s="157" t="s">
        <v>36</v>
      </c>
      <c r="G221" s="157" t="s">
        <v>38</v>
      </c>
      <c r="H221" s="157" t="s">
        <v>44</v>
      </c>
      <c r="I221" s="157" t="s">
        <v>45</v>
      </c>
      <c r="J221" s="157" t="s">
        <v>46</v>
      </c>
      <c r="K221" s="157" t="s">
        <v>53</v>
      </c>
      <c r="L221" s="154" t="s">
        <v>37</v>
      </c>
    </row>
    <row r="222" spans="1:13" x14ac:dyDescent="0.3">
      <c r="A222" s="149">
        <v>1</v>
      </c>
      <c r="B222" s="158">
        <v>1</v>
      </c>
      <c r="C222" s="181"/>
      <c r="D222" s="161"/>
      <c r="E222" s="182"/>
      <c r="F222" s="50"/>
      <c r="G222" s="50"/>
      <c r="H222" s="50"/>
      <c r="I222" s="50"/>
      <c r="J222" s="50"/>
      <c r="K222" s="50"/>
      <c r="L222" s="161"/>
    </row>
    <row r="223" spans="1:13" x14ac:dyDescent="0.3">
      <c r="A223" s="149">
        <v>2</v>
      </c>
      <c r="B223" s="158">
        <v>2</v>
      </c>
      <c r="C223" s="181"/>
      <c r="D223" s="161"/>
      <c r="E223" s="182"/>
      <c r="F223" s="50"/>
      <c r="G223" s="50"/>
      <c r="H223" s="50"/>
      <c r="I223" s="50"/>
      <c r="J223" s="50"/>
      <c r="K223" s="50"/>
      <c r="L223" s="161"/>
    </row>
    <row r="224" spans="1:13" x14ac:dyDescent="0.3">
      <c r="A224" s="149">
        <v>3</v>
      </c>
      <c r="B224" s="158">
        <v>3</v>
      </c>
      <c r="C224" s="181"/>
      <c r="D224" s="161"/>
      <c r="E224" s="182"/>
      <c r="F224" s="50"/>
      <c r="G224" s="50"/>
      <c r="H224" s="50"/>
      <c r="I224" s="50"/>
      <c r="J224" s="50"/>
      <c r="K224" s="50"/>
      <c r="L224" s="161"/>
    </row>
    <row r="225" spans="1:12" x14ac:dyDescent="0.3">
      <c r="A225" s="149">
        <v>4</v>
      </c>
      <c r="B225" s="158">
        <v>4</v>
      </c>
      <c r="C225" s="181"/>
      <c r="D225" s="161"/>
      <c r="E225" s="182"/>
      <c r="F225" s="50"/>
      <c r="G225" s="50"/>
      <c r="H225" s="50"/>
      <c r="I225" s="50"/>
      <c r="J225" s="50"/>
      <c r="K225" s="50"/>
      <c r="L225" s="161"/>
    </row>
    <row r="226" spans="1:12" x14ac:dyDescent="0.3">
      <c r="A226" s="149">
        <v>5</v>
      </c>
      <c r="B226" s="158">
        <v>5</v>
      </c>
      <c r="C226" s="181"/>
      <c r="D226" s="161"/>
      <c r="E226" s="182"/>
      <c r="F226" s="50"/>
      <c r="G226" s="50"/>
      <c r="H226" s="50"/>
      <c r="I226" s="50"/>
      <c r="J226" s="50"/>
      <c r="K226" s="50"/>
      <c r="L226" s="161"/>
    </row>
    <row r="227" spans="1:12" x14ac:dyDescent="0.3">
      <c r="A227" s="149">
        <v>6</v>
      </c>
      <c r="B227" s="158">
        <v>6</v>
      </c>
      <c r="C227" s="181"/>
      <c r="D227" s="161"/>
      <c r="E227" s="182"/>
      <c r="F227" s="50"/>
      <c r="G227" s="50"/>
      <c r="H227" s="50"/>
      <c r="I227" s="50"/>
      <c r="J227" s="50"/>
      <c r="K227" s="50"/>
      <c r="L227" s="161"/>
    </row>
    <row r="228" spans="1:12" x14ac:dyDescent="0.3">
      <c r="A228" s="149">
        <v>7</v>
      </c>
      <c r="B228" s="158">
        <v>7</v>
      </c>
      <c r="C228" s="181"/>
      <c r="D228" s="161"/>
      <c r="E228" s="182"/>
      <c r="F228" s="50"/>
      <c r="G228" s="50"/>
      <c r="H228" s="50"/>
      <c r="I228" s="50"/>
      <c r="J228" s="50"/>
      <c r="K228" s="50"/>
      <c r="L228" s="161"/>
    </row>
    <row r="229" spans="1:12" x14ac:dyDescent="0.3">
      <c r="A229" s="149">
        <v>8</v>
      </c>
      <c r="B229" s="158">
        <v>8</v>
      </c>
      <c r="C229" s="181"/>
      <c r="D229" s="161"/>
      <c r="E229" s="182"/>
      <c r="F229" s="50"/>
      <c r="G229" s="50"/>
      <c r="H229" s="50"/>
      <c r="I229" s="50"/>
      <c r="J229" s="50"/>
      <c r="K229" s="50"/>
      <c r="L229" s="161"/>
    </row>
    <row r="230" spans="1:12" x14ac:dyDescent="0.3">
      <c r="A230" s="149">
        <v>9</v>
      </c>
      <c r="B230" s="158">
        <v>9</v>
      </c>
      <c r="C230" s="181"/>
      <c r="D230" s="161"/>
      <c r="E230" s="182"/>
      <c r="F230" s="50"/>
      <c r="G230" s="50"/>
      <c r="H230" s="50"/>
      <c r="I230" s="50"/>
      <c r="J230" s="50"/>
      <c r="K230" s="50"/>
      <c r="L230" s="161"/>
    </row>
    <row r="231" spans="1:12" x14ac:dyDescent="0.3">
      <c r="A231" s="149">
        <v>10</v>
      </c>
      <c r="B231" s="158">
        <v>10</v>
      </c>
      <c r="C231" s="181"/>
      <c r="D231" s="161"/>
      <c r="E231" s="182"/>
      <c r="F231" s="50"/>
      <c r="G231" s="50"/>
      <c r="H231" s="50"/>
      <c r="I231" s="50"/>
      <c r="J231" s="50"/>
      <c r="K231" s="50"/>
      <c r="L231" s="161"/>
    </row>
    <row r="232" spans="1:12" x14ac:dyDescent="0.3">
      <c r="A232" s="149">
        <v>11</v>
      </c>
      <c r="B232" s="158">
        <v>11</v>
      </c>
      <c r="C232" s="181"/>
      <c r="D232" s="161"/>
      <c r="E232" s="182"/>
      <c r="F232" s="50"/>
      <c r="G232" s="50"/>
      <c r="H232" s="50"/>
      <c r="I232" s="50"/>
      <c r="J232" s="50"/>
      <c r="K232" s="50"/>
      <c r="L232" s="161"/>
    </row>
    <row r="233" spans="1:12" x14ac:dyDescent="0.3">
      <c r="A233" s="149">
        <v>12</v>
      </c>
      <c r="B233" s="158">
        <v>12</v>
      </c>
      <c r="C233" s="181"/>
      <c r="D233" s="161"/>
      <c r="E233" s="182"/>
      <c r="F233" s="50"/>
      <c r="G233" s="50"/>
      <c r="H233" s="50"/>
      <c r="I233" s="50"/>
      <c r="J233" s="50"/>
      <c r="K233" s="50"/>
      <c r="L233" s="161"/>
    </row>
    <row r="234" spans="1:12" x14ac:dyDescent="0.3">
      <c r="A234" s="149">
        <v>13</v>
      </c>
      <c r="B234" s="158">
        <v>13</v>
      </c>
      <c r="C234" s="181"/>
      <c r="D234" s="161"/>
      <c r="E234" s="182"/>
      <c r="F234" s="50"/>
      <c r="G234" s="50"/>
      <c r="H234" s="50"/>
      <c r="I234" s="50"/>
      <c r="J234" s="50"/>
      <c r="K234" s="50"/>
      <c r="L234" s="161"/>
    </row>
    <row r="235" spans="1:12" x14ac:dyDescent="0.3">
      <c r="A235" s="149">
        <v>14</v>
      </c>
      <c r="B235" s="158">
        <v>14</v>
      </c>
      <c r="C235" s="181"/>
      <c r="D235" s="161"/>
      <c r="E235" s="182"/>
      <c r="F235" s="50"/>
      <c r="G235" s="50"/>
      <c r="H235" s="50"/>
      <c r="I235" s="50"/>
      <c r="J235" s="50"/>
      <c r="K235" s="50"/>
      <c r="L235" s="161"/>
    </row>
    <row r="236" spans="1:12" x14ac:dyDescent="0.3">
      <c r="A236" s="149">
        <v>15</v>
      </c>
      <c r="B236" s="158">
        <v>15</v>
      </c>
      <c r="C236" s="181"/>
      <c r="D236" s="161"/>
      <c r="E236" s="182"/>
      <c r="F236" s="50"/>
      <c r="G236" s="50"/>
      <c r="H236" s="50"/>
      <c r="I236" s="50"/>
      <c r="J236" s="50"/>
      <c r="K236" s="50"/>
      <c r="L236" s="161"/>
    </row>
    <row r="237" spans="1:12" x14ac:dyDescent="0.3">
      <c r="A237" s="149">
        <v>16</v>
      </c>
      <c r="B237" s="158">
        <v>16</v>
      </c>
      <c r="C237" s="181"/>
      <c r="D237" s="161"/>
      <c r="E237" s="182"/>
      <c r="F237" s="50"/>
      <c r="G237" s="50"/>
      <c r="H237" s="50"/>
      <c r="I237" s="50"/>
      <c r="J237" s="50"/>
      <c r="K237" s="50"/>
      <c r="L237" s="161"/>
    </row>
    <row r="238" spans="1:12" x14ac:dyDescent="0.3">
      <c r="A238" s="149">
        <v>17</v>
      </c>
      <c r="B238" s="158">
        <v>17</v>
      </c>
      <c r="C238" s="181"/>
      <c r="D238" s="161"/>
      <c r="E238" s="182"/>
      <c r="F238" s="50"/>
      <c r="G238" s="50"/>
      <c r="H238" s="50"/>
      <c r="I238" s="50"/>
      <c r="J238" s="50"/>
      <c r="K238" s="50"/>
      <c r="L238" s="161"/>
    </row>
    <row r="239" spans="1:12" x14ac:dyDescent="0.3">
      <c r="A239" s="149">
        <v>18</v>
      </c>
      <c r="B239" s="158">
        <v>18</v>
      </c>
      <c r="C239" s="181"/>
      <c r="D239" s="161"/>
      <c r="E239" s="182"/>
      <c r="F239" s="50"/>
      <c r="G239" s="50"/>
      <c r="H239" s="50"/>
      <c r="I239" s="50"/>
      <c r="J239" s="50"/>
      <c r="K239" s="50"/>
      <c r="L239" s="161"/>
    </row>
    <row r="240" spans="1:12" x14ac:dyDescent="0.3">
      <c r="A240" s="149">
        <v>19</v>
      </c>
      <c r="B240" s="158">
        <v>19</v>
      </c>
      <c r="C240" s="181"/>
      <c r="D240" s="161"/>
      <c r="E240" s="182"/>
      <c r="F240" s="50"/>
      <c r="G240" s="50"/>
      <c r="H240" s="50"/>
      <c r="I240" s="50"/>
      <c r="J240" s="50"/>
      <c r="K240" s="50"/>
      <c r="L240" s="161"/>
    </row>
    <row r="241" spans="1:13" x14ac:dyDescent="0.3">
      <c r="A241" s="149">
        <v>20</v>
      </c>
      <c r="B241" s="158">
        <v>20</v>
      </c>
      <c r="C241" s="181"/>
      <c r="D241" s="161"/>
      <c r="E241" s="182"/>
      <c r="F241" s="50"/>
      <c r="G241" s="50"/>
      <c r="H241" s="50"/>
      <c r="I241" s="50"/>
      <c r="J241" s="50"/>
      <c r="K241" s="50"/>
      <c r="L241" s="161"/>
    </row>
    <row r="242" spans="1:13" ht="14.4" thickBot="1" x14ac:dyDescent="0.35">
      <c r="A242" s="149">
        <v>0</v>
      </c>
      <c r="B242" s="45" t="s">
        <v>24</v>
      </c>
      <c r="C242" s="167"/>
      <c r="D242" s="167"/>
      <c r="E242" s="167"/>
      <c r="F242" s="179">
        <f t="shared" ref="F242:L242" si="7">SUM(F222:F241)</f>
        <v>0</v>
      </c>
      <c r="G242" s="179">
        <f t="shared" si="7"/>
        <v>0</v>
      </c>
      <c r="H242" s="179">
        <f t="shared" si="7"/>
        <v>0</v>
      </c>
      <c r="I242" s="179">
        <f t="shared" si="7"/>
        <v>0</v>
      </c>
      <c r="J242" s="179">
        <f t="shared" si="7"/>
        <v>0</v>
      </c>
      <c r="K242" s="179">
        <f t="shared" si="7"/>
        <v>0</v>
      </c>
      <c r="L242" s="169">
        <f t="shared" si="7"/>
        <v>0</v>
      </c>
    </row>
    <row r="243" spans="1:13" ht="14.4" thickTop="1" x14ac:dyDescent="0.3">
      <c r="A243" s="149">
        <v>0</v>
      </c>
      <c r="B243" s="170"/>
      <c r="C243" s="171"/>
      <c r="D243" s="171"/>
      <c r="E243" s="171"/>
      <c r="F243" s="172"/>
    </row>
    <row r="244" spans="1:13" x14ac:dyDescent="0.3">
      <c r="A244" s="149">
        <v>0</v>
      </c>
      <c r="B244" s="170"/>
      <c r="C244" s="171"/>
      <c r="D244" s="171"/>
      <c r="E244" s="171"/>
      <c r="F244" s="172"/>
    </row>
    <row r="245" spans="1:13" x14ac:dyDescent="0.3">
      <c r="A245" s="149">
        <v>0</v>
      </c>
    </row>
    <row r="246" spans="1:13" x14ac:dyDescent="0.3">
      <c r="A246" s="149">
        <v>0</v>
      </c>
      <c r="B246" s="174" t="s">
        <v>20</v>
      </c>
      <c r="D246" s="149" t="s">
        <v>21</v>
      </c>
    </row>
    <row r="247" spans="1:13" x14ac:dyDescent="0.3">
      <c r="A247" s="149">
        <v>0</v>
      </c>
      <c r="B247" s="174" t="s">
        <v>12</v>
      </c>
      <c r="D247" s="149" t="s">
        <v>16</v>
      </c>
    </row>
    <row r="248" spans="1:13" x14ac:dyDescent="0.3">
      <c r="A248" s="149">
        <v>0</v>
      </c>
      <c r="D248" s="149" t="s">
        <v>22</v>
      </c>
    </row>
    <row r="249" spans="1:13" ht="14.4" customHeight="1" x14ac:dyDescent="0.3">
      <c r="A249" s="149">
        <v>0</v>
      </c>
      <c r="B249" s="172" t="s">
        <v>41</v>
      </c>
      <c r="C249" s="171"/>
      <c r="D249" s="149" t="str">
        <f>D1</f>
        <v>S A M Perera</v>
      </c>
      <c r="F249" s="172"/>
      <c r="G249" s="172"/>
      <c r="H249" s="172"/>
      <c r="I249" s="172" t="s">
        <v>40</v>
      </c>
      <c r="J249" s="172"/>
      <c r="K249" s="172"/>
      <c r="L249" s="149" t="str">
        <f>L1</f>
        <v>SAM/CENTRAL/KY/NC/26/DEC/1-A</v>
      </c>
    </row>
    <row r="250" spans="1:13" x14ac:dyDescent="0.3">
      <c r="A250" s="149">
        <v>0</v>
      </c>
    </row>
    <row r="251" spans="1:13" ht="24.9" customHeight="1" x14ac:dyDescent="0.3">
      <c r="A251" s="149">
        <v>0</v>
      </c>
      <c r="B251" s="183" t="s">
        <v>48</v>
      </c>
      <c r="C251" s="184"/>
      <c r="D251" s="184"/>
      <c r="E251" s="184"/>
      <c r="F251" s="185"/>
      <c r="G251" s="185"/>
      <c r="H251" s="185"/>
      <c r="I251" s="185"/>
      <c r="J251" s="185"/>
      <c r="K251" s="185"/>
      <c r="L251" s="184"/>
      <c r="M251" s="153"/>
    </row>
    <row r="252" spans="1:13" ht="69.599999999999994" customHeight="1" x14ac:dyDescent="0.3">
      <c r="A252" s="149">
        <v>0</v>
      </c>
      <c r="B252" s="91" t="s">
        <v>17</v>
      </c>
      <c r="C252" s="154" t="s">
        <v>18</v>
      </c>
      <c r="D252" s="155" t="s">
        <v>30</v>
      </c>
      <c r="E252" s="156" t="s">
        <v>19</v>
      </c>
      <c r="F252" s="157" t="s">
        <v>36</v>
      </c>
      <c r="G252" s="157" t="s">
        <v>38</v>
      </c>
      <c r="H252" s="157" t="s">
        <v>44</v>
      </c>
      <c r="I252" s="157" t="s">
        <v>45</v>
      </c>
      <c r="J252" s="157" t="s">
        <v>46</v>
      </c>
      <c r="K252" s="157" t="s">
        <v>53</v>
      </c>
      <c r="L252" s="154" t="s">
        <v>37</v>
      </c>
    </row>
    <row r="253" spans="1:13" x14ac:dyDescent="0.3">
      <c r="A253" s="149">
        <v>1</v>
      </c>
      <c r="B253" s="158">
        <v>1</v>
      </c>
      <c r="C253" s="181"/>
      <c r="D253" s="161"/>
      <c r="E253" s="182"/>
      <c r="F253" s="50"/>
      <c r="G253" s="50"/>
      <c r="H253" s="50"/>
      <c r="I253" s="50"/>
      <c r="J253" s="50"/>
      <c r="K253" s="50"/>
      <c r="L253" s="161"/>
    </row>
    <row r="254" spans="1:13" x14ac:dyDescent="0.3">
      <c r="A254" s="149">
        <v>2</v>
      </c>
      <c r="B254" s="158">
        <v>2</v>
      </c>
      <c r="C254" s="181"/>
      <c r="D254" s="161"/>
      <c r="E254" s="182"/>
      <c r="F254" s="50"/>
      <c r="G254" s="50"/>
      <c r="H254" s="50"/>
      <c r="I254" s="50"/>
      <c r="J254" s="50"/>
      <c r="K254" s="50"/>
      <c r="L254" s="161"/>
    </row>
    <row r="255" spans="1:13" x14ac:dyDescent="0.3">
      <c r="A255" s="149">
        <v>3</v>
      </c>
      <c r="B255" s="158">
        <v>3</v>
      </c>
      <c r="C255" s="181"/>
      <c r="D255" s="161"/>
      <c r="E255" s="182"/>
      <c r="F255" s="50"/>
      <c r="G255" s="50"/>
      <c r="H255" s="50"/>
      <c r="I255" s="50"/>
      <c r="J255" s="50"/>
      <c r="K255" s="50"/>
      <c r="L255" s="161"/>
    </row>
    <row r="256" spans="1:13" x14ac:dyDescent="0.3">
      <c r="A256" s="149">
        <v>4</v>
      </c>
      <c r="B256" s="158">
        <v>4</v>
      </c>
      <c r="C256" s="181"/>
      <c r="D256" s="161"/>
      <c r="E256" s="182"/>
      <c r="F256" s="50"/>
      <c r="G256" s="50"/>
      <c r="H256" s="50"/>
      <c r="I256" s="50"/>
      <c r="J256" s="50"/>
      <c r="K256" s="50"/>
      <c r="L256" s="161"/>
    </row>
    <row r="257" spans="1:12" x14ac:dyDescent="0.3">
      <c r="A257" s="149">
        <v>5</v>
      </c>
      <c r="B257" s="158">
        <v>5</v>
      </c>
      <c r="C257" s="181"/>
      <c r="D257" s="161"/>
      <c r="E257" s="182"/>
      <c r="F257" s="50"/>
      <c r="G257" s="50"/>
      <c r="H257" s="50"/>
      <c r="I257" s="50"/>
      <c r="J257" s="50"/>
      <c r="K257" s="50"/>
      <c r="L257" s="161"/>
    </row>
    <row r="258" spans="1:12" x14ac:dyDescent="0.3">
      <c r="A258" s="149">
        <v>6</v>
      </c>
      <c r="B258" s="158">
        <v>6</v>
      </c>
      <c r="C258" s="181"/>
      <c r="D258" s="161"/>
      <c r="E258" s="182"/>
      <c r="F258" s="50"/>
      <c r="G258" s="50"/>
      <c r="H258" s="50"/>
      <c r="I258" s="50"/>
      <c r="J258" s="50"/>
      <c r="K258" s="50"/>
      <c r="L258" s="161"/>
    </row>
    <row r="259" spans="1:12" x14ac:dyDescent="0.3">
      <c r="A259" s="149">
        <v>7</v>
      </c>
      <c r="B259" s="158">
        <v>7</v>
      </c>
      <c r="C259" s="181"/>
      <c r="D259" s="161"/>
      <c r="E259" s="182"/>
      <c r="F259" s="50"/>
      <c r="G259" s="50"/>
      <c r="H259" s="50"/>
      <c r="I259" s="50"/>
      <c r="J259" s="50"/>
      <c r="K259" s="50"/>
      <c r="L259" s="161"/>
    </row>
    <row r="260" spans="1:12" x14ac:dyDescent="0.3">
      <c r="A260" s="149">
        <v>8</v>
      </c>
      <c r="B260" s="158">
        <v>8</v>
      </c>
      <c r="C260" s="181"/>
      <c r="D260" s="161"/>
      <c r="E260" s="182"/>
      <c r="F260" s="50"/>
      <c r="G260" s="50"/>
      <c r="H260" s="50"/>
      <c r="I260" s="50"/>
      <c r="J260" s="50"/>
      <c r="K260" s="50"/>
      <c r="L260" s="161"/>
    </row>
    <row r="261" spans="1:12" x14ac:dyDescent="0.3">
      <c r="A261" s="149">
        <v>9</v>
      </c>
      <c r="B261" s="158">
        <v>9</v>
      </c>
      <c r="C261" s="181"/>
      <c r="D261" s="161"/>
      <c r="E261" s="182"/>
      <c r="F261" s="50"/>
      <c r="G261" s="50"/>
      <c r="H261" s="50"/>
      <c r="I261" s="50"/>
      <c r="J261" s="50"/>
      <c r="K261" s="50"/>
      <c r="L261" s="161"/>
    </row>
    <row r="262" spans="1:12" x14ac:dyDescent="0.3">
      <c r="A262" s="149">
        <v>10</v>
      </c>
      <c r="B262" s="158">
        <v>10</v>
      </c>
      <c r="C262" s="181"/>
      <c r="D262" s="161"/>
      <c r="E262" s="182"/>
      <c r="F262" s="50"/>
      <c r="G262" s="50"/>
      <c r="H262" s="50"/>
      <c r="I262" s="50"/>
      <c r="J262" s="50"/>
      <c r="K262" s="50"/>
      <c r="L262" s="161"/>
    </row>
    <row r="263" spans="1:12" x14ac:dyDescent="0.3">
      <c r="A263" s="149">
        <v>11</v>
      </c>
      <c r="B263" s="158">
        <v>11</v>
      </c>
      <c r="C263" s="181"/>
      <c r="D263" s="161"/>
      <c r="E263" s="182"/>
      <c r="F263" s="50"/>
      <c r="G263" s="50"/>
      <c r="H263" s="50"/>
      <c r="I263" s="50"/>
      <c r="J263" s="50"/>
      <c r="K263" s="50"/>
      <c r="L263" s="161"/>
    </row>
    <row r="264" spans="1:12" x14ac:dyDescent="0.3">
      <c r="A264" s="149">
        <v>12</v>
      </c>
      <c r="B264" s="158">
        <v>12</v>
      </c>
      <c r="C264" s="181"/>
      <c r="D264" s="161"/>
      <c r="E264" s="182"/>
      <c r="F264" s="50"/>
      <c r="G264" s="50"/>
      <c r="H264" s="50"/>
      <c r="I264" s="50"/>
      <c r="J264" s="50"/>
      <c r="K264" s="50"/>
      <c r="L264" s="161"/>
    </row>
    <row r="265" spans="1:12" x14ac:dyDescent="0.3">
      <c r="A265" s="149">
        <v>13</v>
      </c>
      <c r="B265" s="158">
        <v>13</v>
      </c>
      <c r="C265" s="181"/>
      <c r="D265" s="161"/>
      <c r="E265" s="182"/>
      <c r="F265" s="50"/>
      <c r="G265" s="50"/>
      <c r="H265" s="50"/>
      <c r="I265" s="50"/>
      <c r="J265" s="50"/>
      <c r="K265" s="50"/>
      <c r="L265" s="161"/>
    </row>
    <row r="266" spans="1:12" x14ac:dyDescent="0.3">
      <c r="A266" s="149">
        <v>14</v>
      </c>
      <c r="B266" s="158">
        <v>14</v>
      </c>
      <c r="C266" s="181"/>
      <c r="D266" s="161"/>
      <c r="E266" s="182"/>
      <c r="F266" s="50"/>
      <c r="G266" s="50"/>
      <c r="H266" s="50"/>
      <c r="I266" s="50"/>
      <c r="J266" s="50"/>
      <c r="K266" s="50"/>
      <c r="L266" s="161"/>
    </row>
    <row r="267" spans="1:12" x14ac:dyDescent="0.3">
      <c r="A267" s="149">
        <v>15</v>
      </c>
      <c r="B267" s="158">
        <v>15</v>
      </c>
      <c r="C267" s="181"/>
      <c r="D267" s="161"/>
      <c r="E267" s="182"/>
      <c r="F267" s="50"/>
      <c r="G267" s="50"/>
      <c r="H267" s="50"/>
      <c r="I267" s="50"/>
      <c r="J267" s="50"/>
      <c r="K267" s="50"/>
      <c r="L267" s="161"/>
    </row>
    <row r="268" spans="1:12" x14ac:dyDescent="0.3">
      <c r="A268" s="149">
        <v>16</v>
      </c>
      <c r="B268" s="158">
        <v>16</v>
      </c>
      <c r="C268" s="181"/>
      <c r="D268" s="161"/>
      <c r="E268" s="182"/>
      <c r="F268" s="50"/>
      <c r="G268" s="50"/>
      <c r="H268" s="50"/>
      <c r="I268" s="50"/>
      <c r="J268" s="50"/>
      <c r="K268" s="50"/>
      <c r="L268" s="161"/>
    </row>
    <row r="269" spans="1:12" x14ac:dyDescent="0.3">
      <c r="A269" s="149">
        <v>17</v>
      </c>
      <c r="B269" s="158">
        <v>17</v>
      </c>
      <c r="C269" s="181"/>
      <c r="D269" s="161"/>
      <c r="E269" s="182"/>
      <c r="F269" s="50"/>
      <c r="G269" s="50"/>
      <c r="H269" s="50"/>
      <c r="I269" s="50"/>
      <c r="J269" s="50"/>
      <c r="K269" s="50"/>
      <c r="L269" s="161"/>
    </row>
    <row r="270" spans="1:12" x14ac:dyDescent="0.3">
      <c r="A270" s="149">
        <v>18</v>
      </c>
      <c r="B270" s="158">
        <v>18</v>
      </c>
      <c r="C270" s="181"/>
      <c r="D270" s="161"/>
      <c r="E270" s="182"/>
      <c r="F270" s="50"/>
      <c r="G270" s="50"/>
      <c r="H270" s="50"/>
      <c r="I270" s="50"/>
      <c r="J270" s="50"/>
      <c r="K270" s="50"/>
      <c r="L270" s="161"/>
    </row>
    <row r="271" spans="1:12" x14ac:dyDescent="0.3">
      <c r="A271" s="149">
        <v>19</v>
      </c>
      <c r="B271" s="158">
        <v>19</v>
      </c>
      <c r="C271" s="181"/>
      <c r="D271" s="161"/>
      <c r="E271" s="182"/>
      <c r="F271" s="50"/>
      <c r="G271" s="50"/>
      <c r="H271" s="50"/>
      <c r="I271" s="50"/>
      <c r="J271" s="50"/>
      <c r="K271" s="50"/>
      <c r="L271" s="161"/>
    </row>
    <row r="272" spans="1:12" x14ac:dyDescent="0.3">
      <c r="A272" s="149">
        <v>20</v>
      </c>
      <c r="B272" s="158">
        <v>20</v>
      </c>
      <c r="C272" s="181"/>
      <c r="D272" s="161"/>
      <c r="E272" s="182"/>
      <c r="F272" s="50"/>
      <c r="G272" s="50"/>
      <c r="H272" s="50"/>
      <c r="I272" s="50"/>
      <c r="J272" s="50"/>
      <c r="K272" s="50"/>
      <c r="L272" s="161"/>
    </row>
    <row r="273" spans="1:13" ht="14.4" thickBot="1" x14ac:dyDescent="0.35">
      <c r="A273" s="149">
        <v>0</v>
      </c>
      <c r="B273" s="45" t="s">
        <v>24</v>
      </c>
      <c r="C273" s="167"/>
      <c r="D273" s="167"/>
      <c r="E273" s="167"/>
      <c r="F273" s="179">
        <f t="shared" ref="F273:L273" si="8">SUM(F253:F272)</f>
        <v>0</v>
      </c>
      <c r="G273" s="179">
        <f t="shared" si="8"/>
        <v>0</v>
      </c>
      <c r="H273" s="179">
        <f t="shared" si="8"/>
        <v>0</v>
      </c>
      <c r="I273" s="179">
        <f t="shared" si="8"/>
        <v>0</v>
      </c>
      <c r="J273" s="179">
        <f t="shared" si="8"/>
        <v>0</v>
      </c>
      <c r="K273" s="179">
        <f t="shared" si="8"/>
        <v>0</v>
      </c>
      <c r="L273" s="169">
        <f t="shared" si="8"/>
        <v>0</v>
      </c>
    </row>
    <row r="274" spans="1:13" ht="14.4" thickTop="1" x14ac:dyDescent="0.3">
      <c r="A274" s="149">
        <v>0</v>
      </c>
      <c r="B274" s="170"/>
      <c r="C274" s="171"/>
      <c r="D274" s="171"/>
      <c r="E274" s="171"/>
      <c r="F274" s="172"/>
    </row>
    <row r="275" spans="1:13" x14ac:dyDescent="0.3">
      <c r="A275" s="149">
        <v>0</v>
      </c>
      <c r="B275" s="170"/>
      <c r="C275" s="171"/>
      <c r="D275" s="171"/>
      <c r="E275" s="171"/>
      <c r="F275" s="172"/>
    </row>
    <row r="276" spans="1:13" x14ac:dyDescent="0.3">
      <c r="A276" s="149">
        <v>0</v>
      </c>
    </row>
    <row r="277" spans="1:13" x14ac:dyDescent="0.3">
      <c r="A277" s="149">
        <v>0</v>
      </c>
      <c r="B277" s="174" t="s">
        <v>20</v>
      </c>
      <c r="D277" s="149" t="s">
        <v>21</v>
      </c>
    </row>
    <row r="278" spans="1:13" x14ac:dyDescent="0.3">
      <c r="A278" s="149">
        <v>0</v>
      </c>
      <c r="B278" s="174" t="s">
        <v>12</v>
      </c>
      <c r="D278" s="149" t="s">
        <v>16</v>
      </c>
    </row>
    <row r="279" spans="1:13" x14ac:dyDescent="0.3">
      <c r="A279" s="149">
        <v>0</v>
      </c>
      <c r="D279" s="149" t="s">
        <v>22</v>
      </c>
    </row>
    <row r="280" spans="1:13" ht="14.4" customHeight="1" x14ac:dyDescent="0.3">
      <c r="A280" s="149">
        <v>0</v>
      </c>
      <c r="B280" s="172" t="s">
        <v>41</v>
      </c>
      <c r="C280" s="171"/>
      <c r="D280" s="149" t="str">
        <f>D1</f>
        <v>S A M Perera</v>
      </c>
      <c r="F280" s="172"/>
      <c r="G280" s="172"/>
      <c r="H280" s="172"/>
      <c r="I280" s="172" t="s">
        <v>40</v>
      </c>
      <c r="J280" s="172"/>
      <c r="K280" s="172"/>
      <c r="L280" s="149" t="str">
        <f>L1</f>
        <v>SAM/CENTRAL/KY/NC/26/DEC/1-A</v>
      </c>
    </row>
    <row r="281" spans="1:13" x14ac:dyDescent="0.3">
      <c r="A281" s="149">
        <v>0</v>
      </c>
    </row>
    <row r="282" spans="1:13" ht="24.9" customHeight="1" x14ac:dyDescent="0.3">
      <c r="A282" s="149">
        <v>0</v>
      </c>
      <c r="B282" s="183" t="s">
        <v>48</v>
      </c>
      <c r="C282" s="184"/>
      <c r="D282" s="184"/>
      <c r="E282" s="184"/>
      <c r="F282" s="185"/>
      <c r="G282" s="185"/>
      <c r="H282" s="185"/>
      <c r="I282" s="185"/>
      <c r="J282" s="185"/>
      <c r="K282" s="185"/>
      <c r="L282" s="184"/>
      <c r="M282" s="153"/>
    </row>
    <row r="283" spans="1:13" ht="69.599999999999994" customHeight="1" x14ac:dyDescent="0.3">
      <c r="A283" s="149">
        <v>0</v>
      </c>
      <c r="B283" s="91" t="s">
        <v>17</v>
      </c>
      <c r="C283" s="154" t="s">
        <v>18</v>
      </c>
      <c r="D283" s="155" t="s">
        <v>30</v>
      </c>
      <c r="E283" s="156" t="s">
        <v>19</v>
      </c>
      <c r="F283" s="157" t="s">
        <v>36</v>
      </c>
      <c r="G283" s="157" t="s">
        <v>38</v>
      </c>
      <c r="H283" s="157" t="s">
        <v>44</v>
      </c>
      <c r="I283" s="157" t="s">
        <v>45</v>
      </c>
      <c r="J283" s="157" t="s">
        <v>46</v>
      </c>
      <c r="K283" s="157" t="s">
        <v>53</v>
      </c>
      <c r="L283" s="154" t="s">
        <v>37</v>
      </c>
    </row>
    <row r="284" spans="1:13" x14ac:dyDescent="0.3">
      <c r="A284" s="149">
        <v>1</v>
      </c>
      <c r="B284" s="158">
        <v>1</v>
      </c>
      <c r="C284" s="181"/>
      <c r="D284" s="161"/>
      <c r="E284" s="182"/>
      <c r="F284" s="50"/>
      <c r="G284" s="50"/>
      <c r="H284" s="50"/>
      <c r="I284" s="50"/>
      <c r="J284" s="50"/>
      <c r="K284" s="50"/>
      <c r="L284" s="161"/>
    </row>
    <row r="285" spans="1:13" x14ac:dyDescent="0.3">
      <c r="A285" s="149">
        <v>2</v>
      </c>
      <c r="B285" s="158">
        <v>2</v>
      </c>
      <c r="C285" s="181"/>
      <c r="D285" s="161"/>
      <c r="E285" s="182"/>
      <c r="F285" s="50"/>
      <c r="G285" s="50"/>
      <c r="H285" s="50"/>
      <c r="I285" s="50"/>
      <c r="J285" s="50"/>
      <c r="K285" s="50"/>
      <c r="L285" s="161"/>
    </row>
    <row r="286" spans="1:13" x14ac:dyDescent="0.3">
      <c r="A286" s="149">
        <v>3</v>
      </c>
      <c r="B286" s="158">
        <v>3</v>
      </c>
      <c r="C286" s="181"/>
      <c r="D286" s="161"/>
      <c r="E286" s="182"/>
      <c r="F286" s="50"/>
      <c r="G286" s="50"/>
      <c r="H286" s="50"/>
      <c r="I286" s="50"/>
      <c r="J286" s="50"/>
      <c r="K286" s="50"/>
      <c r="L286" s="161"/>
    </row>
    <row r="287" spans="1:13" x14ac:dyDescent="0.3">
      <c r="A287" s="149">
        <v>4</v>
      </c>
      <c r="B287" s="158">
        <v>4</v>
      </c>
      <c r="C287" s="181"/>
      <c r="D287" s="161"/>
      <c r="E287" s="182"/>
      <c r="F287" s="50"/>
      <c r="G287" s="50"/>
      <c r="H287" s="50"/>
      <c r="I287" s="50"/>
      <c r="J287" s="50"/>
      <c r="K287" s="50"/>
      <c r="L287" s="161"/>
    </row>
    <row r="288" spans="1:13" x14ac:dyDescent="0.3">
      <c r="A288" s="149">
        <v>5</v>
      </c>
      <c r="B288" s="158">
        <v>5</v>
      </c>
      <c r="C288" s="181"/>
      <c r="D288" s="161"/>
      <c r="E288" s="182"/>
      <c r="F288" s="50"/>
      <c r="G288" s="50"/>
      <c r="H288" s="50"/>
      <c r="I288" s="50"/>
      <c r="J288" s="50"/>
      <c r="K288" s="50"/>
      <c r="L288" s="161"/>
    </row>
    <row r="289" spans="1:12" x14ac:dyDescent="0.3">
      <c r="A289" s="149">
        <v>6</v>
      </c>
      <c r="B289" s="158">
        <v>6</v>
      </c>
      <c r="C289" s="181"/>
      <c r="D289" s="161"/>
      <c r="E289" s="182"/>
      <c r="F289" s="50"/>
      <c r="G289" s="50"/>
      <c r="H289" s="50"/>
      <c r="I289" s="50"/>
      <c r="J289" s="50"/>
      <c r="K289" s="50"/>
      <c r="L289" s="161"/>
    </row>
    <row r="290" spans="1:12" x14ac:dyDescent="0.3">
      <c r="A290" s="149">
        <v>7</v>
      </c>
      <c r="B290" s="158">
        <v>7</v>
      </c>
      <c r="C290" s="181"/>
      <c r="D290" s="161"/>
      <c r="E290" s="182"/>
      <c r="F290" s="50"/>
      <c r="G290" s="50"/>
      <c r="H290" s="50"/>
      <c r="I290" s="50"/>
      <c r="J290" s="50"/>
      <c r="K290" s="50"/>
      <c r="L290" s="161"/>
    </row>
    <row r="291" spans="1:12" x14ac:dyDescent="0.3">
      <c r="A291" s="149">
        <v>8</v>
      </c>
      <c r="B291" s="158">
        <v>8</v>
      </c>
      <c r="C291" s="181"/>
      <c r="D291" s="161"/>
      <c r="E291" s="182"/>
      <c r="F291" s="50"/>
      <c r="G291" s="50"/>
      <c r="H291" s="50"/>
      <c r="I291" s="50"/>
      <c r="J291" s="50"/>
      <c r="K291" s="50"/>
      <c r="L291" s="161"/>
    </row>
    <row r="292" spans="1:12" x14ac:dyDescent="0.3">
      <c r="A292" s="149">
        <v>9</v>
      </c>
      <c r="B292" s="158">
        <v>9</v>
      </c>
      <c r="C292" s="181"/>
      <c r="D292" s="161"/>
      <c r="E292" s="182"/>
      <c r="F292" s="50"/>
      <c r="G292" s="50"/>
      <c r="H292" s="50"/>
      <c r="I292" s="50"/>
      <c r="J292" s="50"/>
      <c r="K292" s="50"/>
      <c r="L292" s="161"/>
    </row>
    <row r="293" spans="1:12" x14ac:dyDescent="0.3">
      <c r="A293" s="149">
        <v>10</v>
      </c>
      <c r="B293" s="158">
        <v>10</v>
      </c>
      <c r="C293" s="181"/>
      <c r="D293" s="161"/>
      <c r="E293" s="182"/>
      <c r="F293" s="50"/>
      <c r="G293" s="50"/>
      <c r="H293" s="50"/>
      <c r="I293" s="50"/>
      <c r="J293" s="50"/>
      <c r="K293" s="50"/>
      <c r="L293" s="161"/>
    </row>
    <row r="294" spans="1:12" x14ac:dyDescent="0.3">
      <c r="A294" s="149">
        <v>11</v>
      </c>
      <c r="B294" s="158">
        <v>11</v>
      </c>
      <c r="C294" s="181"/>
      <c r="D294" s="161"/>
      <c r="E294" s="182"/>
      <c r="F294" s="50"/>
      <c r="G294" s="50"/>
      <c r="H294" s="50"/>
      <c r="I294" s="50"/>
      <c r="J294" s="50"/>
      <c r="K294" s="50"/>
      <c r="L294" s="161"/>
    </row>
    <row r="295" spans="1:12" x14ac:dyDescent="0.3">
      <c r="A295" s="149">
        <v>12</v>
      </c>
      <c r="B295" s="158">
        <v>12</v>
      </c>
      <c r="C295" s="181"/>
      <c r="D295" s="161"/>
      <c r="E295" s="182"/>
      <c r="F295" s="50"/>
      <c r="G295" s="50"/>
      <c r="H295" s="50"/>
      <c r="I295" s="50"/>
      <c r="J295" s="50"/>
      <c r="K295" s="50"/>
      <c r="L295" s="161"/>
    </row>
    <row r="296" spans="1:12" x14ac:dyDescent="0.3">
      <c r="A296" s="149">
        <v>13</v>
      </c>
      <c r="B296" s="158">
        <v>13</v>
      </c>
      <c r="C296" s="181"/>
      <c r="D296" s="161"/>
      <c r="E296" s="182"/>
      <c r="F296" s="50"/>
      <c r="G296" s="50"/>
      <c r="H296" s="50"/>
      <c r="I296" s="50"/>
      <c r="J296" s="50"/>
      <c r="K296" s="50"/>
      <c r="L296" s="161"/>
    </row>
    <row r="297" spans="1:12" x14ac:dyDescent="0.3">
      <c r="A297" s="149">
        <v>14</v>
      </c>
      <c r="B297" s="158">
        <v>14</v>
      </c>
      <c r="C297" s="181"/>
      <c r="D297" s="161"/>
      <c r="E297" s="182"/>
      <c r="F297" s="50"/>
      <c r="G297" s="50"/>
      <c r="H297" s="50"/>
      <c r="I297" s="50"/>
      <c r="J297" s="50"/>
      <c r="K297" s="50"/>
      <c r="L297" s="161"/>
    </row>
    <row r="298" spans="1:12" x14ac:dyDescent="0.3">
      <c r="A298" s="149">
        <v>15</v>
      </c>
      <c r="B298" s="158">
        <v>15</v>
      </c>
      <c r="C298" s="181"/>
      <c r="D298" s="161"/>
      <c r="E298" s="182"/>
      <c r="F298" s="50"/>
      <c r="G298" s="50"/>
      <c r="H298" s="50"/>
      <c r="I298" s="50"/>
      <c r="J298" s="50"/>
      <c r="K298" s="50"/>
      <c r="L298" s="161"/>
    </row>
    <row r="299" spans="1:12" x14ac:dyDescent="0.3">
      <c r="A299" s="149">
        <v>16</v>
      </c>
      <c r="B299" s="158">
        <v>16</v>
      </c>
      <c r="C299" s="181"/>
      <c r="D299" s="161"/>
      <c r="E299" s="182"/>
      <c r="F299" s="50"/>
      <c r="G299" s="50"/>
      <c r="H299" s="50"/>
      <c r="I299" s="50"/>
      <c r="J299" s="50"/>
      <c r="K299" s="50"/>
      <c r="L299" s="161"/>
    </row>
    <row r="300" spans="1:12" x14ac:dyDescent="0.3">
      <c r="A300" s="149">
        <v>17</v>
      </c>
      <c r="B300" s="158">
        <v>17</v>
      </c>
      <c r="C300" s="181"/>
      <c r="D300" s="161"/>
      <c r="E300" s="182"/>
      <c r="F300" s="50"/>
      <c r="G300" s="50"/>
      <c r="H300" s="50"/>
      <c r="I300" s="50"/>
      <c r="J300" s="50"/>
      <c r="K300" s="50"/>
      <c r="L300" s="161"/>
    </row>
    <row r="301" spans="1:12" x14ac:dyDescent="0.3">
      <c r="A301" s="149">
        <v>18</v>
      </c>
      <c r="B301" s="158">
        <v>18</v>
      </c>
      <c r="C301" s="181"/>
      <c r="D301" s="161"/>
      <c r="E301" s="182"/>
      <c r="F301" s="50"/>
      <c r="G301" s="50"/>
      <c r="H301" s="50"/>
      <c r="I301" s="50"/>
      <c r="J301" s="50"/>
      <c r="K301" s="50"/>
      <c r="L301" s="161"/>
    </row>
    <row r="302" spans="1:12" x14ac:dyDescent="0.3">
      <c r="A302" s="149">
        <v>19</v>
      </c>
      <c r="B302" s="158">
        <v>19</v>
      </c>
      <c r="C302" s="181"/>
      <c r="D302" s="161"/>
      <c r="E302" s="182"/>
      <c r="F302" s="50"/>
      <c r="G302" s="50"/>
      <c r="H302" s="50"/>
      <c r="I302" s="50"/>
      <c r="J302" s="50"/>
      <c r="K302" s="50"/>
      <c r="L302" s="161"/>
    </row>
    <row r="303" spans="1:12" x14ac:dyDescent="0.3">
      <c r="A303" s="149">
        <v>20</v>
      </c>
      <c r="B303" s="158">
        <v>20</v>
      </c>
      <c r="C303" s="181"/>
      <c r="D303" s="161"/>
      <c r="E303" s="182"/>
      <c r="F303" s="50"/>
      <c r="G303" s="50"/>
      <c r="H303" s="50"/>
      <c r="I303" s="50"/>
      <c r="J303" s="50"/>
      <c r="K303" s="50"/>
      <c r="L303" s="161"/>
    </row>
    <row r="304" spans="1:12" ht="14.4" thickBot="1" x14ac:dyDescent="0.35">
      <c r="A304" s="149">
        <v>0</v>
      </c>
      <c r="B304" s="45" t="s">
        <v>24</v>
      </c>
      <c r="C304" s="167"/>
      <c r="D304" s="167"/>
      <c r="E304" s="167"/>
      <c r="F304" s="179">
        <f t="shared" ref="F304:L304" si="9">SUM(F284:F303)</f>
        <v>0</v>
      </c>
      <c r="G304" s="179">
        <f t="shared" si="9"/>
        <v>0</v>
      </c>
      <c r="H304" s="179">
        <f t="shared" si="9"/>
        <v>0</v>
      </c>
      <c r="I304" s="179">
        <f t="shared" si="9"/>
        <v>0</v>
      </c>
      <c r="J304" s="179">
        <f t="shared" si="9"/>
        <v>0</v>
      </c>
      <c r="K304" s="179">
        <f t="shared" si="9"/>
        <v>0</v>
      </c>
      <c r="L304" s="169">
        <f t="shared" si="9"/>
        <v>0</v>
      </c>
    </row>
    <row r="305" spans="1:13" ht="14.4" thickTop="1" x14ac:dyDescent="0.3">
      <c r="A305" s="149">
        <v>0</v>
      </c>
      <c r="B305" s="170"/>
      <c r="C305" s="171"/>
      <c r="D305" s="171"/>
      <c r="E305" s="171"/>
      <c r="F305" s="172"/>
    </row>
    <row r="306" spans="1:13" x14ac:dyDescent="0.3">
      <c r="A306" s="149">
        <v>0</v>
      </c>
      <c r="B306" s="170"/>
      <c r="C306" s="171"/>
      <c r="D306" s="171"/>
      <c r="E306" s="171"/>
      <c r="F306" s="172"/>
    </row>
    <row r="307" spans="1:13" x14ac:dyDescent="0.3">
      <c r="A307" s="149">
        <v>0</v>
      </c>
    </row>
    <row r="308" spans="1:13" x14ac:dyDescent="0.3">
      <c r="A308" s="149">
        <v>0</v>
      </c>
      <c r="B308" s="174" t="s">
        <v>20</v>
      </c>
      <c r="D308" s="149" t="s">
        <v>21</v>
      </c>
    </row>
    <row r="309" spans="1:13" x14ac:dyDescent="0.3">
      <c r="A309" s="149">
        <v>0</v>
      </c>
      <c r="B309" s="174" t="s">
        <v>12</v>
      </c>
      <c r="D309" s="149" t="s">
        <v>16</v>
      </c>
    </row>
    <row r="310" spans="1:13" x14ac:dyDescent="0.3">
      <c r="A310" s="149">
        <v>0</v>
      </c>
      <c r="D310" s="149" t="s">
        <v>22</v>
      </c>
    </row>
    <row r="311" spans="1:13" ht="14.4" customHeight="1" x14ac:dyDescent="0.3">
      <c r="A311" s="149">
        <v>0</v>
      </c>
      <c r="B311" s="172" t="s">
        <v>41</v>
      </c>
      <c r="C311" s="171"/>
      <c r="D311" s="149" t="str">
        <f>D32</f>
        <v>S A M Perera</v>
      </c>
      <c r="F311" s="172"/>
      <c r="G311" s="172"/>
      <c r="H311" s="172"/>
      <c r="I311" s="172" t="s">
        <v>40</v>
      </c>
      <c r="J311" s="172"/>
      <c r="K311" s="172"/>
      <c r="L311" s="149" t="str">
        <f>L32</f>
        <v>SAM/CENTRAL/KY/NC/26/DEC/1-A</v>
      </c>
    </row>
    <row r="312" spans="1:13" x14ac:dyDescent="0.3">
      <c r="A312" s="149">
        <v>0</v>
      </c>
    </row>
    <row r="313" spans="1:13" ht="24.9" customHeight="1" x14ac:dyDescent="0.3">
      <c r="A313" s="149">
        <v>0</v>
      </c>
      <c r="B313" s="183" t="s">
        <v>48</v>
      </c>
      <c r="C313" s="184"/>
      <c r="D313" s="184"/>
      <c r="E313" s="184"/>
      <c r="F313" s="185"/>
      <c r="G313" s="185"/>
      <c r="H313" s="185"/>
      <c r="I313" s="185"/>
      <c r="J313" s="185"/>
      <c r="K313" s="185"/>
      <c r="L313" s="184"/>
      <c r="M313" s="153"/>
    </row>
    <row r="314" spans="1:13" ht="69.599999999999994" customHeight="1" x14ac:dyDescent="0.3">
      <c r="A314" s="149">
        <v>0</v>
      </c>
      <c r="B314" s="91" t="s">
        <v>17</v>
      </c>
      <c r="C314" s="154" t="s">
        <v>18</v>
      </c>
      <c r="D314" s="155" t="s">
        <v>30</v>
      </c>
      <c r="E314" s="156" t="s">
        <v>19</v>
      </c>
      <c r="F314" s="157" t="s">
        <v>36</v>
      </c>
      <c r="G314" s="157" t="s">
        <v>38</v>
      </c>
      <c r="H314" s="157" t="s">
        <v>44</v>
      </c>
      <c r="I314" s="157" t="s">
        <v>45</v>
      </c>
      <c r="J314" s="157" t="s">
        <v>46</v>
      </c>
      <c r="K314" s="157" t="s">
        <v>53</v>
      </c>
      <c r="L314" s="154" t="s">
        <v>37</v>
      </c>
    </row>
    <row r="315" spans="1:13" x14ac:dyDescent="0.3">
      <c r="A315" s="149">
        <v>1</v>
      </c>
      <c r="B315" s="158">
        <v>1</v>
      </c>
      <c r="C315" s="181"/>
      <c r="D315" s="161"/>
      <c r="E315" s="182"/>
      <c r="F315" s="50"/>
      <c r="G315" s="50"/>
      <c r="H315" s="50"/>
      <c r="I315" s="50"/>
      <c r="J315" s="50"/>
      <c r="K315" s="50"/>
      <c r="L315" s="161"/>
    </row>
    <row r="316" spans="1:13" x14ac:dyDescent="0.3">
      <c r="A316" s="149">
        <v>2</v>
      </c>
      <c r="B316" s="158">
        <v>2</v>
      </c>
      <c r="C316" s="181"/>
      <c r="D316" s="161"/>
      <c r="E316" s="182"/>
      <c r="F316" s="50"/>
      <c r="G316" s="50"/>
      <c r="H316" s="50"/>
      <c r="I316" s="50"/>
      <c r="J316" s="50"/>
      <c r="K316" s="50"/>
      <c r="L316" s="161"/>
    </row>
    <row r="317" spans="1:13" x14ac:dyDescent="0.3">
      <c r="A317" s="149">
        <v>3</v>
      </c>
      <c r="B317" s="158">
        <v>3</v>
      </c>
      <c r="C317" s="181"/>
      <c r="D317" s="161"/>
      <c r="E317" s="182"/>
      <c r="F317" s="50"/>
      <c r="G317" s="50"/>
      <c r="H317" s="50"/>
      <c r="I317" s="50"/>
      <c r="J317" s="50"/>
      <c r="K317" s="50"/>
      <c r="L317" s="161"/>
    </row>
    <row r="318" spans="1:13" x14ac:dyDescent="0.3">
      <c r="A318" s="149">
        <v>4</v>
      </c>
      <c r="B318" s="158">
        <v>4</v>
      </c>
      <c r="C318" s="181"/>
      <c r="D318" s="161"/>
      <c r="E318" s="182"/>
      <c r="F318" s="50"/>
      <c r="G318" s="50"/>
      <c r="H318" s="50"/>
      <c r="I318" s="50"/>
      <c r="J318" s="50"/>
      <c r="K318" s="50"/>
      <c r="L318" s="161"/>
    </row>
    <row r="319" spans="1:13" x14ac:dyDescent="0.3">
      <c r="A319" s="149">
        <v>5</v>
      </c>
      <c r="B319" s="158">
        <v>5</v>
      </c>
      <c r="C319" s="181"/>
      <c r="D319" s="161"/>
      <c r="E319" s="182"/>
      <c r="F319" s="50"/>
      <c r="G319" s="50"/>
      <c r="H319" s="50"/>
      <c r="I319" s="50"/>
      <c r="J319" s="50"/>
      <c r="K319" s="50"/>
      <c r="L319" s="161"/>
    </row>
    <row r="320" spans="1:13" x14ac:dyDescent="0.3">
      <c r="A320" s="149">
        <v>6</v>
      </c>
      <c r="B320" s="158">
        <v>6</v>
      </c>
      <c r="C320" s="181"/>
      <c r="D320" s="161"/>
      <c r="E320" s="182"/>
      <c r="F320" s="50"/>
      <c r="G320" s="50"/>
      <c r="H320" s="50"/>
      <c r="I320" s="50"/>
      <c r="J320" s="50"/>
      <c r="K320" s="50"/>
      <c r="L320" s="161"/>
    </row>
    <row r="321" spans="1:12" x14ac:dyDescent="0.3">
      <c r="A321" s="149">
        <v>7</v>
      </c>
      <c r="B321" s="158">
        <v>7</v>
      </c>
      <c r="C321" s="181"/>
      <c r="D321" s="161"/>
      <c r="E321" s="182"/>
      <c r="F321" s="50"/>
      <c r="G321" s="50"/>
      <c r="H321" s="50"/>
      <c r="I321" s="50"/>
      <c r="J321" s="50"/>
      <c r="K321" s="50"/>
      <c r="L321" s="161"/>
    </row>
    <row r="322" spans="1:12" x14ac:dyDescent="0.3">
      <c r="A322" s="149">
        <v>8</v>
      </c>
      <c r="B322" s="158">
        <v>8</v>
      </c>
      <c r="C322" s="181"/>
      <c r="D322" s="161"/>
      <c r="E322" s="182"/>
      <c r="F322" s="50"/>
      <c r="G322" s="50"/>
      <c r="H322" s="50"/>
      <c r="I322" s="50"/>
      <c r="J322" s="50"/>
      <c r="K322" s="50"/>
      <c r="L322" s="161"/>
    </row>
    <row r="323" spans="1:12" x14ac:dyDescent="0.3">
      <c r="A323" s="149">
        <v>9</v>
      </c>
      <c r="B323" s="158">
        <v>9</v>
      </c>
      <c r="C323" s="181"/>
      <c r="D323" s="161"/>
      <c r="E323" s="182"/>
      <c r="F323" s="50"/>
      <c r="G323" s="50"/>
      <c r="H323" s="50"/>
      <c r="I323" s="50"/>
      <c r="J323" s="50"/>
      <c r="K323" s="50"/>
      <c r="L323" s="161"/>
    </row>
    <row r="324" spans="1:12" x14ac:dyDescent="0.3">
      <c r="A324" s="149">
        <v>10</v>
      </c>
      <c r="B324" s="158">
        <v>10</v>
      </c>
      <c r="C324" s="181"/>
      <c r="D324" s="161"/>
      <c r="E324" s="182"/>
      <c r="F324" s="50"/>
      <c r="G324" s="50"/>
      <c r="H324" s="50"/>
      <c r="I324" s="50"/>
      <c r="J324" s="50"/>
      <c r="K324" s="50"/>
      <c r="L324" s="161"/>
    </row>
    <row r="325" spans="1:12" x14ac:dyDescent="0.3">
      <c r="A325" s="149">
        <v>11</v>
      </c>
      <c r="B325" s="158">
        <v>11</v>
      </c>
      <c r="C325" s="181"/>
      <c r="D325" s="161"/>
      <c r="E325" s="182"/>
      <c r="F325" s="50"/>
      <c r="G325" s="50"/>
      <c r="H325" s="50"/>
      <c r="I325" s="50"/>
      <c r="J325" s="50"/>
      <c r="K325" s="50"/>
      <c r="L325" s="161"/>
    </row>
    <row r="326" spans="1:12" x14ac:dyDescent="0.3">
      <c r="A326" s="149">
        <v>12</v>
      </c>
      <c r="B326" s="158">
        <v>12</v>
      </c>
      <c r="C326" s="181"/>
      <c r="D326" s="161"/>
      <c r="E326" s="182"/>
      <c r="F326" s="50"/>
      <c r="G326" s="50"/>
      <c r="H326" s="50"/>
      <c r="I326" s="50"/>
      <c r="J326" s="50"/>
      <c r="K326" s="50"/>
      <c r="L326" s="161"/>
    </row>
    <row r="327" spans="1:12" x14ac:dyDescent="0.3">
      <c r="A327" s="149">
        <v>13</v>
      </c>
      <c r="B327" s="158">
        <v>13</v>
      </c>
      <c r="C327" s="181"/>
      <c r="D327" s="161"/>
      <c r="E327" s="182"/>
      <c r="F327" s="50"/>
      <c r="G327" s="50"/>
      <c r="H327" s="50"/>
      <c r="I327" s="50"/>
      <c r="J327" s="50"/>
      <c r="K327" s="50"/>
      <c r="L327" s="161"/>
    </row>
    <row r="328" spans="1:12" x14ac:dyDescent="0.3">
      <c r="A328" s="149">
        <v>14</v>
      </c>
      <c r="B328" s="158">
        <v>14</v>
      </c>
      <c r="C328" s="181"/>
      <c r="D328" s="161"/>
      <c r="E328" s="182"/>
      <c r="F328" s="50"/>
      <c r="G328" s="50"/>
      <c r="H328" s="50"/>
      <c r="I328" s="50"/>
      <c r="J328" s="50"/>
      <c r="K328" s="50"/>
      <c r="L328" s="161"/>
    </row>
    <row r="329" spans="1:12" x14ac:dyDescent="0.3">
      <c r="A329" s="149">
        <v>15</v>
      </c>
      <c r="B329" s="158">
        <v>15</v>
      </c>
      <c r="C329" s="181"/>
      <c r="D329" s="161"/>
      <c r="E329" s="182"/>
      <c r="F329" s="50"/>
      <c r="G329" s="50"/>
      <c r="H329" s="50"/>
      <c r="I329" s="50"/>
      <c r="J329" s="50"/>
      <c r="K329" s="50"/>
      <c r="L329" s="161"/>
    </row>
    <row r="330" spans="1:12" x14ac:dyDescent="0.3">
      <c r="A330" s="149">
        <v>16</v>
      </c>
      <c r="B330" s="158">
        <v>16</v>
      </c>
      <c r="C330" s="181"/>
      <c r="D330" s="161"/>
      <c r="E330" s="182"/>
      <c r="F330" s="50"/>
      <c r="G330" s="50"/>
      <c r="H330" s="50"/>
      <c r="I330" s="50"/>
      <c r="J330" s="50"/>
      <c r="K330" s="50"/>
      <c r="L330" s="161"/>
    </row>
    <row r="331" spans="1:12" x14ac:dyDescent="0.3">
      <c r="A331" s="149">
        <v>17</v>
      </c>
      <c r="B331" s="158">
        <v>17</v>
      </c>
      <c r="C331" s="181"/>
      <c r="D331" s="161"/>
      <c r="E331" s="182"/>
      <c r="F331" s="50"/>
      <c r="G331" s="50"/>
      <c r="H331" s="50"/>
      <c r="I331" s="50"/>
      <c r="J331" s="50"/>
      <c r="K331" s="50"/>
      <c r="L331" s="161"/>
    </row>
    <row r="332" spans="1:12" x14ac:dyDescent="0.3">
      <c r="A332" s="149">
        <v>18</v>
      </c>
      <c r="B332" s="158">
        <v>18</v>
      </c>
      <c r="C332" s="181"/>
      <c r="D332" s="161"/>
      <c r="E332" s="182"/>
      <c r="F332" s="50"/>
      <c r="G332" s="50"/>
      <c r="H332" s="50"/>
      <c r="I332" s="50"/>
      <c r="J332" s="50"/>
      <c r="K332" s="50"/>
      <c r="L332" s="161"/>
    </row>
    <row r="333" spans="1:12" x14ac:dyDescent="0.3">
      <c r="A333" s="149">
        <v>19</v>
      </c>
      <c r="B333" s="158">
        <v>19</v>
      </c>
      <c r="C333" s="181"/>
      <c r="D333" s="161"/>
      <c r="E333" s="182"/>
      <c r="F333" s="50"/>
      <c r="G333" s="50"/>
      <c r="H333" s="50"/>
      <c r="I333" s="50"/>
      <c r="J333" s="50"/>
      <c r="K333" s="50"/>
      <c r="L333" s="161"/>
    </row>
    <row r="334" spans="1:12" x14ac:dyDescent="0.3">
      <c r="A334" s="149">
        <v>20</v>
      </c>
      <c r="B334" s="158">
        <v>20</v>
      </c>
      <c r="C334" s="181"/>
      <c r="D334" s="161"/>
      <c r="E334" s="182"/>
      <c r="F334" s="50"/>
      <c r="G334" s="50"/>
      <c r="H334" s="50"/>
      <c r="I334" s="50"/>
      <c r="J334" s="50"/>
      <c r="K334" s="50"/>
      <c r="L334" s="161"/>
    </row>
    <row r="335" spans="1:12" ht="14.4" thickBot="1" x14ac:dyDescent="0.35">
      <c r="A335" s="149">
        <v>0</v>
      </c>
      <c r="B335" s="45" t="s">
        <v>24</v>
      </c>
      <c r="C335" s="167"/>
      <c r="D335" s="167"/>
      <c r="E335" s="167"/>
      <c r="F335" s="179">
        <f t="shared" ref="F335:L335" si="10">SUM(F315:F334)</f>
        <v>0</v>
      </c>
      <c r="G335" s="179">
        <f t="shared" si="10"/>
        <v>0</v>
      </c>
      <c r="H335" s="179">
        <f t="shared" si="10"/>
        <v>0</v>
      </c>
      <c r="I335" s="179">
        <f t="shared" si="10"/>
        <v>0</v>
      </c>
      <c r="J335" s="179">
        <f t="shared" si="10"/>
        <v>0</v>
      </c>
      <c r="K335" s="179">
        <f t="shared" si="10"/>
        <v>0</v>
      </c>
      <c r="L335" s="169">
        <f t="shared" si="10"/>
        <v>0</v>
      </c>
    </row>
    <row r="336" spans="1:12" ht="14.4" thickTop="1" x14ac:dyDescent="0.3">
      <c r="A336" s="149">
        <v>0</v>
      </c>
      <c r="B336" s="170"/>
      <c r="C336" s="171"/>
      <c r="D336" s="171"/>
      <c r="E336" s="171"/>
      <c r="F336" s="172"/>
    </row>
    <row r="337" spans="1:13" x14ac:dyDescent="0.3">
      <c r="A337" s="149">
        <v>0</v>
      </c>
      <c r="B337" s="170"/>
      <c r="C337" s="171"/>
      <c r="D337" s="171"/>
      <c r="E337" s="171"/>
      <c r="F337" s="172"/>
    </row>
    <row r="338" spans="1:13" x14ac:dyDescent="0.3">
      <c r="A338" s="149">
        <v>0</v>
      </c>
    </row>
    <row r="339" spans="1:13" x14ac:dyDescent="0.3">
      <c r="A339" s="149">
        <v>0</v>
      </c>
      <c r="B339" s="174" t="s">
        <v>20</v>
      </c>
      <c r="D339" s="149" t="s">
        <v>21</v>
      </c>
    </row>
    <row r="340" spans="1:13" x14ac:dyDescent="0.3">
      <c r="A340" s="149">
        <v>0</v>
      </c>
      <c r="B340" s="174" t="s">
        <v>12</v>
      </c>
      <c r="D340" s="149" t="s">
        <v>16</v>
      </c>
    </row>
    <row r="341" spans="1:13" x14ac:dyDescent="0.3">
      <c r="A341" s="149">
        <v>0</v>
      </c>
      <c r="D341" s="149" t="s">
        <v>22</v>
      </c>
    </row>
    <row r="342" spans="1:13" ht="14.4" customHeight="1" x14ac:dyDescent="0.3">
      <c r="A342" s="149">
        <v>0</v>
      </c>
      <c r="B342" s="172" t="s">
        <v>41</v>
      </c>
      <c r="C342" s="171"/>
      <c r="D342" s="149" t="str">
        <f>D63</f>
        <v>S A M Perera</v>
      </c>
      <c r="F342" s="172"/>
      <c r="G342" s="172"/>
      <c r="H342" s="172"/>
      <c r="I342" s="172" t="s">
        <v>40</v>
      </c>
      <c r="J342" s="172"/>
      <c r="K342" s="172"/>
      <c r="L342" s="149" t="str">
        <f>L63</f>
        <v>SAM/CENTRAL/KY/NC/26/DEC/1-A</v>
      </c>
    </row>
    <row r="343" spans="1:13" x14ac:dyDescent="0.3">
      <c r="A343" s="149">
        <v>0</v>
      </c>
    </row>
    <row r="344" spans="1:13" ht="24.9" customHeight="1" x14ac:dyDescent="0.3">
      <c r="A344" s="149">
        <v>0</v>
      </c>
      <c r="B344" s="183" t="s">
        <v>48</v>
      </c>
      <c r="C344" s="184"/>
      <c r="D344" s="184"/>
      <c r="E344" s="184"/>
      <c r="F344" s="185"/>
      <c r="G344" s="185"/>
      <c r="H344" s="185"/>
      <c r="I344" s="185"/>
      <c r="J344" s="185"/>
      <c r="K344" s="185"/>
      <c r="L344" s="184"/>
      <c r="M344" s="153"/>
    </row>
    <row r="345" spans="1:13" ht="69.599999999999994" customHeight="1" x14ac:dyDescent="0.3">
      <c r="A345" s="149">
        <v>0</v>
      </c>
      <c r="B345" s="91" t="s">
        <v>17</v>
      </c>
      <c r="C345" s="154" t="s">
        <v>18</v>
      </c>
      <c r="D345" s="155" t="s">
        <v>30</v>
      </c>
      <c r="E345" s="156" t="s">
        <v>19</v>
      </c>
      <c r="F345" s="157" t="s">
        <v>36</v>
      </c>
      <c r="G345" s="157" t="s">
        <v>38</v>
      </c>
      <c r="H345" s="157" t="s">
        <v>44</v>
      </c>
      <c r="I345" s="157" t="s">
        <v>45</v>
      </c>
      <c r="J345" s="157" t="s">
        <v>46</v>
      </c>
      <c r="K345" s="157" t="s">
        <v>53</v>
      </c>
      <c r="L345" s="154" t="s">
        <v>37</v>
      </c>
    </row>
    <row r="346" spans="1:13" x14ac:dyDescent="0.3">
      <c r="A346" s="149">
        <v>1</v>
      </c>
      <c r="B346" s="158">
        <v>1</v>
      </c>
      <c r="C346" s="181"/>
      <c r="D346" s="161"/>
      <c r="E346" s="182"/>
      <c r="F346" s="50"/>
      <c r="G346" s="50"/>
      <c r="H346" s="50"/>
      <c r="I346" s="50"/>
      <c r="J346" s="50"/>
      <c r="K346" s="50"/>
      <c r="L346" s="161"/>
    </row>
    <row r="347" spans="1:13" x14ac:dyDescent="0.3">
      <c r="A347" s="149">
        <v>2</v>
      </c>
      <c r="B347" s="158">
        <v>2</v>
      </c>
      <c r="C347" s="181"/>
      <c r="D347" s="161"/>
      <c r="E347" s="182"/>
      <c r="F347" s="50"/>
      <c r="G347" s="50"/>
      <c r="H347" s="50"/>
      <c r="I347" s="50"/>
      <c r="J347" s="50"/>
      <c r="K347" s="50"/>
      <c r="L347" s="161"/>
    </row>
    <row r="348" spans="1:13" x14ac:dyDescent="0.3">
      <c r="A348" s="149">
        <v>3</v>
      </c>
      <c r="B348" s="158">
        <v>3</v>
      </c>
      <c r="C348" s="181"/>
      <c r="D348" s="161"/>
      <c r="E348" s="182"/>
      <c r="F348" s="50"/>
      <c r="G348" s="50"/>
      <c r="H348" s="50"/>
      <c r="I348" s="50"/>
      <c r="J348" s="50"/>
      <c r="K348" s="50"/>
      <c r="L348" s="161"/>
    </row>
    <row r="349" spans="1:13" x14ac:dyDescent="0.3">
      <c r="A349" s="149">
        <v>4</v>
      </c>
      <c r="B349" s="158">
        <v>4</v>
      </c>
      <c r="C349" s="181"/>
      <c r="D349" s="161"/>
      <c r="E349" s="182"/>
      <c r="F349" s="50"/>
      <c r="G349" s="50"/>
      <c r="H349" s="50"/>
      <c r="I349" s="50"/>
      <c r="J349" s="50"/>
      <c r="K349" s="50"/>
      <c r="L349" s="161"/>
    </row>
    <row r="350" spans="1:13" x14ac:dyDescent="0.3">
      <c r="A350" s="149">
        <v>5</v>
      </c>
      <c r="B350" s="158">
        <v>5</v>
      </c>
      <c r="C350" s="181"/>
      <c r="D350" s="161"/>
      <c r="E350" s="182"/>
      <c r="F350" s="50"/>
      <c r="G350" s="50"/>
      <c r="H350" s="50"/>
      <c r="I350" s="50"/>
      <c r="J350" s="50"/>
      <c r="K350" s="50"/>
      <c r="L350" s="161"/>
    </row>
    <row r="351" spans="1:13" x14ac:dyDescent="0.3">
      <c r="A351" s="149">
        <v>6</v>
      </c>
      <c r="B351" s="158">
        <v>6</v>
      </c>
      <c r="C351" s="181"/>
      <c r="D351" s="161"/>
      <c r="E351" s="182"/>
      <c r="F351" s="50"/>
      <c r="G351" s="50"/>
      <c r="H351" s="50"/>
      <c r="I351" s="50"/>
      <c r="J351" s="50"/>
      <c r="K351" s="50"/>
      <c r="L351" s="161"/>
    </row>
    <row r="352" spans="1:13" x14ac:dyDescent="0.3">
      <c r="A352" s="149">
        <v>7</v>
      </c>
      <c r="B352" s="158">
        <v>7</v>
      </c>
      <c r="C352" s="181"/>
      <c r="D352" s="161"/>
      <c r="E352" s="182"/>
      <c r="F352" s="50"/>
      <c r="G352" s="50"/>
      <c r="H352" s="50"/>
      <c r="I352" s="50"/>
      <c r="J352" s="50"/>
      <c r="K352" s="50"/>
      <c r="L352" s="161"/>
    </row>
    <row r="353" spans="1:12" x14ac:dyDescent="0.3">
      <c r="A353" s="149">
        <v>8</v>
      </c>
      <c r="B353" s="158">
        <v>8</v>
      </c>
      <c r="C353" s="181"/>
      <c r="D353" s="161"/>
      <c r="E353" s="182"/>
      <c r="F353" s="50"/>
      <c r="G353" s="50"/>
      <c r="H353" s="50"/>
      <c r="I353" s="50"/>
      <c r="J353" s="50"/>
      <c r="K353" s="50"/>
      <c r="L353" s="161"/>
    </row>
    <row r="354" spans="1:12" x14ac:dyDescent="0.3">
      <c r="A354" s="149">
        <v>9</v>
      </c>
      <c r="B354" s="158">
        <v>9</v>
      </c>
      <c r="C354" s="181"/>
      <c r="D354" s="161"/>
      <c r="E354" s="182"/>
      <c r="F354" s="50"/>
      <c r="G354" s="50"/>
      <c r="H354" s="50"/>
      <c r="I354" s="50"/>
      <c r="J354" s="50"/>
      <c r="K354" s="50"/>
      <c r="L354" s="161"/>
    </row>
    <row r="355" spans="1:12" x14ac:dyDescent="0.3">
      <c r="A355" s="149">
        <v>10</v>
      </c>
      <c r="B355" s="158">
        <v>10</v>
      </c>
      <c r="C355" s="181"/>
      <c r="D355" s="161"/>
      <c r="E355" s="182"/>
      <c r="F355" s="50"/>
      <c r="G355" s="50"/>
      <c r="H355" s="50"/>
      <c r="I355" s="50"/>
      <c r="J355" s="50"/>
      <c r="K355" s="50"/>
      <c r="L355" s="161"/>
    </row>
    <row r="356" spans="1:12" x14ac:dyDescent="0.3">
      <c r="A356" s="149">
        <v>11</v>
      </c>
      <c r="B356" s="158">
        <v>11</v>
      </c>
      <c r="C356" s="181"/>
      <c r="D356" s="161"/>
      <c r="E356" s="182"/>
      <c r="F356" s="50"/>
      <c r="G356" s="50"/>
      <c r="H356" s="50"/>
      <c r="I356" s="50"/>
      <c r="J356" s="50"/>
      <c r="K356" s="50"/>
      <c r="L356" s="161"/>
    </row>
    <row r="357" spans="1:12" x14ac:dyDescent="0.3">
      <c r="A357" s="149">
        <v>12</v>
      </c>
      <c r="B357" s="158">
        <v>12</v>
      </c>
      <c r="C357" s="181"/>
      <c r="D357" s="161"/>
      <c r="E357" s="182"/>
      <c r="F357" s="50"/>
      <c r="G357" s="50"/>
      <c r="H357" s="50"/>
      <c r="I357" s="50"/>
      <c r="J357" s="50"/>
      <c r="K357" s="50"/>
      <c r="L357" s="161"/>
    </row>
    <row r="358" spans="1:12" x14ac:dyDescent="0.3">
      <c r="A358" s="149">
        <v>13</v>
      </c>
      <c r="B358" s="158">
        <v>13</v>
      </c>
      <c r="C358" s="181"/>
      <c r="D358" s="161"/>
      <c r="E358" s="182"/>
      <c r="F358" s="50"/>
      <c r="G358" s="50"/>
      <c r="H358" s="50"/>
      <c r="I358" s="50"/>
      <c r="J358" s="50"/>
      <c r="K358" s="50"/>
      <c r="L358" s="161"/>
    </row>
    <row r="359" spans="1:12" x14ac:dyDescent="0.3">
      <c r="A359" s="149">
        <v>14</v>
      </c>
      <c r="B359" s="158">
        <v>14</v>
      </c>
      <c r="C359" s="181"/>
      <c r="D359" s="161"/>
      <c r="E359" s="182"/>
      <c r="F359" s="50"/>
      <c r="G359" s="50"/>
      <c r="H359" s="50"/>
      <c r="I359" s="50"/>
      <c r="J359" s="50"/>
      <c r="K359" s="50"/>
      <c r="L359" s="161"/>
    </row>
    <row r="360" spans="1:12" x14ac:dyDescent="0.3">
      <c r="A360" s="149">
        <v>15</v>
      </c>
      <c r="B360" s="158">
        <v>15</v>
      </c>
      <c r="C360" s="181"/>
      <c r="D360" s="161"/>
      <c r="E360" s="182"/>
      <c r="F360" s="50"/>
      <c r="G360" s="50"/>
      <c r="H360" s="50"/>
      <c r="I360" s="50"/>
      <c r="J360" s="50"/>
      <c r="K360" s="50"/>
      <c r="L360" s="161"/>
    </row>
    <row r="361" spans="1:12" x14ac:dyDescent="0.3">
      <c r="A361" s="149">
        <v>16</v>
      </c>
      <c r="B361" s="158">
        <v>16</v>
      </c>
      <c r="C361" s="181"/>
      <c r="D361" s="161"/>
      <c r="E361" s="182"/>
      <c r="F361" s="50"/>
      <c r="G361" s="50"/>
      <c r="H361" s="50"/>
      <c r="I361" s="50"/>
      <c r="J361" s="50"/>
      <c r="K361" s="50"/>
      <c r="L361" s="161"/>
    </row>
    <row r="362" spans="1:12" x14ac:dyDescent="0.3">
      <c r="A362" s="149">
        <v>17</v>
      </c>
      <c r="B362" s="158">
        <v>17</v>
      </c>
      <c r="C362" s="181"/>
      <c r="D362" s="161"/>
      <c r="E362" s="182"/>
      <c r="F362" s="50"/>
      <c r="G362" s="50"/>
      <c r="H362" s="50"/>
      <c r="I362" s="50"/>
      <c r="J362" s="50"/>
      <c r="K362" s="50"/>
      <c r="L362" s="161"/>
    </row>
    <row r="363" spans="1:12" x14ac:dyDescent="0.3">
      <c r="A363" s="149">
        <v>18</v>
      </c>
      <c r="B363" s="158">
        <v>18</v>
      </c>
      <c r="C363" s="181"/>
      <c r="D363" s="161"/>
      <c r="E363" s="182"/>
      <c r="F363" s="50"/>
      <c r="G363" s="50"/>
      <c r="H363" s="50"/>
      <c r="I363" s="50"/>
      <c r="J363" s="50"/>
      <c r="K363" s="50"/>
      <c r="L363" s="161"/>
    </row>
    <row r="364" spans="1:12" x14ac:dyDescent="0.3">
      <c r="A364" s="149">
        <v>19</v>
      </c>
      <c r="B364" s="158">
        <v>19</v>
      </c>
      <c r="C364" s="181"/>
      <c r="D364" s="161"/>
      <c r="E364" s="182"/>
      <c r="F364" s="50"/>
      <c r="G364" s="50"/>
      <c r="H364" s="50"/>
      <c r="I364" s="50"/>
      <c r="J364" s="50"/>
      <c r="K364" s="50"/>
      <c r="L364" s="161"/>
    </row>
    <row r="365" spans="1:12" x14ac:dyDescent="0.3">
      <c r="A365" s="149">
        <v>20</v>
      </c>
      <c r="B365" s="158">
        <v>20</v>
      </c>
      <c r="C365" s="181"/>
      <c r="D365" s="161"/>
      <c r="E365" s="182"/>
      <c r="F365" s="50"/>
      <c r="G365" s="50"/>
      <c r="H365" s="50"/>
      <c r="I365" s="50"/>
      <c r="J365" s="50"/>
      <c r="K365" s="50"/>
      <c r="L365" s="161"/>
    </row>
    <row r="366" spans="1:12" ht="14.4" thickBot="1" x14ac:dyDescent="0.35">
      <c r="A366" s="149">
        <v>0</v>
      </c>
      <c r="B366" s="45" t="s">
        <v>24</v>
      </c>
      <c r="C366" s="167"/>
      <c r="D366" s="167"/>
      <c r="E366" s="167"/>
      <c r="F366" s="179">
        <f t="shared" ref="F366:L366" si="11">SUM(F346:F365)</f>
        <v>0</v>
      </c>
      <c r="G366" s="179">
        <f t="shared" si="11"/>
        <v>0</v>
      </c>
      <c r="H366" s="179">
        <f t="shared" si="11"/>
        <v>0</v>
      </c>
      <c r="I366" s="179">
        <f t="shared" si="11"/>
        <v>0</v>
      </c>
      <c r="J366" s="179">
        <f t="shared" si="11"/>
        <v>0</v>
      </c>
      <c r="K366" s="179">
        <f t="shared" si="11"/>
        <v>0</v>
      </c>
      <c r="L366" s="169">
        <f t="shared" si="11"/>
        <v>0</v>
      </c>
    </row>
    <row r="367" spans="1:12" ht="14.4" thickTop="1" x14ac:dyDescent="0.3">
      <c r="A367" s="149">
        <v>0</v>
      </c>
      <c r="B367" s="170"/>
      <c r="C367" s="171"/>
      <c r="D367" s="171"/>
      <c r="E367" s="171"/>
      <c r="F367" s="172"/>
    </row>
    <row r="368" spans="1:12" x14ac:dyDescent="0.3">
      <c r="A368" s="149">
        <v>0</v>
      </c>
      <c r="B368" s="170"/>
      <c r="C368" s="171"/>
      <c r="D368" s="171"/>
      <c r="E368" s="171"/>
      <c r="F368" s="172"/>
    </row>
    <row r="369" spans="1:13" x14ac:dyDescent="0.3">
      <c r="A369" s="149">
        <v>0</v>
      </c>
    </row>
    <row r="370" spans="1:13" x14ac:dyDescent="0.3">
      <c r="A370" s="149">
        <v>0</v>
      </c>
      <c r="B370" s="174" t="s">
        <v>20</v>
      </c>
      <c r="D370" s="149" t="s">
        <v>21</v>
      </c>
    </row>
    <row r="371" spans="1:13" x14ac:dyDescent="0.3">
      <c r="A371" s="149">
        <v>0</v>
      </c>
      <c r="B371" s="174" t="s">
        <v>12</v>
      </c>
      <c r="D371" s="149" t="s">
        <v>16</v>
      </c>
    </row>
    <row r="372" spans="1:13" x14ac:dyDescent="0.3">
      <c r="A372" s="149">
        <v>0</v>
      </c>
      <c r="D372" s="149" t="s">
        <v>22</v>
      </c>
    </row>
    <row r="373" spans="1:13" ht="14.4" customHeight="1" x14ac:dyDescent="0.3">
      <c r="A373" s="149">
        <v>0</v>
      </c>
      <c r="B373" s="172" t="s">
        <v>41</v>
      </c>
      <c r="C373" s="171"/>
      <c r="D373" s="149" t="str">
        <f>D94</f>
        <v>S A M Perera</v>
      </c>
      <c r="F373" s="172"/>
      <c r="G373" s="172"/>
      <c r="H373" s="172"/>
      <c r="I373" s="172" t="s">
        <v>40</v>
      </c>
      <c r="J373" s="172"/>
      <c r="K373" s="172"/>
      <c r="L373" s="149" t="str">
        <f>L94</f>
        <v>SAM/CENTRAL/KY/NC/26/DEC/1-A</v>
      </c>
    </row>
    <row r="374" spans="1:13" x14ac:dyDescent="0.3">
      <c r="A374" s="149">
        <v>0</v>
      </c>
    </row>
    <row r="375" spans="1:13" ht="24.9" customHeight="1" x14ac:dyDescent="0.3">
      <c r="A375" s="149">
        <v>0</v>
      </c>
      <c r="B375" s="183" t="s">
        <v>48</v>
      </c>
      <c r="C375" s="184"/>
      <c r="D375" s="184"/>
      <c r="E375" s="184"/>
      <c r="F375" s="185"/>
      <c r="G375" s="185"/>
      <c r="H375" s="185"/>
      <c r="I375" s="185"/>
      <c r="J375" s="185"/>
      <c r="K375" s="185"/>
      <c r="L375" s="184"/>
      <c r="M375" s="153"/>
    </row>
    <row r="376" spans="1:13" ht="69.599999999999994" customHeight="1" x14ac:dyDescent="0.3">
      <c r="A376" s="149">
        <v>0</v>
      </c>
      <c r="B376" s="91" t="s">
        <v>17</v>
      </c>
      <c r="C376" s="154" t="s">
        <v>18</v>
      </c>
      <c r="D376" s="155" t="s">
        <v>30</v>
      </c>
      <c r="E376" s="156" t="s">
        <v>19</v>
      </c>
      <c r="F376" s="157" t="s">
        <v>36</v>
      </c>
      <c r="G376" s="157" t="s">
        <v>38</v>
      </c>
      <c r="H376" s="157" t="s">
        <v>44</v>
      </c>
      <c r="I376" s="157" t="s">
        <v>45</v>
      </c>
      <c r="J376" s="157" t="s">
        <v>46</v>
      </c>
      <c r="K376" s="157" t="s">
        <v>53</v>
      </c>
      <c r="L376" s="154" t="s">
        <v>37</v>
      </c>
    </row>
    <row r="377" spans="1:13" x14ac:dyDescent="0.3">
      <c r="A377" s="149">
        <v>1</v>
      </c>
      <c r="B377" s="158">
        <v>1</v>
      </c>
      <c r="C377" s="181"/>
      <c r="D377" s="161"/>
      <c r="E377" s="182"/>
      <c r="F377" s="50"/>
      <c r="G377" s="50"/>
      <c r="H377" s="50"/>
      <c r="I377" s="50"/>
      <c r="J377" s="50"/>
      <c r="K377" s="50"/>
      <c r="L377" s="161"/>
    </row>
    <row r="378" spans="1:13" x14ac:dyDescent="0.3">
      <c r="A378" s="149">
        <v>2</v>
      </c>
      <c r="B378" s="158">
        <v>2</v>
      </c>
      <c r="C378" s="181"/>
      <c r="D378" s="161"/>
      <c r="E378" s="182"/>
      <c r="F378" s="50"/>
      <c r="G378" s="50"/>
      <c r="H378" s="50"/>
      <c r="I378" s="50"/>
      <c r="J378" s="50"/>
      <c r="K378" s="50"/>
      <c r="L378" s="161"/>
    </row>
    <row r="379" spans="1:13" x14ac:dyDescent="0.3">
      <c r="A379" s="149">
        <v>3</v>
      </c>
      <c r="B379" s="158">
        <v>3</v>
      </c>
      <c r="C379" s="181"/>
      <c r="D379" s="161"/>
      <c r="E379" s="182"/>
      <c r="F379" s="50"/>
      <c r="G379" s="50"/>
      <c r="H379" s="50"/>
      <c r="I379" s="50"/>
      <c r="J379" s="50"/>
      <c r="K379" s="50"/>
      <c r="L379" s="161"/>
    </row>
    <row r="380" spans="1:13" x14ac:dyDescent="0.3">
      <c r="A380" s="149">
        <v>4</v>
      </c>
      <c r="B380" s="158">
        <v>4</v>
      </c>
      <c r="C380" s="181"/>
      <c r="D380" s="161"/>
      <c r="E380" s="182"/>
      <c r="F380" s="50"/>
      <c r="G380" s="50"/>
      <c r="H380" s="50"/>
      <c r="I380" s="50"/>
      <c r="J380" s="50"/>
      <c r="K380" s="50"/>
      <c r="L380" s="161"/>
    </row>
    <row r="381" spans="1:13" x14ac:dyDescent="0.3">
      <c r="A381" s="149">
        <v>5</v>
      </c>
      <c r="B381" s="158">
        <v>5</v>
      </c>
      <c r="C381" s="181"/>
      <c r="D381" s="161"/>
      <c r="E381" s="182"/>
      <c r="F381" s="50"/>
      <c r="G381" s="50"/>
      <c r="H381" s="50"/>
      <c r="I381" s="50"/>
      <c r="J381" s="50"/>
      <c r="K381" s="50"/>
      <c r="L381" s="161"/>
    </row>
    <row r="382" spans="1:13" x14ac:dyDescent="0.3">
      <c r="A382" s="149">
        <v>6</v>
      </c>
      <c r="B382" s="158">
        <v>6</v>
      </c>
      <c r="C382" s="181"/>
      <c r="D382" s="161"/>
      <c r="E382" s="182"/>
      <c r="F382" s="50"/>
      <c r="G382" s="50"/>
      <c r="H382" s="50"/>
      <c r="I382" s="50"/>
      <c r="J382" s="50"/>
      <c r="K382" s="50"/>
      <c r="L382" s="161"/>
    </row>
    <row r="383" spans="1:13" x14ac:dyDescent="0.3">
      <c r="A383" s="149">
        <v>7</v>
      </c>
      <c r="B383" s="158">
        <v>7</v>
      </c>
      <c r="C383" s="181"/>
      <c r="D383" s="161"/>
      <c r="E383" s="182"/>
      <c r="F383" s="50"/>
      <c r="G383" s="50"/>
      <c r="H383" s="50"/>
      <c r="I383" s="50"/>
      <c r="J383" s="50"/>
      <c r="K383" s="50"/>
      <c r="L383" s="161"/>
    </row>
    <row r="384" spans="1:13" x14ac:dyDescent="0.3">
      <c r="A384" s="149">
        <v>8</v>
      </c>
      <c r="B384" s="158">
        <v>8</v>
      </c>
      <c r="C384" s="181"/>
      <c r="D384" s="161"/>
      <c r="E384" s="182"/>
      <c r="F384" s="50"/>
      <c r="G384" s="50"/>
      <c r="H384" s="50"/>
      <c r="I384" s="50"/>
      <c r="J384" s="50"/>
      <c r="K384" s="50"/>
      <c r="L384" s="161"/>
    </row>
    <row r="385" spans="1:12" x14ac:dyDescent="0.3">
      <c r="A385" s="149">
        <v>9</v>
      </c>
      <c r="B385" s="158">
        <v>9</v>
      </c>
      <c r="C385" s="181"/>
      <c r="D385" s="161"/>
      <c r="E385" s="182"/>
      <c r="F385" s="50"/>
      <c r="G385" s="50"/>
      <c r="H385" s="50"/>
      <c r="I385" s="50"/>
      <c r="J385" s="50"/>
      <c r="K385" s="50"/>
      <c r="L385" s="161"/>
    </row>
    <row r="386" spans="1:12" x14ac:dyDescent="0.3">
      <c r="A386" s="149">
        <v>10</v>
      </c>
      <c r="B386" s="158">
        <v>10</v>
      </c>
      <c r="C386" s="181"/>
      <c r="D386" s="161"/>
      <c r="E386" s="182"/>
      <c r="F386" s="50"/>
      <c r="G386" s="50"/>
      <c r="H386" s="50"/>
      <c r="I386" s="50"/>
      <c r="J386" s="50"/>
      <c r="K386" s="50"/>
      <c r="L386" s="161"/>
    </row>
    <row r="387" spans="1:12" x14ac:dyDescent="0.3">
      <c r="A387" s="149">
        <v>11</v>
      </c>
      <c r="B387" s="158">
        <v>11</v>
      </c>
      <c r="C387" s="181"/>
      <c r="D387" s="161"/>
      <c r="E387" s="182"/>
      <c r="F387" s="50"/>
      <c r="G387" s="50"/>
      <c r="H387" s="50"/>
      <c r="I387" s="50"/>
      <c r="J387" s="50"/>
      <c r="K387" s="50"/>
      <c r="L387" s="161"/>
    </row>
    <row r="388" spans="1:12" x14ac:dyDescent="0.3">
      <c r="A388" s="149">
        <v>12</v>
      </c>
      <c r="B388" s="158">
        <v>12</v>
      </c>
      <c r="C388" s="181"/>
      <c r="D388" s="161"/>
      <c r="E388" s="182"/>
      <c r="F388" s="50"/>
      <c r="G388" s="50"/>
      <c r="H388" s="50"/>
      <c r="I388" s="50"/>
      <c r="J388" s="50"/>
      <c r="K388" s="50"/>
      <c r="L388" s="161"/>
    </row>
    <row r="389" spans="1:12" x14ac:dyDescent="0.3">
      <c r="A389" s="149">
        <v>13</v>
      </c>
      <c r="B389" s="158">
        <v>13</v>
      </c>
      <c r="C389" s="181"/>
      <c r="D389" s="161"/>
      <c r="E389" s="182"/>
      <c r="F389" s="50"/>
      <c r="G389" s="50"/>
      <c r="H389" s="50"/>
      <c r="I389" s="50"/>
      <c r="J389" s="50"/>
      <c r="K389" s="50"/>
      <c r="L389" s="161"/>
    </row>
    <row r="390" spans="1:12" x14ac:dyDescent="0.3">
      <c r="A390" s="149">
        <v>14</v>
      </c>
      <c r="B390" s="158">
        <v>14</v>
      </c>
      <c r="C390" s="181"/>
      <c r="D390" s="161"/>
      <c r="E390" s="182"/>
      <c r="F390" s="50"/>
      <c r="G390" s="50"/>
      <c r="H390" s="50"/>
      <c r="I390" s="50"/>
      <c r="J390" s="50"/>
      <c r="K390" s="50"/>
      <c r="L390" s="161"/>
    </row>
    <row r="391" spans="1:12" x14ac:dyDescent="0.3">
      <c r="A391" s="149">
        <v>15</v>
      </c>
      <c r="B391" s="158">
        <v>15</v>
      </c>
      <c r="C391" s="181"/>
      <c r="D391" s="161"/>
      <c r="E391" s="182"/>
      <c r="F391" s="50"/>
      <c r="G391" s="50"/>
      <c r="H391" s="50"/>
      <c r="I391" s="50"/>
      <c r="J391" s="50"/>
      <c r="K391" s="50"/>
      <c r="L391" s="161"/>
    </row>
    <row r="392" spans="1:12" x14ac:dyDescent="0.3">
      <c r="A392" s="149">
        <v>16</v>
      </c>
      <c r="B392" s="158">
        <v>16</v>
      </c>
      <c r="C392" s="181"/>
      <c r="D392" s="161"/>
      <c r="E392" s="182"/>
      <c r="F392" s="50"/>
      <c r="G392" s="50"/>
      <c r="H392" s="50"/>
      <c r="I392" s="50"/>
      <c r="J392" s="50"/>
      <c r="K392" s="50"/>
      <c r="L392" s="161"/>
    </row>
    <row r="393" spans="1:12" x14ac:dyDescent="0.3">
      <c r="A393" s="149">
        <v>17</v>
      </c>
      <c r="B393" s="158">
        <v>17</v>
      </c>
      <c r="C393" s="181"/>
      <c r="D393" s="161"/>
      <c r="E393" s="182"/>
      <c r="F393" s="50"/>
      <c r="G393" s="50"/>
      <c r="H393" s="50"/>
      <c r="I393" s="50"/>
      <c r="J393" s="50"/>
      <c r="K393" s="50"/>
      <c r="L393" s="161"/>
    </row>
    <row r="394" spans="1:12" x14ac:dyDescent="0.3">
      <c r="A394" s="149">
        <v>18</v>
      </c>
      <c r="B394" s="158">
        <v>18</v>
      </c>
      <c r="C394" s="181"/>
      <c r="D394" s="161"/>
      <c r="E394" s="182"/>
      <c r="F394" s="50"/>
      <c r="G394" s="50"/>
      <c r="H394" s="50"/>
      <c r="I394" s="50"/>
      <c r="J394" s="50"/>
      <c r="K394" s="50"/>
      <c r="L394" s="161"/>
    </row>
    <row r="395" spans="1:12" x14ac:dyDescent="0.3">
      <c r="A395" s="149">
        <v>19</v>
      </c>
      <c r="B395" s="158">
        <v>19</v>
      </c>
      <c r="C395" s="181"/>
      <c r="D395" s="161"/>
      <c r="E395" s="182"/>
      <c r="F395" s="50"/>
      <c r="G395" s="50"/>
      <c r="H395" s="50"/>
      <c r="I395" s="50"/>
      <c r="J395" s="50"/>
      <c r="K395" s="50"/>
      <c r="L395" s="161"/>
    </row>
    <row r="396" spans="1:12" x14ac:dyDescent="0.3">
      <c r="A396" s="149">
        <v>20</v>
      </c>
      <c r="B396" s="158">
        <v>20</v>
      </c>
      <c r="C396" s="181"/>
      <c r="D396" s="161"/>
      <c r="E396" s="182"/>
      <c r="F396" s="50"/>
      <c r="G396" s="50"/>
      <c r="H396" s="50"/>
      <c r="I396" s="50"/>
      <c r="J396" s="50"/>
      <c r="K396" s="50"/>
      <c r="L396" s="161"/>
    </row>
    <row r="397" spans="1:12" ht="14.4" thickBot="1" x14ac:dyDescent="0.35">
      <c r="A397" s="149">
        <v>0</v>
      </c>
      <c r="B397" s="45" t="s">
        <v>24</v>
      </c>
      <c r="C397" s="167"/>
      <c r="D397" s="167"/>
      <c r="E397" s="167"/>
      <c r="F397" s="179">
        <f t="shared" ref="F397:L397" si="12">SUM(F377:F396)</f>
        <v>0</v>
      </c>
      <c r="G397" s="179">
        <f t="shared" si="12"/>
        <v>0</v>
      </c>
      <c r="H397" s="179">
        <f t="shared" si="12"/>
        <v>0</v>
      </c>
      <c r="I397" s="179">
        <f t="shared" si="12"/>
        <v>0</v>
      </c>
      <c r="J397" s="179">
        <f t="shared" si="12"/>
        <v>0</v>
      </c>
      <c r="K397" s="179">
        <f t="shared" si="12"/>
        <v>0</v>
      </c>
      <c r="L397" s="169">
        <f t="shared" si="12"/>
        <v>0</v>
      </c>
    </row>
    <row r="398" spans="1:12" ht="14.4" thickTop="1" x14ac:dyDescent="0.3">
      <c r="A398" s="149">
        <v>0</v>
      </c>
      <c r="B398" s="170"/>
      <c r="C398" s="171"/>
      <c r="D398" s="171"/>
      <c r="E398" s="171"/>
      <c r="F398" s="172"/>
    </row>
    <row r="399" spans="1:12" x14ac:dyDescent="0.3">
      <c r="A399" s="149">
        <v>0</v>
      </c>
      <c r="B399" s="170"/>
      <c r="C399" s="171"/>
      <c r="D399" s="171"/>
      <c r="E399" s="171"/>
      <c r="F399" s="172"/>
    </row>
    <row r="400" spans="1:12" x14ac:dyDescent="0.3">
      <c r="A400" s="149">
        <v>0</v>
      </c>
    </row>
    <row r="401" spans="1:13" x14ac:dyDescent="0.3">
      <c r="A401" s="149">
        <v>0</v>
      </c>
      <c r="B401" s="174" t="s">
        <v>20</v>
      </c>
      <c r="D401" s="149" t="s">
        <v>21</v>
      </c>
    </row>
    <row r="402" spans="1:13" x14ac:dyDescent="0.3">
      <c r="A402" s="149">
        <v>0</v>
      </c>
      <c r="B402" s="174" t="s">
        <v>12</v>
      </c>
      <c r="D402" s="149" t="s">
        <v>16</v>
      </c>
    </row>
    <row r="403" spans="1:13" x14ac:dyDescent="0.3">
      <c r="A403" s="149">
        <v>0</v>
      </c>
      <c r="D403" s="149" t="s">
        <v>22</v>
      </c>
    </row>
    <row r="404" spans="1:13" ht="14.4" customHeight="1" x14ac:dyDescent="0.3">
      <c r="A404" s="149">
        <v>0</v>
      </c>
      <c r="B404" s="172" t="s">
        <v>41</v>
      </c>
      <c r="C404" s="171"/>
      <c r="D404" s="149" t="str">
        <f>D125</f>
        <v>S A M Perera</v>
      </c>
      <c r="F404" s="172"/>
      <c r="G404" s="172"/>
      <c r="H404" s="172"/>
      <c r="I404" s="172" t="s">
        <v>40</v>
      </c>
      <c r="J404" s="172"/>
      <c r="K404" s="172"/>
      <c r="L404" s="149" t="str">
        <f>L125</f>
        <v>SAM/CENTRAL/KY/NC/26/DEC/1-A</v>
      </c>
    </row>
    <row r="405" spans="1:13" x14ac:dyDescent="0.3">
      <c r="A405" s="149">
        <v>0</v>
      </c>
    </row>
    <row r="406" spans="1:13" ht="24.9" customHeight="1" x14ac:dyDescent="0.3">
      <c r="A406" s="149">
        <v>0</v>
      </c>
      <c r="B406" s="183" t="s">
        <v>48</v>
      </c>
      <c r="C406" s="184"/>
      <c r="D406" s="184"/>
      <c r="E406" s="184"/>
      <c r="F406" s="185"/>
      <c r="G406" s="185"/>
      <c r="H406" s="185"/>
      <c r="I406" s="185"/>
      <c r="J406" s="185"/>
      <c r="K406" s="185"/>
      <c r="L406" s="184"/>
      <c r="M406" s="153"/>
    </row>
    <row r="407" spans="1:13" ht="69.599999999999994" customHeight="1" x14ac:dyDescent="0.3">
      <c r="A407" s="149">
        <v>0</v>
      </c>
      <c r="B407" s="91" t="s">
        <v>17</v>
      </c>
      <c r="C407" s="154" t="s">
        <v>18</v>
      </c>
      <c r="D407" s="155" t="s">
        <v>30</v>
      </c>
      <c r="E407" s="156" t="s">
        <v>19</v>
      </c>
      <c r="F407" s="157" t="s">
        <v>36</v>
      </c>
      <c r="G407" s="157" t="s">
        <v>38</v>
      </c>
      <c r="H407" s="157" t="s">
        <v>44</v>
      </c>
      <c r="I407" s="157" t="s">
        <v>45</v>
      </c>
      <c r="J407" s="157" t="s">
        <v>46</v>
      </c>
      <c r="K407" s="157" t="s">
        <v>53</v>
      </c>
      <c r="L407" s="154" t="s">
        <v>37</v>
      </c>
    </row>
    <row r="408" spans="1:13" x14ac:dyDescent="0.3">
      <c r="A408" s="149">
        <v>1</v>
      </c>
      <c r="B408" s="158">
        <v>1</v>
      </c>
      <c r="C408" s="181"/>
      <c r="D408" s="161"/>
      <c r="E408" s="182"/>
      <c r="F408" s="50"/>
      <c r="G408" s="50"/>
      <c r="H408" s="50"/>
      <c r="I408" s="50"/>
      <c r="J408" s="50"/>
      <c r="K408" s="50"/>
      <c r="L408" s="161"/>
    </row>
    <row r="409" spans="1:13" x14ac:dyDescent="0.3">
      <c r="A409" s="149">
        <v>2</v>
      </c>
      <c r="B409" s="158">
        <v>2</v>
      </c>
      <c r="C409" s="181"/>
      <c r="D409" s="161"/>
      <c r="E409" s="182"/>
      <c r="F409" s="50"/>
      <c r="G409" s="50"/>
      <c r="H409" s="50"/>
      <c r="I409" s="50"/>
      <c r="J409" s="50"/>
      <c r="K409" s="50"/>
      <c r="L409" s="161"/>
    </row>
    <row r="410" spans="1:13" x14ac:dyDescent="0.3">
      <c r="A410" s="149">
        <v>3</v>
      </c>
      <c r="B410" s="158">
        <v>3</v>
      </c>
      <c r="C410" s="181"/>
      <c r="D410" s="161"/>
      <c r="E410" s="182"/>
      <c r="F410" s="50"/>
      <c r="G410" s="50"/>
      <c r="H410" s="50"/>
      <c r="I410" s="50"/>
      <c r="J410" s="50"/>
      <c r="K410" s="50"/>
      <c r="L410" s="161"/>
    </row>
    <row r="411" spans="1:13" x14ac:dyDescent="0.3">
      <c r="A411" s="149">
        <v>4</v>
      </c>
      <c r="B411" s="158">
        <v>4</v>
      </c>
      <c r="C411" s="181"/>
      <c r="D411" s="161"/>
      <c r="E411" s="182"/>
      <c r="F411" s="50"/>
      <c r="G411" s="50"/>
      <c r="H411" s="50"/>
      <c r="I411" s="50"/>
      <c r="J411" s="50"/>
      <c r="K411" s="50"/>
      <c r="L411" s="161"/>
    </row>
    <row r="412" spans="1:13" x14ac:dyDescent="0.3">
      <c r="A412" s="149">
        <v>5</v>
      </c>
      <c r="B412" s="158">
        <v>5</v>
      </c>
      <c r="C412" s="181"/>
      <c r="D412" s="161"/>
      <c r="E412" s="182"/>
      <c r="F412" s="50"/>
      <c r="G412" s="50"/>
      <c r="H412" s="50"/>
      <c r="I412" s="50"/>
      <c r="J412" s="50"/>
      <c r="K412" s="50"/>
      <c r="L412" s="161"/>
    </row>
    <row r="413" spans="1:13" x14ac:dyDescent="0.3">
      <c r="A413" s="149">
        <v>6</v>
      </c>
      <c r="B413" s="158">
        <v>6</v>
      </c>
      <c r="C413" s="181"/>
      <c r="D413" s="161"/>
      <c r="E413" s="182"/>
      <c r="F413" s="50"/>
      <c r="G413" s="50"/>
      <c r="H413" s="50"/>
      <c r="I413" s="50"/>
      <c r="J413" s="50"/>
      <c r="K413" s="50"/>
      <c r="L413" s="161"/>
    </row>
    <row r="414" spans="1:13" x14ac:dyDescent="0.3">
      <c r="A414" s="149">
        <v>7</v>
      </c>
      <c r="B414" s="158">
        <v>7</v>
      </c>
      <c r="C414" s="181"/>
      <c r="D414" s="161"/>
      <c r="E414" s="182"/>
      <c r="F414" s="50"/>
      <c r="G414" s="50"/>
      <c r="H414" s="50"/>
      <c r="I414" s="50"/>
      <c r="J414" s="50"/>
      <c r="K414" s="50"/>
      <c r="L414" s="161"/>
    </row>
    <row r="415" spans="1:13" x14ac:dyDescent="0.3">
      <c r="A415" s="149">
        <v>8</v>
      </c>
      <c r="B415" s="158">
        <v>8</v>
      </c>
      <c r="C415" s="181"/>
      <c r="D415" s="161"/>
      <c r="E415" s="182"/>
      <c r="F415" s="50"/>
      <c r="G415" s="50"/>
      <c r="H415" s="50"/>
      <c r="I415" s="50"/>
      <c r="J415" s="50"/>
      <c r="K415" s="50"/>
      <c r="L415" s="161"/>
    </row>
    <row r="416" spans="1:13" x14ac:dyDescent="0.3">
      <c r="A416" s="149">
        <v>9</v>
      </c>
      <c r="B416" s="158">
        <v>9</v>
      </c>
      <c r="C416" s="181"/>
      <c r="D416" s="161"/>
      <c r="E416" s="182"/>
      <c r="F416" s="50"/>
      <c r="G416" s="50"/>
      <c r="H416" s="50"/>
      <c r="I416" s="50"/>
      <c r="J416" s="50"/>
      <c r="K416" s="50"/>
      <c r="L416" s="161"/>
    </row>
    <row r="417" spans="1:12" x14ac:dyDescent="0.3">
      <c r="A417" s="149">
        <v>10</v>
      </c>
      <c r="B417" s="158">
        <v>10</v>
      </c>
      <c r="C417" s="181"/>
      <c r="D417" s="161"/>
      <c r="E417" s="182"/>
      <c r="F417" s="50"/>
      <c r="G417" s="50"/>
      <c r="H417" s="50"/>
      <c r="I417" s="50"/>
      <c r="J417" s="50"/>
      <c r="K417" s="50"/>
      <c r="L417" s="161"/>
    </row>
    <row r="418" spans="1:12" x14ac:dyDescent="0.3">
      <c r="A418" s="149">
        <v>11</v>
      </c>
      <c r="B418" s="158">
        <v>11</v>
      </c>
      <c r="C418" s="181"/>
      <c r="D418" s="161"/>
      <c r="E418" s="182"/>
      <c r="F418" s="50"/>
      <c r="G418" s="50"/>
      <c r="H418" s="50"/>
      <c r="I418" s="50"/>
      <c r="J418" s="50"/>
      <c r="K418" s="50"/>
      <c r="L418" s="161"/>
    </row>
    <row r="419" spans="1:12" x14ac:dyDescent="0.3">
      <c r="A419" s="149">
        <v>12</v>
      </c>
      <c r="B419" s="158">
        <v>12</v>
      </c>
      <c r="C419" s="181"/>
      <c r="D419" s="161"/>
      <c r="E419" s="182"/>
      <c r="F419" s="50"/>
      <c r="G419" s="50"/>
      <c r="H419" s="50"/>
      <c r="I419" s="50"/>
      <c r="J419" s="50"/>
      <c r="K419" s="50"/>
      <c r="L419" s="161"/>
    </row>
    <row r="420" spans="1:12" x14ac:dyDescent="0.3">
      <c r="A420" s="149">
        <v>13</v>
      </c>
      <c r="B420" s="158">
        <v>13</v>
      </c>
      <c r="C420" s="181"/>
      <c r="D420" s="161"/>
      <c r="E420" s="182"/>
      <c r="F420" s="50"/>
      <c r="G420" s="50"/>
      <c r="H420" s="50"/>
      <c r="I420" s="50"/>
      <c r="J420" s="50"/>
      <c r="K420" s="50"/>
      <c r="L420" s="161"/>
    </row>
    <row r="421" spans="1:12" x14ac:dyDescent="0.3">
      <c r="A421" s="149">
        <v>14</v>
      </c>
      <c r="B421" s="158">
        <v>14</v>
      </c>
      <c r="C421" s="181"/>
      <c r="D421" s="161"/>
      <c r="E421" s="182"/>
      <c r="F421" s="50"/>
      <c r="G421" s="50"/>
      <c r="H421" s="50"/>
      <c r="I421" s="50"/>
      <c r="J421" s="50"/>
      <c r="K421" s="50"/>
      <c r="L421" s="161"/>
    </row>
    <row r="422" spans="1:12" x14ac:dyDescent="0.3">
      <c r="A422" s="149">
        <v>15</v>
      </c>
      <c r="B422" s="158">
        <v>15</v>
      </c>
      <c r="C422" s="181"/>
      <c r="D422" s="161"/>
      <c r="E422" s="182"/>
      <c r="F422" s="50"/>
      <c r="G422" s="50"/>
      <c r="H422" s="50"/>
      <c r="I422" s="50"/>
      <c r="J422" s="50"/>
      <c r="K422" s="50"/>
      <c r="L422" s="161"/>
    </row>
    <row r="423" spans="1:12" x14ac:dyDescent="0.3">
      <c r="A423" s="149">
        <v>16</v>
      </c>
      <c r="B423" s="158">
        <v>16</v>
      </c>
      <c r="C423" s="181"/>
      <c r="D423" s="161"/>
      <c r="E423" s="182"/>
      <c r="F423" s="50"/>
      <c r="G423" s="50"/>
      <c r="H423" s="50"/>
      <c r="I423" s="50"/>
      <c r="J423" s="50"/>
      <c r="K423" s="50"/>
      <c r="L423" s="161"/>
    </row>
    <row r="424" spans="1:12" x14ac:dyDescent="0.3">
      <c r="A424" s="149">
        <v>17</v>
      </c>
      <c r="B424" s="158">
        <v>17</v>
      </c>
      <c r="C424" s="181"/>
      <c r="D424" s="161"/>
      <c r="E424" s="182"/>
      <c r="F424" s="50"/>
      <c r="G424" s="50"/>
      <c r="H424" s="50"/>
      <c r="I424" s="50"/>
      <c r="J424" s="50"/>
      <c r="K424" s="50"/>
      <c r="L424" s="161"/>
    </row>
    <row r="425" spans="1:12" x14ac:dyDescent="0.3">
      <c r="A425" s="149">
        <v>18</v>
      </c>
      <c r="B425" s="158">
        <v>18</v>
      </c>
      <c r="C425" s="181"/>
      <c r="D425" s="161"/>
      <c r="E425" s="182"/>
      <c r="F425" s="50"/>
      <c r="G425" s="50"/>
      <c r="H425" s="50"/>
      <c r="I425" s="50"/>
      <c r="J425" s="50"/>
      <c r="K425" s="50"/>
      <c r="L425" s="161"/>
    </row>
    <row r="426" spans="1:12" x14ac:dyDescent="0.3">
      <c r="A426" s="149">
        <v>19</v>
      </c>
      <c r="B426" s="158">
        <v>19</v>
      </c>
      <c r="C426" s="181"/>
      <c r="D426" s="161"/>
      <c r="E426" s="182"/>
      <c r="F426" s="50"/>
      <c r="G426" s="50"/>
      <c r="H426" s="50"/>
      <c r="I426" s="50"/>
      <c r="J426" s="50"/>
      <c r="K426" s="50"/>
      <c r="L426" s="161"/>
    </row>
    <row r="427" spans="1:12" x14ac:dyDescent="0.3">
      <c r="A427" s="149">
        <v>20</v>
      </c>
      <c r="B427" s="158">
        <v>20</v>
      </c>
      <c r="C427" s="181"/>
      <c r="D427" s="161"/>
      <c r="E427" s="182"/>
      <c r="F427" s="50"/>
      <c r="G427" s="50"/>
      <c r="H427" s="50"/>
      <c r="I427" s="50"/>
      <c r="J427" s="50"/>
      <c r="K427" s="50"/>
      <c r="L427" s="161"/>
    </row>
    <row r="428" spans="1:12" ht="14.4" thickBot="1" x14ac:dyDescent="0.35">
      <c r="A428" s="149">
        <v>0</v>
      </c>
      <c r="B428" s="45" t="s">
        <v>24</v>
      </c>
      <c r="C428" s="167"/>
      <c r="D428" s="167"/>
      <c r="E428" s="167"/>
      <c r="F428" s="179">
        <f t="shared" ref="F428:L428" si="13">SUM(F408:F427)</f>
        <v>0</v>
      </c>
      <c r="G428" s="179">
        <f t="shared" si="13"/>
        <v>0</v>
      </c>
      <c r="H428" s="179">
        <f t="shared" si="13"/>
        <v>0</v>
      </c>
      <c r="I428" s="179">
        <f t="shared" si="13"/>
        <v>0</v>
      </c>
      <c r="J428" s="179">
        <f t="shared" si="13"/>
        <v>0</v>
      </c>
      <c r="K428" s="179">
        <f t="shared" si="13"/>
        <v>0</v>
      </c>
      <c r="L428" s="169">
        <f t="shared" si="13"/>
        <v>0</v>
      </c>
    </row>
    <row r="429" spans="1:12" ht="14.4" thickTop="1" x14ac:dyDescent="0.3">
      <c r="A429" s="149">
        <v>0</v>
      </c>
      <c r="B429" s="170"/>
      <c r="C429" s="171"/>
      <c r="D429" s="171"/>
      <c r="E429" s="171"/>
      <c r="F429" s="172"/>
    </row>
    <row r="430" spans="1:12" x14ac:dyDescent="0.3">
      <c r="A430" s="149">
        <v>0</v>
      </c>
      <c r="B430" s="170"/>
      <c r="C430" s="171"/>
      <c r="D430" s="171"/>
      <c r="E430" s="171"/>
      <c r="F430" s="172"/>
    </row>
    <row r="431" spans="1:12" x14ac:dyDescent="0.3">
      <c r="A431" s="149">
        <v>0</v>
      </c>
    </row>
    <row r="432" spans="1:12" x14ac:dyDescent="0.3">
      <c r="A432" s="149">
        <v>0</v>
      </c>
      <c r="B432" s="174" t="s">
        <v>20</v>
      </c>
      <c r="D432" s="149" t="s">
        <v>21</v>
      </c>
    </row>
    <row r="433" spans="1:13" x14ac:dyDescent="0.3">
      <c r="A433" s="149">
        <v>0</v>
      </c>
      <c r="B433" s="174" t="s">
        <v>12</v>
      </c>
      <c r="D433" s="149" t="s">
        <v>16</v>
      </c>
    </row>
    <row r="434" spans="1:13" x14ac:dyDescent="0.3">
      <c r="A434" s="149">
        <v>0</v>
      </c>
      <c r="D434" s="149" t="s">
        <v>22</v>
      </c>
    </row>
    <row r="435" spans="1:13" ht="14.4" customHeight="1" x14ac:dyDescent="0.3">
      <c r="A435" s="149">
        <v>0</v>
      </c>
      <c r="B435" s="172" t="s">
        <v>41</v>
      </c>
      <c r="C435" s="171"/>
      <c r="D435" s="149" t="str">
        <f>D156</f>
        <v>S A M Perera</v>
      </c>
      <c r="F435" s="172"/>
      <c r="G435" s="172"/>
      <c r="H435" s="172"/>
      <c r="I435" s="172" t="s">
        <v>40</v>
      </c>
      <c r="J435" s="172"/>
      <c r="K435" s="172"/>
      <c r="L435" s="149" t="str">
        <f>L156</f>
        <v>SAM/CENTRAL/KY/NC/26/DEC/1-A</v>
      </c>
    </row>
    <row r="436" spans="1:13" x14ac:dyDescent="0.3">
      <c r="A436" s="149">
        <v>0</v>
      </c>
    </row>
    <row r="437" spans="1:13" ht="24.9" customHeight="1" x14ac:dyDescent="0.3">
      <c r="A437" s="149">
        <v>0</v>
      </c>
      <c r="B437" s="183" t="s">
        <v>48</v>
      </c>
      <c r="C437" s="184"/>
      <c r="D437" s="184"/>
      <c r="E437" s="184"/>
      <c r="F437" s="185"/>
      <c r="G437" s="185"/>
      <c r="H437" s="185"/>
      <c r="I437" s="185"/>
      <c r="J437" s="185"/>
      <c r="K437" s="185"/>
      <c r="L437" s="184"/>
      <c r="M437" s="153"/>
    </row>
    <row r="438" spans="1:13" ht="69.599999999999994" customHeight="1" x14ac:dyDescent="0.3">
      <c r="A438" s="149">
        <v>0</v>
      </c>
      <c r="B438" s="91" t="s">
        <v>17</v>
      </c>
      <c r="C438" s="154" t="s">
        <v>18</v>
      </c>
      <c r="D438" s="155" t="s">
        <v>30</v>
      </c>
      <c r="E438" s="156" t="s">
        <v>19</v>
      </c>
      <c r="F438" s="157" t="s">
        <v>36</v>
      </c>
      <c r="G438" s="157" t="s">
        <v>38</v>
      </c>
      <c r="H438" s="157" t="s">
        <v>44</v>
      </c>
      <c r="I438" s="157" t="s">
        <v>45</v>
      </c>
      <c r="J438" s="157" t="s">
        <v>46</v>
      </c>
      <c r="K438" s="157" t="s">
        <v>53</v>
      </c>
      <c r="L438" s="154" t="s">
        <v>37</v>
      </c>
    </row>
    <row r="439" spans="1:13" x14ac:dyDescent="0.3">
      <c r="A439" s="149">
        <v>1</v>
      </c>
      <c r="B439" s="158">
        <v>1</v>
      </c>
      <c r="C439" s="181"/>
      <c r="D439" s="161"/>
      <c r="E439" s="182"/>
      <c r="F439" s="50"/>
      <c r="G439" s="50"/>
      <c r="H439" s="50"/>
      <c r="I439" s="50"/>
      <c r="J439" s="50"/>
      <c r="K439" s="50"/>
      <c r="L439" s="161"/>
    </row>
    <row r="440" spans="1:13" x14ac:dyDescent="0.3">
      <c r="A440" s="149">
        <v>2</v>
      </c>
      <c r="B440" s="158">
        <v>2</v>
      </c>
      <c r="C440" s="181"/>
      <c r="D440" s="161"/>
      <c r="E440" s="182"/>
      <c r="F440" s="50"/>
      <c r="G440" s="50"/>
      <c r="H440" s="50"/>
      <c r="I440" s="50"/>
      <c r="J440" s="50"/>
      <c r="K440" s="50"/>
      <c r="L440" s="161"/>
    </row>
    <row r="441" spans="1:13" x14ac:dyDescent="0.3">
      <c r="A441" s="149">
        <v>3</v>
      </c>
      <c r="B441" s="158">
        <v>3</v>
      </c>
      <c r="C441" s="181"/>
      <c r="D441" s="161"/>
      <c r="E441" s="182"/>
      <c r="F441" s="50"/>
      <c r="G441" s="50"/>
      <c r="H441" s="50"/>
      <c r="I441" s="50"/>
      <c r="J441" s="50"/>
      <c r="K441" s="50"/>
      <c r="L441" s="161"/>
    </row>
    <row r="442" spans="1:13" x14ac:dyDescent="0.3">
      <c r="A442" s="149">
        <v>4</v>
      </c>
      <c r="B442" s="158">
        <v>4</v>
      </c>
      <c r="C442" s="181"/>
      <c r="D442" s="161"/>
      <c r="E442" s="182"/>
      <c r="F442" s="50"/>
      <c r="G442" s="50"/>
      <c r="H442" s="50"/>
      <c r="I442" s="50"/>
      <c r="J442" s="50"/>
      <c r="K442" s="50"/>
      <c r="L442" s="161"/>
    </row>
    <row r="443" spans="1:13" x14ac:dyDescent="0.3">
      <c r="A443" s="149">
        <v>5</v>
      </c>
      <c r="B443" s="158">
        <v>5</v>
      </c>
      <c r="C443" s="181"/>
      <c r="D443" s="161"/>
      <c r="E443" s="182"/>
      <c r="F443" s="50"/>
      <c r="G443" s="50"/>
      <c r="H443" s="50"/>
      <c r="I443" s="50"/>
      <c r="J443" s="50"/>
      <c r="K443" s="50"/>
      <c r="L443" s="161"/>
    </row>
    <row r="444" spans="1:13" x14ac:dyDescent="0.3">
      <c r="A444" s="149">
        <v>6</v>
      </c>
      <c r="B444" s="158">
        <v>6</v>
      </c>
      <c r="C444" s="181"/>
      <c r="D444" s="161"/>
      <c r="E444" s="182"/>
      <c r="F444" s="50"/>
      <c r="G444" s="50"/>
      <c r="H444" s="50"/>
      <c r="I444" s="50"/>
      <c r="J444" s="50"/>
      <c r="K444" s="50"/>
      <c r="L444" s="161"/>
    </row>
    <row r="445" spans="1:13" x14ac:dyDescent="0.3">
      <c r="A445" s="149">
        <v>7</v>
      </c>
      <c r="B445" s="158">
        <v>7</v>
      </c>
      <c r="C445" s="181"/>
      <c r="D445" s="161"/>
      <c r="E445" s="182"/>
      <c r="F445" s="50"/>
      <c r="G445" s="50"/>
      <c r="H445" s="50"/>
      <c r="I445" s="50"/>
      <c r="J445" s="50"/>
      <c r="K445" s="50"/>
      <c r="L445" s="161"/>
    </row>
    <row r="446" spans="1:13" x14ac:dyDescent="0.3">
      <c r="A446" s="149">
        <v>8</v>
      </c>
      <c r="B446" s="158">
        <v>8</v>
      </c>
      <c r="C446" s="181"/>
      <c r="D446" s="161"/>
      <c r="E446" s="182"/>
      <c r="F446" s="50"/>
      <c r="G446" s="50"/>
      <c r="H446" s="50"/>
      <c r="I446" s="50"/>
      <c r="J446" s="50"/>
      <c r="K446" s="50"/>
      <c r="L446" s="161"/>
    </row>
    <row r="447" spans="1:13" x14ac:dyDescent="0.3">
      <c r="A447" s="149">
        <v>9</v>
      </c>
      <c r="B447" s="158">
        <v>9</v>
      </c>
      <c r="C447" s="181"/>
      <c r="D447" s="161"/>
      <c r="E447" s="182"/>
      <c r="F447" s="50"/>
      <c r="G447" s="50"/>
      <c r="H447" s="50"/>
      <c r="I447" s="50"/>
      <c r="J447" s="50"/>
      <c r="K447" s="50"/>
      <c r="L447" s="161"/>
    </row>
    <row r="448" spans="1:13" x14ac:dyDescent="0.3">
      <c r="A448" s="149">
        <v>10</v>
      </c>
      <c r="B448" s="158">
        <v>10</v>
      </c>
      <c r="C448" s="181"/>
      <c r="D448" s="161"/>
      <c r="E448" s="182"/>
      <c r="F448" s="50"/>
      <c r="G448" s="50"/>
      <c r="H448" s="50"/>
      <c r="I448" s="50"/>
      <c r="J448" s="50"/>
      <c r="K448" s="50"/>
      <c r="L448" s="161"/>
    </row>
    <row r="449" spans="1:12" x14ac:dyDescent="0.3">
      <c r="A449" s="149">
        <v>11</v>
      </c>
      <c r="B449" s="158">
        <v>11</v>
      </c>
      <c r="C449" s="181"/>
      <c r="D449" s="161"/>
      <c r="E449" s="182"/>
      <c r="F449" s="50"/>
      <c r="G449" s="50"/>
      <c r="H449" s="50"/>
      <c r="I449" s="50"/>
      <c r="J449" s="50"/>
      <c r="K449" s="50"/>
      <c r="L449" s="161"/>
    </row>
    <row r="450" spans="1:12" x14ac:dyDescent="0.3">
      <c r="A450" s="149">
        <v>12</v>
      </c>
      <c r="B450" s="158">
        <v>12</v>
      </c>
      <c r="C450" s="181"/>
      <c r="D450" s="161"/>
      <c r="E450" s="182"/>
      <c r="F450" s="50"/>
      <c r="G450" s="50"/>
      <c r="H450" s="50"/>
      <c r="I450" s="50"/>
      <c r="J450" s="50"/>
      <c r="K450" s="50"/>
      <c r="L450" s="161"/>
    </row>
    <row r="451" spans="1:12" x14ac:dyDescent="0.3">
      <c r="A451" s="149">
        <v>13</v>
      </c>
      <c r="B451" s="158">
        <v>13</v>
      </c>
      <c r="C451" s="181"/>
      <c r="D451" s="161"/>
      <c r="E451" s="182"/>
      <c r="F451" s="50"/>
      <c r="G451" s="50"/>
      <c r="H451" s="50"/>
      <c r="I451" s="50"/>
      <c r="J451" s="50"/>
      <c r="K451" s="50"/>
      <c r="L451" s="161"/>
    </row>
    <row r="452" spans="1:12" x14ac:dyDescent="0.3">
      <c r="A452" s="149">
        <v>14</v>
      </c>
      <c r="B452" s="158">
        <v>14</v>
      </c>
      <c r="C452" s="181"/>
      <c r="D452" s="161"/>
      <c r="E452" s="182"/>
      <c r="F452" s="50"/>
      <c r="G452" s="50"/>
      <c r="H452" s="50"/>
      <c r="I452" s="50"/>
      <c r="J452" s="50"/>
      <c r="K452" s="50"/>
      <c r="L452" s="161"/>
    </row>
    <row r="453" spans="1:12" x14ac:dyDescent="0.3">
      <c r="A453" s="149">
        <v>15</v>
      </c>
      <c r="B453" s="158">
        <v>15</v>
      </c>
      <c r="C453" s="181"/>
      <c r="D453" s="161"/>
      <c r="E453" s="182"/>
      <c r="F453" s="50"/>
      <c r="G453" s="50"/>
      <c r="H453" s="50"/>
      <c r="I453" s="50"/>
      <c r="J453" s="50"/>
      <c r="K453" s="50"/>
      <c r="L453" s="161"/>
    </row>
    <row r="454" spans="1:12" x14ac:dyDescent="0.3">
      <c r="A454" s="149">
        <v>16</v>
      </c>
      <c r="B454" s="158">
        <v>16</v>
      </c>
      <c r="C454" s="181"/>
      <c r="D454" s="161"/>
      <c r="E454" s="182"/>
      <c r="F454" s="50"/>
      <c r="G454" s="50"/>
      <c r="H454" s="50"/>
      <c r="I454" s="50"/>
      <c r="J454" s="50"/>
      <c r="K454" s="50"/>
      <c r="L454" s="161"/>
    </row>
    <row r="455" spans="1:12" x14ac:dyDescent="0.3">
      <c r="A455" s="149">
        <v>17</v>
      </c>
      <c r="B455" s="158">
        <v>17</v>
      </c>
      <c r="C455" s="181"/>
      <c r="D455" s="161"/>
      <c r="E455" s="182"/>
      <c r="F455" s="50"/>
      <c r="G455" s="50"/>
      <c r="H455" s="50"/>
      <c r="I455" s="50"/>
      <c r="J455" s="50"/>
      <c r="K455" s="50"/>
      <c r="L455" s="161"/>
    </row>
    <row r="456" spans="1:12" x14ac:dyDescent="0.3">
      <c r="A456" s="149">
        <v>18</v>
      </c>
      <c r="B456" s="158">
        <v>18</v>
      </c>
      <c r="C456" s="181"/>
      <c r="D456" s="161"/>
      <c r="E456" s="182"/>
      <c r="F456" s="50"/>
      <c r="G456" s="50"/>
      <c r="H456" s="50"/>
      <c r="I456" s="50"/>
      <c r="J456" s="50"/>
      <c r="K456" s="50"/>
      <c r="L456" s="161"/>
    </row>
    <row r="457" spans="1:12" x14ac:dyDescent="0.3">
      <c r="A457" s="149">
        <v>19</v>
      </c>
      <c r="B457" s="158">
        <v>19</v>
      </c>
      <c r="C457" s="181"/>
      <c r="D457" s="161"/>
      <c r="E457" s="182"/>
      <c r="F457" s="50"/>
      <c r="G457" s="50"/>
      <c r="H457" s="50"/>
      <c r="I457" s="50"/>
      <c r="J457" s="50"/>
      <c r="K457" s="50"/>
      <c r="L457" s="161"/>
    </row>
    <row r="458" spans="1:12" x14ac:dyDescent="0.3">
      <c r="A458" s="149">
        <v>20</v>
      </c>
      <c r="B458" s="158">
        <v>20</v>
      </c>
      <c r="C458" s="181"/>
      <c r="D458" s="161"/>
      <c r="E458" s="182"/>
      <c r="F458" s="50"/>
      <c r="G458" s="50"/>
      <c r="H458" s="50"/>
      <c r="I458" s="50"/>
      <c r="J458" s="50"/>
      <c r="K458" s="50"/>
      <c r="L458" s="161"/>
    </row>
    <row r="459" spans="1:12" ht="14.4" thickBot="1" x14ac:dyDescent="0.35">
      <c r="A459" s="149">
        <v>0</v>
      </c>
      <c r="B459" s="45" t="s">
        <v>24</v>
      </c>
      <c r="C459" s="167"/>
      <c r="D459" s="167"/>
      <c r="E459" s="167"/>
      <c r="F459" s="179">
        <f t="shared" ref="F459:L459" si="14">SUM(F439:F458)</f>
        <v>0</v>
      </c>
      <c r="G459" s="179">
        <f t="shared" si="14"/>
        <v>0</v>
      </c>
      <c r="H459" s="179">
        <f t="shared" si="14"/>
        <v>0</v>
      </c>
      <c r="I459" s="179">
        <f t="shared" si="14"/>
        <v>0</v>
      </c>
      <c r="J459" s="179">
        <f t="shared" si="14"/>
        <v>0</v>
      </c>
      <c r="K459" s="179">
        <f t="shared" si="14"/>
        <v>0</v>
      </c>
      <c r="L459" s="169">
        <f t="shared" si="14"/>
        <v>0</v>
      </c>
    </row>
    <row r="460" spans="1:12" ht="14.4" thickTop="1" x14ac:dyDescent="0.3">
      <c r="A460" s="149">
        <v>0</v>
      </c>
      <c r="B460" s="170"/>
      <c r="C460" s="171"/>
      <c r="D460" s="171"/>
      <c r="E460" s="171"/>
      <c r="F460" s="172"/>
    </row>
    <row r="461" spans="1:12" x14ac:dyDescent="0.3">
      <c r="A461" s="149">
        <v>0</v>
      </c>
      <c r="B461" s="170"/>
      <c r="C461" s="171"/>
      <c r="D461" s="171"/>
      <c r="E461" s="171"/>
      <c r="F461" s="172"/>
    </row>
    <row r="462" spans="1:12" x14ac:dyDescent="0.3">
      <c r="A462" s="149">
        <v>0</v>
      </c>
    </row>
    <row r="463" spans="1:12" x14ac:dyDescent="0.3">
      <c r="A463" s="149">
        <v>0</v>
      </c>
      <c r="B463" s="174" t="s">
        <v>20</v>
      </c>
      <c r="D463" s="149" t="s">
        <v>21</v>
      </c>
    </row>
    <row r="464" spans="1:12" x14ac:dyDescent="0.3">
      <c r="A464" s="149">
        <v>0</v>
      </c>
      <c r="B464" s="174" t="s">
        <v>12</v>
      </c>
      <c r="D464" s="149" t="s">
        <v>16</v>
      </c>
    </row>
    <row r="465" spans="1:12" x14ac:dyDescent="0.3">
      <c r="A465" s="149">
        <v>0</v>
      </c>
      <c r="D465" s="149" t="s">
        <v>22</v>
      </c>
    </row>
    <row r="466" spans="1:12" ht="14.4" thickBot="1" x14ac:dyDescent="0.35"/>
    <row r="467" spans="1:12" ht="26.4" customHeight="1" thickBot="1" x14ac:dyDescent="0.35">
      <c r="C467" s="241" t="s">
        <v>134</v>
      </c>
      <c r="D467" s="242"/>
      <c r="E467" s="243"/>
      <c r="F467" s="187">
        <f t="shared" ref="F467:K467" si="15">SUM(F5:F24,F36:F55,F67:F86,F98:F117,F129:F148,F160:F179,F191:F210,F222:F241,F253:F272,F284:F303,F315:F334,F346:F365,F377:F396,F408:F427,F439:F458)</f>
        <v>0</v>
      </c>
      <c r="G467" s="187">
        <f t="shared" si="15"/>
        <v>0</v>
      </c>
      <c r="H467" s="187">
        <f t="shared" si="15"/>
        <v>0</v>
      </c>
      <c r="I467" s="187">
        <f t="shared" si="15"/>
        <v>0</v>
      </c>
      <c r="J467" s="187">
        <f t="shared" si="15"/>
        <v>0</v>
      </c>
      <c r="K467" s="187">
        <f t="shared" si="15"/>
        <v>0</v>
      </c>
      <c r="L467" s="188"/>
    </row>
  </sheetData>
  <mergeCells count="4">
    <mergeCell ref="B3:L3"/>
    <mergeCell ref="B34:L34"/>
    <mergeCell ref="B65:L65"/>
    <mergeCell ref="C467:E467"/>
  </mergeCells>
  <conditionalFormatting sqref="C16:C20 C22:C24">
    <cfRule type="expression" dxfId="54" priority="68">
      <formula>NOT(ISBLANK($AA16))</formula>
    </cfRule>
    <cfRule type="expression" dxfId="53" priority="65">
      <formula>COUNTIF(C:C,C16)&gt;1</formula>
    </cfRule>
    <cfRule type="expression" dxfId="52" priority="66">
      <formula>NOT(ISBLANK($AC16))</formula>
    </cfRule>
    <cfRule type="expression" dxfId="51" priority="67">
      <formula>NOT(ISBLANK($AB16))</formula>
    </cfRule>
  </conditionalFormatting>
  <conditionalFormatting sqref="C16:C24">
    <cfRule type="duplicateValues" dxfId="50" priority="161"/>
    <cfRule type="duplicateValues" dxfId="49" priority="162"/>
  </conditionalFormatting>
  <conditionalFormatting sqref="C67:C76">
    <cfRule type="duplicateValues" dxfId="48" priority="187"/>
    <cfRule type="duplicateValues" dxfId="47" priority="186"/>
    <cfRule type="expression" dxfId="46" priority="185">
      <formula>NOT(ISBLANK($AA67))</formula>
    </cfRule>
    <cfRule type="expression" dxfId="45" priority="184">
      <formula>NOT(ISBLANK($AB67))</formula>
    </cfRule>
    <cfRule type="expression" dxfId="44" priority="183">
      <formula>NOT(ISBLANK($AC67))</formula>
    </cfRule>
    <cfRule type="expression" dxfId="43" priority="182">
      <formula>COUNTIF(C:C,C67)&gt;1</formula>
    </cfRule>
  </conditionalFormatting>
  <conditionalFormatting sqref="C77">
    <cfRule type="duplicateValues" dxfId="42" priority="102"/>
    <cfRule type="duplicateValues" dxfId="41" priority="104"/>
    <cfRule type="duplicateValues" dxfId="40" priority="103"/>
  </conditionalFormatting>
  <conditionalFormatting sqref="C98">
    <cfRule type="duplicateValues" dxfId="39" priority="11"/>
  </conditionalFormatting>
  <conditionalFormatting sqref="C98:C117">
    <cfRule type="duplicateValues" dxfId="38" priority="144"/>
  </conditionalFormatting>
  <conditionalFormatting sqref="C99">
    <cfRule type="duplicateValues" dxfId="37" priority="10"/>
  </conditionalFormatting>
  <conditionalFormatting sqref="C100">
    <cfRule type="duplicateValues" dxfId="36" priority="12"/>
  </conditionalFormatting>
  <conditionalFormatting sqref="C103:C111 C101">
    <cfRule type="duplicateValues" dxfId="35" priority="8"/>
  </conditionalFormatting>
  <conditionalFormatting sqref="C103:C117 C98:C101">
    <cfRule type="duplicateValues" dxfId="34" priority="145"/>
  </conditionalFormatting>
  <conditionalFormatting sqref="C109">
    <cfRule type="duplicateValues" dxfId="33" priority="7"/>
  </conditionalFormatting>
  <conditionalFormatting sqref="C110:C111 C103:C108 C101">
    <cfRule type="duplicateValues" dxfId="32" priority="9"/>
  </conditionalFormatting>
  <conditionalFormatting sqref="C112">
    <cfRule type="duplicateValues" dxfId="31" priority="4"/>
  </conditionalFormatting>
  <conditionalFormatting sqref="C112:C117">
    <cfRule type="duplicateValues" dxfId="30" priority="147"/>
  </conditionalFormatting>
  <conditionalFormatting sqref="C113:C117">
    <cfRule type="duplicateValues" dxfId="29" priority="148"/>
  </conditionalFormatting>
  <conditionalFormatting sqref="C114:C117 C112">
    <cfRule type="duplicateValues" dxfId="28" priority="149"/>
  </conditionalFormatting>
  <conditionalFormatting sqref="C114:C117">
    <cfRule type="duplicateValues" dxfId="27" priority="151"/>
    <cfRule type="duplicateValues" dxfId="26" priority="152"/>
  </conditionalFormatting>
  <conditionalFormatting sqref="C129:C143">
    <cfRule type="duplicateValues" dxfId="25" priority="79"/>
    <cfRule type="duplicateValues" dxfId="24" priority="80"/>
  </conditionalFormatting>
  <conditionalFormatting sqref="E16:E20 E22:E24">
    <cfRule type="expression" dxfId="23" priority="58">
      <formula>NOT(ISBLANK($AA16))</formula>
    </cfRule>
    <cfRule type="expression" dxfId="22" priority="57">
      <formula>NOT(ISBLANK($AB16))</formula>
    </cfRule>
    <cfRule type="expression" dxfId="21" priority="56">
      <formula>NOT(ISBLANK($AC16))</formula>
    </cfRule>
  </conditionalFormatting>
  <conditionalFormatting sqref="E67:E76">
    <cfRule type="expression" dxfId="20" priority="32">
      <formula>NOT(ISBLANK($AC67))</formula>
    </cfRule>
    <cfRule type="expression" dxfId="19" priority="34">
      <formula>NOT(ISBLANK($AA67))</formula>
    </cfRule>
    <cfRule type="expression" dxfId="18" priority="33">
      <formula>NOT(ISBLANK($AB67))</formula>
    </cfRule>
  </conditionalFormatting>
  <conditionalFormatting sqref="E21:G21">
    <cfRule type="expression" dxfId="17" priority="55">
      <formula>NOT(ISBLANK($AV21))</formula>
    </cfRule>
    <cfRule type="expression" dxfId="16" priority="54">
      <formula>NOT(ISBLANK($AT21))</formula>
    </cfRule>
    <cfRule type="expression" dxfId="15" priority="53">
      <formula>NOT(ISBLANK($AU21))</formula>
    </cfRule>
  </conditionalFormatting>
  <conditionalFormatting sqref="E77:G77 K77">
    <cfRule type="expression" dxfId="14" priority="93">
      <formula>NOT(ISBLANK($AU77))</formula>
    </cfRule>
    <cfRule type="expression" dxfId="13" priority="94">
      <formula>NOT(ISBLANK($AT77))</formula>
    </cfRule>
    <cfRule type="expression" dxfId="12" priority="95">
      <formula>NOT(ISBLANK($AV77))</formula>
    </cfRule>
  </conditionalFormatting>
  <conditionalFormatting sqref="E129:G143 K129:K143">
    <cfRule type="expression" dxfId="11" priority="76">
      <formula>NOT(ISBLANK($AU129))</formula>
    </cfRule>
    <cfRule type="expression" dxfId="10" priority="77">
      <formula>NOT(ISBLANK($AT129))</formula>
    </cfRule>
    <cfRule type="expression" dxfId="9" priority="78">
      <formula>NOT(ISBLANK($AV129))</formula>
    </cfRule>
  </conditionalFormatting>
  <conditionalFormatting sqref="F16:K20 F22:K24">
    <cfRule type="expression" dxfId="8" priority="64">
      <formula>NOT(ISBLANK($Z16))</formula>
    </cfRule>
    <cfRule type="expression" dxfId="7" priority="63">
      <formula>NOT(ISBLANK($AA16))</formula>
    </cfRule>
    <cfRule type="expression" dxfId="6" priority="62">
      <formula>NOT(ISBLANK($AB16))</formula>
    </cfRule>
  </conditionalFormatting>
  <conditionalFormatting sqref="F67:K76">
    <cfRule type="expression" dxfId="5" priority="29">
      <formula>NOT(ISBLANK($AB67))</formula>
    </cfRule>
    <cfRule type="expression" dxfId="4" priority="30">
      <formula>NOT(ISBLANK($AA67))</formula>
    </cfRule>
    <cfRule type="expression" dxfId="3" priority="31">
      <formula>NOT(ISBLANK($Z67))</formula>
    </cfRule>
  </conditionalFormatting>
  <conditionalFormatting sqref="K21">
    <cfRule type="expression" dxfId="2" priority="61">
      <formula>NOT(ISBLANK($AV21))</formula>
    </cfRule>
    <cfRule type="expression" dxfId="1" priority="60">
      <formula>NOT(ISBLANK($AT21))</formula>
    </cfRule>
    <cfRule type="expression" dxfId="0" priority="59">
      <formula>NOT(ISBLANK($AU21))</formula>
    </cfRule>
  </conditionalFormatting>
  <dataValidations count="1">
    <dataValidation type="custom" allowBlank="1" showDropDown="1" showErrorMessage="1" sqref="E48:E55 E15:E24 E129:E143 E5:E10 E12 E36 E38:E46 E67:E77 E98:E104" xr:uid="{D9D508D1-06E2-48E5-9D60-807B137C08C4}">
      <formula1>OR(NOT(ISERROR(DATEVALUE(E5))), AND(ISNUMBER(E5), LEFT(CELL("format", E5))="D"))</formula1>
    </dataValidation>
  </dataValidations>
  <pageMargins left="0.5" right="0.2" top="0.5" bottom="0.5" header="0.3" footer="0.3"/>
  <pageSetup paperSize="9" scale="88" orientation="landscape" r:id="rId1"/>
  <rowBreaks count="15" manualBreakCount="15">
    <brk id="31" max="16383" man="1"/>
    <brk id="62" min="1" max="11" man="1"/>
    <brk id="93" min="1" max="11" man="1"/>
    <brk id="124" min="1" max="11" man="1"/>
    <brk id="155" min="1" max="11" man="1"/>
    <brk id="186" min="1" max="11" man="1"/>
    <brk id="217" min="1" max="11" man="1"/>
    <brk id="248" min="1" max="11" man="1"/>
    <brk id="279" min="1" max="11" man="1"/>
    <brk id="310" min="1" max="11" man="1"/>
    <brk id="341" min="1" max="11" man="1"/>
    <brk id="372" min="1" max="11" man="1"/>
    <brk id="403" min="1" max="11" man="1"/>
    <brk id="434" min="1" max="11" man="1"/>
    <brk id="466" min="1" max="11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291BB-5676-4F79-8024-B16211537819}">
  <dimension ref="A1:G42"/>
  <sheetViews>
    <sheetView workbookViewId="0">
      <selection activeCell="E15" sqref="E15"/>
    </sheetView>
  </sheetViews>
  <sheetFormatPr defaultRowHeight="14.4" x14ac:dyDescent="0.3"/>
  <cols>
    <col min="2" max="2" width="27.88671875" customWidth="1"/>
    <col min="3" max="3" width="13.5546875" customWidth="1"/>
    <col min="4" max="4" width="6.109375" bestFit="1" customWidth="1"/>
    <col min="5" max="5" width="12.77734375" customWidth="1"/>
    <col min="6" max="6" width="15.6640625" customWidth="1"/>
    <col min="7" max="7" width="17.5546875" customWidth="1"/>
  </cols>
  <sheetData>
    <row r="1" spans="1:7" ht="25.8" x14ac:dyDescent="0.5">
      <c r="A1" s="249" t="s">
        <v>56</v>
      </c>
      <c r="B1" s="250"/>
      <c r="C1" s="250"/>
      <c r="D1" s="250"/>
      <c r="E1" s="250"/>
      <c r="F1" s="250"/>
      <c r="G1" s="250"/>
    </row>
    <row r="2" spans="1:7" ht="15.6" x14ac:dyDescent="0.3">
      <c r="A2" s="251" t="s">
        <v>57</v>
      </c>
      <c r="B2" s="252"/>
      <c r="C2" s="253" t="s">
        <v>206</v>
      </c>
      <c r="D2" s="254"/>
      <c r="E2" s="254"/>
      <c r="F2" s="254"/>
      <c r="G2" s="255"/>
    </row>
    <row r="3" spans="1:7" ht="15.6" x14ac:dyDescent="0.3">
      <c r="A3" s="251" t="s">
        <v>58</v>
      </c>
      <c r="B3" s="252"/>
      <c r="C3" s="253" t="s">
        <v>209</v>
      </c>
      <c r="D3" s="254"/>
      <c r="E3" s="254"/>
      <c r="F3" s="254"/>
      <c r="G3" s="255"/>
    </row>
    <row r="4" spans="1:7" ht="16.2" thickBot="1" x14ac:dyDescent="0.35">
      <c r="A4" s="244" t="s">
        <v>59</v>
      </c>
      <c r="B4" s="245"/>
      <c r="C4" s="246">
        <v>46357</v>
      </c>
      <c r="D4" s="247"/>
      <c r="E4" s="247"/>
      <c r="F4" s="247"/>
      <c r="G4" s="248"/>
    </row>
    <row r="5" spans="1:7" ht="29.4" thickBot="1" x14ac:dyDescent="0.35">
      <c r="A5" s="256" t="s">
        <v>60</v>
      </c>
      <c r="B5" s="257"/>
      <c r="C5" s="3" t="s">
        <v>95</v>
      </c>
      <c r="D5" s="4" t="s">
        <v>96</v>
      </c>
      <c r="E5" s="4" t="s">
        <v>93</v>
      </c>
      <c r="F5" s="4" t="s">
        <v>97</v>
      </c>
      <c r="G5" s="5" t="s">
        <v>98</v>
      </c>
    </row>
    <row r="6" spans="1:7" x14ac:dyDescent="0.3">
      <c r="A6" s="6">
        <v>1</v>
      </c>
      <c r="B6" s="7" t="s">
        <v>61</v>
      </c>
      <c r="C6" s="6"/>
      <c r="D6" s="6"/>
      <c r="E6" s="6"/>
      <c r="F6" s="6"/>
      <c r="G6" s="6"/>
    </row>
    <row r="7" spans="1:7" x14ac:dyDescent="0.3">
      <c r="A7" s="8">
        <v>2</v>
      </c>
      <c r="B7" s="9" t="s">
        <v>62</v>
      </c>
      <c r="C7" s="8"/>
      <c r="D7" s="8"/>
      <c r="E7" s="8"/>
      <c r="F7" s="10"/>
      <c r="G7" s="8"/>
    </row>
    <row r="8" spans="1:7" x14ac:dyDescent="0.3">
      <c r="A8" s="8">
        <v>3</v>
      </c>
      <c r="B8" s="9" t="s">
        <v>63</v>
      </c>
      <c r="C8" s="8"/>
      <c r="D8" s="8"/>
      <c r="E8" s="11"/>
      <c r="F8" s="8"/>
      <c r="G8" s="12"/>
    </row>
    <row r="9" spans="1:7" x14ac:dyDescent="0.3">
      <c r="A9" s="8">
        <v>4</v>
      </c>
      <c r="B9" s="9" t="s">
        <v>64</v>
      </c>
      <c r="C9" s="8"/>
      <c r="D9" s="8"/>
      <c r="E9" s="8"/>
      <c r="F9" s="6"/>
      <c r="G9" s="8"/>
    </row>
    <row r="10" spans="1:7" x14ac:dyDescent="0.3">
      <c r="A10" s="8">
        <v>5</v>
      </c>
      <c r="B10" s="9" t="s">
        <v>65</v>
      </c>
      <c r="C10" s="8"/>
      <c r="D10" s="8"/>
      <c r="E10" s="8"/>
      <c r="F10" s="8"/>
      <c r="G10" s="8"/>
    </row>
    <row r="11" spans="1:7" x14ac:dyDescent="0.3">
      <c r="A11" s="8">
        <v>6</v>
      </c>
      <c r="B11" s="9" t="s">
        <v>66</v>
      </c>
      <c r="C11" s="8"/>
      <c r="D11" s="8"/>
      <c r="E11" s="8"/>
      <c r="F11" s="8"/>
      <c r="G11" s="8"/>
    </row>
    <row r="12" spans="1:7" x14ac:dyDescent="0.3">
      <c r="A12" s="8">
        <v>7</v>
      </c>
      <c r="B12" s="9" t="s">
        <v>67</v>
      </c>
      <c r="C12" s="8"/>
      <c r="D12" s="8"/>
      <c r="E12" s="8"/>
      <c r="F12" s="8"/>
      <c r="G12" s="8"/>
    </row>
    <row r="13" spans="1:7" x14ac:dyDescent="0.3">
      <c r="A13" s="8">
        <v>8</v>
      </c>
      <c r="B13" s="9" t="s">
        <v>68</v>
      </c>
      <c r="C13" s="8"/>
      <c r="D13" s="8"/>
      <c r="E13" s="8"/>
      <c r="F13" s="8"/>
      <c r="G13" s="8"/>
    </row>
    <row r="14" spans="1:7" x14ac:dyDescent="0.3">
      <c r="A14" s="8">
        <v>9</v>
      </c>
      <c r="B14" s="9" t="s">
        <v>69</v>
      </c>
      <c r="C14" s="8"/>
      <c r="D14" s="8"/>
      <c r="E14" s="8"/>
      <c r="F14" s="8"/>
      <c r="G14" s="8"/>
    </row>
    <row r="15" spans="1:7" x14ac:dyDescent="0.3">
      <c r="A15" s="8">
        <v>10</v>
      </c>
      <c r="B15" s="9" t="s">
        <v>70</v>
      </c>
      <c r="C15" s="8"/>
      <c r="D15" s="8"/>
      <c r="E15" s="8"/>
      <c r="F15" s="8"/>
      <c r="G15" s="8"/>
    </row>
    <row r="16" spans="1:7" x14ac:dyDescent="0.3">
      <c r="A16" s="8">
        <v>11</v>
      </c>
      <c r="B16" s="9" t="s">
        <v>71</v>
      </c>
      <c r="C16" s="8"/>
      <c r="D16" s="8"/>
      <c r="E16" s="8"/>
      <c r="F16" s="8"/>
      <c r="G16" s="8"/>
    </row>
    <row r="17" spans="1:7" x14ac:dyDescent="0.3">
      <c r="A17" s="8">
        <v>12</v>
      </c>
      <c r="B17" s="9" t="s">
        <v>72</v>
      </c>
      <c r="C17" s="8"/>
      <c r="D17" s="8"/>
      <c r="E17" s="8"/>
      <c r="F17" s="8"/>
      <c r="G17" s="8"/>
    </row>
    <row r="18" spans="1:7" x14ac:dyDescent="0.3">
      <c r="A18" s="8">
        <v>13</v>
      </c>
      <c r="B18" s="9" t="s">
        <v>73</v>
      </c>
      <c r="C18" s="8"/>
      <c r="D18" s="8"/>
      <c r="E18" s="8"/>
      <c r="F18" s="8"/>
      <c r="G18" s="8"/>
    </row>
    <row r="19" spans="1:7" x14ac:dyDescent="0.3">
      <c r="A19" s="8">
        <v>14</v>
      </c>
      <c r="B19" s="9" t="s">
        <v>74</v>
      </c>
      <c r="C19" s="8"/>
      <c r="D19" s="8"/>
      <c r="E19" s="8"/>
      <c r="F19" s="8"/>
      <c r="G19" s="8"/>
    </row>
    <row r="20" spans="1:7" x14ac:dyDescent="0.3">
      <c r="A20" s="8">
        <v>15</v>
      </c>
      <c r="B20" s="9" t="s">
        <v>75</v>
      </c>
      <c r="C20" s="8"/>
      <c r="D20" s="8"/>
      <c r="E20" s="8"/>
      <c r="F20" s="8"/>
      <c r="G20" s="8"/>
    </row>
    <row r="21" spans="1:7" x14ac:dyDescent="0.3">
      <c r="A21" s="8">
        <v>16</v>
      </c>
      <c r="B21" s="9" t="s">
        <v>76</v>
      </c>
      <c r="C21" s="8"/>
      <c r="D21" s="8"/>
      <c r="E21" s="8"/>
      <c r="F21" s="8"/>
      <c r="G21" s="8"/>
    </row>
    <row r="22" spans="1:7" x14ac:dyDescent="0.3">
      <c r="A22" s="8">
        <v>17</v>
      </c>
      <c r="B22" s="9" t="s">
        <v>77</v>
      </c>
      <c r="C22" s="8"/>
      <c r="D22" s="8"/>
      <c r="E22" s="8"/>
      <c r="F22" s="8"/>
      <c r="G22" s="8"/>
    </row>
    <row r="23" spans="1:7" x14ac:dyDescent="0.3">
      <c r="A23" s="8">
        <v>18</v>
      </c>
      <c r="B23" s="13" t="s">
        <v>78</v>
      </c>
      <c r="C23" s="8"/>
      <c r="D23" s="8"/>
      <c r="E23" s="8"/>
      <c r="F23" s="8"/>
      <c r="G23" s="8"/>
    </row>
    <row r="24" spans="1:7" x14ac:dyDescent="0.3">
      <c r="A24" s="8">
        <v>19</v>
      </c>
      <c r="B24" s="14" t="s">
        <v>79</v>
      </c>
      <c r="C24" s="8"/>
      <c r="D24" s="8"/>
      <c r="E24" s="8"/>
      <c r="F24" s="8"/>
      <c r="G24" s="8"/>
    </row>
    <row r="25" spans="1:7" x14ac:dyDescent="0.3">
      <c r="A25" s="8">
        <v>20</v>
      </c>
      <c r="B25" s="14" t="s">
        <v>80</v>
      </c>
      <c r="C25" s="8"/>
      <c r="D25" s="8"/>
      <c r="E25" s="8"/>
      <c r="F25" s="8"/>
      <c r="G25" s="8"/>
    </row>
    <row r="26" spans="1:7" x14ac:dyDescent="0.3">
      <c r="A26" s="8">
        <v>21</v>
      </c>
      <c r="B26" s="14" t="s">
        <v>81</v>
      </c>
      <c r="C26" s="8"/>
      <c r="D26" s="8"/>
      <c r="E26" s="8"/>
      <c r="F26" s="8"/>
      <c r="G26" s="8"/>
    </row>
    <row r="27" spans="1:7" x14ac:dyDescent="0.3">
      <c r="A27" s="8">
        <v>22</v>
      </c>
      <c r="B27" s="14" t="s">
        <v>82</v>
      </c>
      <c r="C27" s="8"/>
      <c r="D27" s="8"/>
      <c r="E27" s="8"/>
      <c r="F27" s="8"/>
      <c r="G27" s="8"/>
    </row>
    <row r="28" spans="1:7" x14ac:dyDescent="0.3">
      <c r="A28" s="8">
        <v>23</v>
      </c>
      <c r="B28" s="14" t="s">
        <v>83</v>
      </c>
      <c r="C28" s="8"/>
      <c r="D28" s="8"/>
      <c r="E28" s="8"/>
      <c r="F28" s="8"/>
      <c r="G28" s="8"/>
    </row>
    <row r="29" spans="1:7" x14ac:dyDescent="0.3">
      <c r="A29" s="8">
        <v>24</v>
      </c>
      <c r="B29" s="14" t="s">
        <v>84</v>
      </c>
      <c r="C29" s="8"/>
      <c r="D29" s="8"/>
      <c r="E29" s="8"/>
      <c r="F29" s="8"/>
      <c r="G29" s="8"/>
    </row>
    <row r="30" spans="1:7" x14ac:dyDescent="0.3">
      <c r="A30" s="8">
        <v>25</v>
      </c>
      <c r="B30" s="14" t="s">
        <v>85</v>
      </c>
      <c r="C30" s="8"/>
      <c r="D30" s="8"/>
      <c r="E30" s="8"/>
      <c r="F30" s="8"/>
      <c r="G30" s="8"/>
    </row>
    <row r="31" spans="1:7" x14ac:dyDescent="0.3">
      <c r="A31" s="8">
        <v>26</v>
      </c>
      <c r="B31" s="14" t="s">
        <v>86</v>
      </c>
      <c r="C31" s="8"/>
      <c r="D31" s="8"/>
      <c r="E31" s="8"/>
      <c r="F31" s="8"/>
      <c r="G31" s="8"/>
    </row>
    <row r="32" spans="1:7" x14ac:dyDescent="0.3">
      <c r="A32" s="8">
        <v>27</v>
      </c>
      <c r="B32" s="15"/>
      <c r="C32" s="8"/>
      <c r="D32" s="8"/>
      <c r="E32" s="8"/>
      <c r="F32" s="8"/>
      <c r="G32" s="8"/>
    </row>
    <row r="33" spans="1:7" x14ac:dyDescent="0.3">
      <c r="A33" s="8">
        <v>28</v>
      </c>
      <c r="B33" s="15"/>
      <c r="C33" s="8"/>
      <c r="D33" s="8"/>
      <c r="E33" s="8"/>
      <c r="F33" s="8"/>
      <c r="G33" s="8"/>
    </row>
    <row r="34" spans="1:7" x14ac:dyDescent="0.3">
      <c r="A34" s="8">
        <v>29</v>
      </c>
      <c r="B34" s="15"/>
      <c r="C34" s="8"/>
      <c r="D34" s="8"/>
      <c r="E34" s="8"/>
      <c r="F34" s="8"/>
      <c r="G34" s="8"/>
    </row>
    <row r="35" spans="1:7" x14ac:dyDescent="0.3">
      <c r="A35" s="8">
        <v>30</v>
      </c>
      <c r="B35" s="15"/>
      <c r="C35" s="8"/>
      <c r="D35" s="8"/>
      <c r="E35" s="8"/>
      <c r="F35" s="8"/>
      <c r="G35" s="8"/>
    </row>
    <row r="36" spans="1:7" x14ac:dyDescent="0.3">
      <c r="A36" s="16"/>
      <c r="B36" s="17"/>
      <c r="C36" s="18"/>
      <c r="D36" s="18"/>
      <c r="E36" s="18"/>
      <c r="F36" s="18"/>
      <c r="G36" s="19"/>
    </row>
    <row r="37" spans="1:7" x14ac:dyDescent="0.3">
      <c r="A37" s="16"/>
      <c r="B37" s="17" t="s">
        <v>87</v>
      </c>
      <c r="C37" s="18"/>
      <c r="D37" s="18"/>
      <c r="E37" s="18"/>
      <c r="F37" s="18"/>
      <c r="G37" s="19"/>
    </row>
    <row r="38" spans="1:7" x14ac:dyDescent="0.3">
      <c r="A38" s="16"/>
      <c r="B38" s="17"/>
      <c r="C38" s="18"/>
      <c r="D38" s="18"/>
      <c r="E38" s="18"/>
      <c r="F38" s="18"/>
      <c r="G38" s="19"/>
    </row>
    <row r="39" spans="1:7" x14ac:dyDescent="0.3">
      <c r="A39" s="16"/>
      <c r="B39" s="17"/>
      <c r="C39" s="18"/>
      <c r="D39" s="18"/>
      <c r="E39" s="18"/>
      <c r="F39" s="18"/>
      <c r="G39" s="19"/>
    </row>
    <row r="40" spans="1:7" x14ac:dyDescent="0.3">
      <c r="A40" s="258" t="s">
        <v>88</v>
      </c>
      <c r="B40" s="259"/>
      <c r="C40" s="18"/>
      <c r="D40" s="18"/>
      <c r="E40" s="259" t="s">
        <v>99</v>
      </c>
      <c r="F40" s="259"/>
      <c r="G40" s="260"/>
    </row>
    <row r="41" spans="1:7" x14ac:dyDescent="0.3">
      <c r="A41" s="261" t="s">
        <v>89</v>
      </c>
      <c r="B41" s="262"/>
      <c r="C41" s="20"/>
      <c r="D41" s="20"/>
      <c r="E41" s="263" t="s">
        <v>100</v>
      </c>
      <c r="F41" s="263"/>
      <c r="G41" s="264"/>
    </row>
    <row r="42" spans="1:7" x14ac:dyDescent="0.3">
      <c r="A42" s="2"/>
      <c r="C42" s="2"/>
      <c r="D42" s="2"/>
      <c r="E42" s="2"/>
      <c r="F42" s="2"/>
      <c r="G42" s="2"/>
    </row>
  </sheetData>
  <mergeCells count="12">
    <mergeCell ref="A5:B5"/>
    <mergeCell ref="A40:B40"/>
    <mergeCell ref="E40:G40"/>
    <mergeCell ref="A41:B41"/>
    <mergeCell ref="E41:G41"/>
    <mergeCell ref="A4:B4"/>
    <mergeCell ref="C4:G4"/>
    <mergeCell ref="A1:G1"/>
    <mergeCell ref="A2:B2"/>
    <mergeCell ref="C2:G2"/>
    <mergeCell ref="A3:B3"/>
    <mergeCell ref="C3:G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4"/>
  <sheetViews>
    <sheetView view="pageBreakPreview" zoomScale="60" zoomScaleNormal="100" workbookViewId="0">
      <selection activeCell="P14" sqref="P14"/>
    </sheetView>
  </sheetViews>
  <sheetFormatPr defaultColWidth="8.88671875" defaultRowHeight="14.4" x14ac:dyDescent="0.3"/>
  <cols>
    <col min="1" max="1" width="3.44140625" style="2" customWidth="1"/>
    <col min="2" max="2" width="36" customWidth="1"/>
    <col min="3" max="3" width="13.6640625" style="2" customWidth="1"/>
  </cols>
  <sheetData>
    <row r="1" spans="1:3" ht="48.6" customHeight="1" thickBot="1" x14ac:dyDescent="0.35">
      <c r="A1" s="256" t="s">
        <v>60</v>
      </c>
      <c r="B1" s="257"/>
      <c r="C1" s="4" t="s">
        <v>93</v>
      </c>
    </row>
    <row r="2" spans="1:3" s="1" customFormat="1" ht="18" customHeight="1" x14ac:dyDescent="0.3">
      <c r="A2" s="6">
        <v>1</v>
      </c>
      <c r="B2" s="7" t="s">
        <v>61</v>
      </c>
      <c r="C2" s="6" t="str">
        <f>IFERROR(SUMIF(Calculus!#REF!,'INVOICE USAGE'!B2,Calculus!#REF!)," ")</f>
        <v xml:space="preserve"> </v>
      </c>
    </row>
    <row r="3" spans="1:3" s="1" customFormat="1" ht="18" customHeight="1" x14ac:dyDescent="0.3">
      <c r="A3" s="8">
        <f t="shared" ref="A3:A14" si="0">SUM(A2+1)</f>
        <v>2</v>
      </c>
      <c r="B3" s="9" t="s">
        <v>62</v>
      </c>
      <c r="C3" s="6" t="str">
        <f>IFERROR(SUMIF(Calculus!#REF!,'INVOICE USAGE'!B3,Calculus!#REF!)," ")</f>
        <v xml:space="preserve"> </v>
      </c>
    </row>
    <row r="4" spans="1:3" s="1" customFormat="1" ht="18" customHeight="1" x14ac:dyDescent="0.3">
      <c r="A4" s="8">
        <f t="shared" si="0"/>
        <v>3</v>
      </c>
      <c r="B4" s="9" t="s">
        <v>63</v>
      </c>
      <c r="C4" s="6" t="str">
        <f>IFERROR(SUMIF(Calculus!#REF!,'INVOICE USAGE'!B4,Calculus!#REF!)," ")</f>
        <v xml:space="preserve"> </v>
      </c>
    </row>
    <row r="5" spans="1:3" s="1" customFormat="1" ht="18" customHeight="1" x14ac:dyDescent="0.3">
      <c r="A5" s="8">
        <f t="shared" si="0"/>
        <v>4</v>
      </c>
      <c r="B5" s="9" t="s">
        <v>64</v>
      </c>
      <c r="C5" s="6"/>
    </row>
    <row r="6" spans="1:3" s="1" customFormat="1" ht="18" customHeight="1" x14ac:dyDescent="0.3">
      <c r="A6" s="8">
        <f t="shared" si="0"/>
        <v>5</v>
      </c>
      <c r="B6" s="9" t="s">
        <v>65</v>
      </c>
      <c r="C6" s="6" t="str">
        <f>IFERROR(SUMIF(Calculus!#REF!,'INVOICE USAGE'!B6,Calculus!#REF!)," ")</f>
        <v xml:space="preserve"> </v>
      </c>
    </row>
    <row r="7" spans="1:3" s="1" customFormat="1" ht="18" customHeight="1" x14ac:dyDescent="0.3">
      <c r="A7" s="8">
        <f t="shared" si="0"/>
        <v>6</v>
      </c>
      <c r="B7" s="9" t="s">
        <v>66</v>
      </c>
      <c r="C7" s="6" t="str">
        <f>IFERROR(SUMIF(Calculus!#REF!,'INVOICE USAGE'!B7,Calculus!#REF!)," ")</f>
        <v xml:space="preserve"> </v>
      </c>
    </row>
    <row r="8" spans="1:3" s="1" customFormat="1" ht="18" customHeight="1" x14ac:dyDescent="0.3">
      <c r="A8" s="8">
        <f t="shared" si="0"/>
        <v>7</v>
      </c>
      <c r="B8" s="9" t="s">
        <v>67</v>
      </c>
      <c r="C8" s="6" t="str">
        <f>IFERROR(SUMIF(Calculus!#REF!,'INVOICE USAGE'!B8,Calculus!#REF!)," ")</f>
        <v xml:space="preserve"> </v>
      </c>
    </row>
    <row r="9" spans="1:3" s="1" customFormat="1" ht="18" customHeight="1" x14ac:dyDescent="0.3">
      <c r="A9" s="8">
        <f t="shared" si="0"/>
        <v>8</v>
      </c>
      <c r="B9" s="9" t="s">
        <v>68</v>
      </c>
      <c r="C9" s="6" t="str">
        <f>IFERROR(SUMIF(Calculus!#REF!,'INVOICE USAGE'!B9,Calculus!#REF!)," ")</f>
        <v xml:space="preserve"> </v>
      </c>
    </row>
    <row r="10" spans="1:3" s="1" customFormat="1" ht="18" customHeight="1" x14ac:dyDescent="0.3">
      <c r="A10" s="8">
        <f t="shared" si="0"/>
        <v>9</v>
      </c>
      <c r="B10" s="9" t="s">
        <v>69</v>
      </c>
      <c r="C10" s="6" t="str">
        <f>IFERROR(SUMIF(Calculus!#REF!,'INVOICE USAGE'!B10,Calculus!#REF!)," ")</f>
        <v xml:space="preserve"> </v>
      </c>
    </row>
    <row r="11" spans="1:3" s="1" customFormat="1" ht="18" customHeight="1" x14ac:dyDescent="0.3">
      <c r="A11" s="8">
        <f t="shared" si="0"/>
        <v>10</v>
      </c>
      <c r="B11" s="9" t="s">
        <v>70</v>
      </c>
      <c r="C11" s="6"/>
    </row>
    <row r="12" spans="1:3" s="1" customFormat="1" ht="18" customHeight="1" x14ac:dyDescent="0.3">
      <c r="A12" s="8">
        <f t="shared" si="0"/>
        <v>11</v>
      </c>
      <c r="B12" s="9" t="s">
        <v>71</v>
      </c>
      <c r="C12" s="6"/>
    </row>
    <row r="13" spans="1:3" s="1" customFormat="1" ht="18" customHeight="1" x14ac:dyDescent="0.3">
      <c r="A13" s="8">
        <f t="shared" si="0"/>
        <v>12</v>
      </c>
      <c r="B13" s="9" t="s">
        <v>72</v>
      </c>
      <c r="C13" s="6"/>
    </row>
    <row r="14" spans="1:3" s="1" customFormat="1" ht="18" customHeight="1" x14ac:dyDescent="0.3">
      <c r="A14" s="8">
        <f t="shared" si="0"/>
        <v>13</v>
      </c>
      <c r="B14" s="9" t="s">
        <v>73</v>
      </c>
      <c r="C14" s="6"/>
    </row>
    <row r="15" spans="1:3" s="1" customFormat="1" ht="18" customHeight="1" x14ac:dyDescent="0.3">
      <c r="A15" s="8">
        <v>14</v>
      </c>
      <c r="B15" s="9" t="s">
        <v>74</v>
      </c>
      <c r="C15" s="6"/>
    </row>
    <row r="16" spans="1:3" s="1" customFormat="1" ht="18" customHeight="1" x14ac:dyDescent="0.3">
      <c r="A16" s="8">
        <v>15</v>
      </c>
      <c r="B16" s="9" t="s">
        <v>75</v>
      </c>
      <c r="C16" s="6" t="str">
        <f>IFERROR(SUMIF(Calculus!#REF!,'INVOICE USAGE'!B16,Calculus!#REF!)," ")</f>
        <v xml:space="preserve"> </v>
      </c>
    </row>
    <row r="17" spans="1:3" s="1" customFormat="1" ht="18" customHeight="1" x14ac:dyDescent="0.3">
      <c r="A17" s="8">
        <v>16</v>
      </c>
      <c r="B17" s="9" t="s">
        <v>76</v>
      </c>
      <c r="C17" s="6" t="str">
        <f>IFERROR(SUMIF(Calculus!#REF!,'INVOICE USAGE'!B17,Calculus!#REF!)," ")</f>
        <v xml:space="preserve"> </v>
      </c>
    </row>
    <row r="18" spans="1:3" s="1" customFormat="1" ht="18" customHeight="1" x14ac:dyDescent="0.3">
      <c r="A18" s="8">
        <v>17</v>
      </c>
      <c r="B18" s="9" t="s">
        <v>77</v>
      </c>
      <c r="C18" s="6" t="str">
        <f>IFERROR(SUMIF(Calculus!#REF!,'INVOICE USAGE'!B18,Calculus!#REF!)," ")</f>
        <v xml:space="preserve"> </v>
      </c>
    </row>
    <row r="19" spans="1:3" s="1" customFormat="1" ht="18" customHeight="1" x14ac:dyDescent="0.3">
      <c r="A19" s="8">
        <v>18</v>
      </c>
      <c r="B19" s="13" t="s">
        <v>78</v>
      </c>
      <c r="C19" s="6"/>
    </row>
    <row r="20" spans="1:3" ht="18" customHeight="1" x14ac:dyDescent="0.3">
      <c r="A20" s="8">
        <v>19</v>
      </c>
      <c r="B20" s="14" t="s">
        <v>79</v>
      </c>
      <c r="C20" s="6" t="str">
        <f>IFERROR(SUMIF(Calculus!#REF!,'INVOICE USAGE'!B20,Calculus!#REF!)," ")</f>
        <v xml:space="preserve"> </v>
      </c>
    </row>
    <row r="21" spans="1:3" ht="18" customHeight="1" x14ac:dyDescent="0.3">
      <c r="A21" s="8">
        <v>20</v>
      </c>
      <c r="B21" s="14" t="s">
        <v>80</v>
      </c>
      <c r="C21" s="6"/>
    </row>
    <row r="22" spans="1:3" ht="18" customHeight="1" x14ac:dyDescent="0.3">
      <c r="A22" s="8">
        <v>21</v>
      </c>
      <c r="B22" s="14" t="s">
        <v>81</v>
      </c>
      <c r="C22" s="6" t="str">
        <f>IFERROR(SUMIF(Calculus!#REF!,'INVOICE USAGE'!B22,Calculus!#REF!)," ")</f>
        <v xml:space="preserve"> </v>
      </c>
    </row>
    <row r="23" spans="1:3" ht="18" customHeight="1" x14ac:dyDescent="0.3">
      <c r="A23" s="8">
        <v>22</v>
      </c>
      <c r="B23" s="14" t="s">
        <v>82</v>
      </c>
      <c r="C23" s="6" t="str">
        <f>IFERROR(SUMIF(Calculus!#REF!,'INVOICE USAGE'!B23,Calculus!#REF!)," ")</f>
        <v xml:space="preserve"> </v>
      </c>
    </row>
    <row r="24" spans="1:3" ht="18" customHeight="1" x14ac:dyDescent="0.3">
      <c r="A24" s="8">
        <v>23</v>
      </c>
      <c r="B24" s="14" t="s">
        <v>83</v>
      </c>
      <c r="C24" s="6"/>
    </row>
    <row r="25" spans="1:3" ht="18" customHeight="1" x14ac:dyDescent="0.3">
      <c r="A25" s="8">
        <v>24</v>
      </c>
      <c r="B25" s="14" t="s">
        <v>84</v>
      </c>
      <c r="C25" s="6" t="str">
        <f>IFERROR(SUMIF(Calculus!#REF!,'INVOICE USAGE'!B25,Calculus!#REF!)," ")</f>
        <v xml:space="preserve"> </v>
      </c>
    </row>
    <row r="26" spans="1:3" ht="18" customHeight="1" x14ac:dyDescent="0.3">
      <c r="A26" s="8">
        <v>25</v>
      </c>
      <c r="B26" s="14" t="s">
        <v>85</v>
      </c>
      <c r="C26" s="6"/>
    </row>
    <row r="27" spans="1:3" ht="18" customHeight="1" x14ac:dyDescent="0.3">
      <c r="A27" s="8">
        <v>26</v>
      </c>
      <c r="B27" s="14" t="s">
        <v>86</v>
      </c>
      <c r="C27" s="6"/>
    </row>
    <row r="28" spans="1:3" ht="18" customHeight="1" x14ac:dyDescent="0.3">
      <c r="A28" s="8">
        <v>27</v>
      </c>
      <c r="B28" s="15" t="s">
        <v>94</v>
      </c>
      <c r="C28" s="6" t="str">
        <f>IFERROR(SUMIF(Calculus!#REF!,'INVOICE USAGE'!B28,Calculus!#REF!)," ")</f>
        <v xml:space="preserve"> </v>
      </c>
    </row>
    <row r="29" spans="1:3" ht="18" customHeight="1" x14ac:dyDescent="0.3">
      <c r="A29" s="8">
        <v>28</v>
      </c>
      <c r="B29" s="15"/>
      <c r="C29" s="6"/>
    </row>
    <row r="30" spans="1:3" ht="18" customHeight="1" x14ac:dyDescent="0.3">
      <c r="A30" s="8">
        <v>29</v>
      </c>
      <c r="B30" s="15"/>
      <c r="C30" s="6"/>
    </row>
    <row r="31" spans="1:3" ht="18" customHeight="1" x14ac:dyDescent="0.3">
      <c r="A31" s="8">
        <v>30</v>
      </c>
      <c r="B31" s="15"/>
      <c r="C31" s="6"/>
    </row>
    <row r="32" spans="1:3" ht="21.9" customHeight="1" x14ac:dyDescent="0.3"/>
    <row r="33" ht="21.9" customHeight="1" x14ac:dyDescent="0.3"/>
    <row r="34" ht="21.9" customHeight="1" x14ac:dyDescent="0.3"/>
  </sheetData>
  <sheetProtection algorithmName="SHA-512" hashValue="VLDFqkqU1AZ4POnRI9BhDq8GsjRrrCsF+1i8pL6zZHGRkom3Qb2DB6+wzzdJEgvF5KNdP2JWR/TFONNQPYgvFg==" saltValue="XV5SwZIeXdz3EtCJdkbGig==" spinCount="100000" sheet="1" objects="1" scenarios="1"/>
  <mergeCells count="1">
    <mergeCell ref="A1:B1"/>
  </mergeCells>
  <pageMargins left="0.7" right="0.7" top="0.75" bottom="0.75" header="0.3" footer="0.3"/>
  <pageSetup scale="83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N84"/>
  <sheetViews>
    <sheetView zoomScaleNormal="100" workbookViewId="0">
      <selection activeCell="J15" sqref="J15"/>
    </sheetView>
  </sheetViews>
  <sheetFormatPr defaultColWidth="9.109375" defaultRowHeight="17.399999999999999" x14ac:dyDescent="0.45"/>
  <cols>
    <col min="1" max="1" width="56.33203125" style="33" customWidth="1"/>
    <col min="2" max="3" width="10.88671875" style="21" customWidth="1"/>
    <col min="4" max="4" width="10.88671875" style="32" customWidth="1"/>
    <col min="5" max="7" width="10.88671875" style="21" customWidth="1"/>
    <col min="8" max="10" width="9.109375" style="21"/>
    <col min="11" max="11" width="15" style="21" customWidth="1"/>
    <col min="12" max="12" width="15.21875" style="21" customWidth="1"/>
    <col min="13" max="13" width="14.5546875" style="21" customWidth="1"/>
    <col min="14" max="14" width="20.5546875" style="21" customWidth="1"/>
    <col min="15" max="16384" width="9.109375" style="21"/>
  </cols>
  <sheetData>
    <row r="2" spans="1:14" x14ac:dyDescent="0.45">
      <c r="A2" s="34" t="s">
        <v>55</v>
      </c>
      <c r="B2" s="23" t="s">
        <v>25</v>
      </c>
      <c r="C2" s="23" t="s">
        <v>28</v>
      </c>
      <c r="D2" s="27" t="s">
        <v>103</v>
      </c>
      <c r="E2" s="23" t="s">
        <v>104</v>
      </c>
      <c r="F2" s="23" t="s">
        <v>101</v>
      </c>
      <c r="G2" s="24" t="s">
        <v>102</v>
      </c>
    </row>
    <row r="3" spans="1:14" x14ac:dyDescent="0.45">
      <c r="A3" s="33" t="s">
        <v>138</v>
      </c>
      <c r="B3" s="32">
        <v>6750</v>
      </c>
      <c r="C3" s="32">
        <v>6750</v>
      </c>
      <c r="D3" s="31">
        <v>6650</v>
      </c>
      <c r="E3" s="26"/>
      <c r="F3" s="26"/>
      <c r="G3" s="26"/>
      <c r="J3" s="204" t="s">
        <v>207</v>
      </c>
      <c r="K3" s="204" t="s">
        <v>210</v>
      </c>
      <c r="L3" s="205" t="s">
        <v>211</v>
      </c>
      <c r="M3" s="25"/>
      <c r="N3" s="25"/>
    </row>
    <row r="4" spans="1:14" x14ac:dyDescent="0.45">
      <c r="A4" s="33" t="s">
        <v>143</v>
      </c>
      <c r="B4" s="32">
        <v>6750</v>
      </c>
      <c r="C4" s="32">
        <v>6750</v>
      </c>
      <c r="D4" s="31">
        <v>7000</v>
      </c>
      <c r="E4" s="26"/>
      <c r="F4" s="26"/>
      <c r="G4" s="26"/>
      <c r="J4" s="206">
        <v>1</v>
      </c>
      <c r="K4" s="207" t="s">
        <v>212</v>
      </c>
      <c r="L4" s="208">
        <v>6650</v>
      </c>
      <c r="M4" s="25"/>
      <c r="N4" s="25"/>
    </row>
    <row r="5" spans="1:14" x14ac:dyDescent="0.45">
      <c r="A5" s="33" t="s">
        <v>144</v>
      </c>
      <c r="B5" s="32">
        <v>6750</v>
      </c>
      <c r="C5" s="32">
        <v>6750</v>
      </c>
      <c r="D5" s="31">
        <v>7800</v>
      </c>
      <c r="E5" s="26"/>
      <c r="F5" s="26"/>
      <c r="G5" s="26"/>
      <c r="J5" s="206">
        <v>2</v>
      </c>
      <c r="K5" s="207" t="s">
        <v>213</v>
      </c>
      <c r="L5" s="208">
        <v>7000</v>
      </c>
      <c r="M5" s="25"/>
      <c r="N5" s="25"/>
    </row>
    <row r="6" spans="1:14" x14ac:dyDescent="0.45">
      <c r="A6" s="33" t="s">
        <v>145</v>
      </c>
      <c r="B6" s="32">
        <v>6750</v>
      </c>
      <c r="C6" s="32">
        <v>6750</v>
      </c>
      <c r="D6" s="31">
        <v>8400</v>
      </c>
      <c r="E6" s="26"/>
      <c r="F6" s="26"/>
      <c r="G6" s="26"/>
      <c r="J6" s="206">
        <v>3</v>
      </c>
      <c r="K6" s="207" t="s">
        <v>214</v>
      </c>
      <c r="L6" s="208">
        <v>7800</v>
      </c>
      <c r="M6" s="25"/>
      <c r="N6" s="25"/>
    </row>
    <row r="7" spans="1:14" x14ac:dyDescent="0.45">
      <c r="A7" s="33" t="s">
        <v>146</v>
      </c>
      <c r="B7" s="32">
        <v>6750</v>
      </c>
      <c r="C7" s="32">
        <v>6750</v>
      </c>
      <c r="D7" s="31">
        <v>8800</v>
      </c>
      <c r="E7" s="26"/>
      <c r="F7" s="26"/>
      <c r="G7" s="26"/>
      <c r="J7" s="206">
        <v>4</v>
      </c>
      <c r="K7" s="207" t="s">
        <v>215</v>
      </c>
      <c r="L7" s="208">
        <v>8400</v>
      </c>
      <c r="M7" s="25"/>
      <c r="N7" s="25"/>
    </row>
    <row r="8" spans="1:14" x14ac:dyDescent="0.45">
      <c r="A8" s="33" t="s">
        <v>147</v>
      </c>
      <c r="B8" s="32">
        <v>6750</v>
      </c>
      <c r="C8" s="32">
        <v>6750</v>
      </c>
      <c r="D8" s="31">
        <v>9000</v>
      </c>
      <c r="E8" s="26"/>
      <c r="F8" s="26"/>
      <c r="G8" s="26"/>
      <c r="J8" s="206">
        <v>5</v>
      </c>
      <c r="K8" s="207" t="s">
        <v>216</v>
      </c>
      <c r="L8" s="208">
        <v>8800</v>
      </c>
      <c r="M8" s="25"/>
      <c r="N8" s="25"/>
    </row>
    <row r="9" spans="1:14" x14ac:dyDescent="0.45">
      <c r="A9" s="33" t="s">
        <v>154</v>
      </c>
      <c r="B9" s="31">
        <v>3800</v>
      </c>
      <c r="C9" s="31">
        <v>3800</v>
      </c>
      <c r="D9" s="31">
        <v>3800</v>
      </c>
      <c r="E9" s="26"/>
      <c r="F9" s="26"/>
      <c r="G9" s="26"/>
      <c r="J9" s="206">
        <v>6</v>
      </c>
      <c r="K9" s="207" t="s">
        <v>217</v>
      </c>
      <c r="L9" s="208">
        <v>9000</v>
      </c>
      <c r="M9" s="25"/>
      <c r="N9" s="25"/>
    </row>
    <row r="10" spans="1:14" x14ac:dyDescent="0.45">
      <c r="A10" s="33" t="s">
        <v>127</v>
      </c>
      <c r="B10" s="32">
        <v>1000</v>
      </c>
      <c r="C10" s="32">
        <v>1000</v>
      </c>
      <c r="D10" s="31">
        <v>1000</v>
      </c>
      <c r="E10" s="26"/>
      <c r="F10" s="26"/>
      <c r="G10" s="26"/>
      <c r="J10" s="206">
        <v>7</v>
      </c>
      <c r="K10" s="207" t="s">
        <v>218</v>
      </c>
      <c r="L10" s="208">
        <v>3800</v>
      </c>
      <c r="M10" s="25"/>
      <c r="N10" s="25"/>
    </row>
    <row r="11" spans="1:14" x14ac:dyDescent="0.45">
      <c r="A11" s="33" t="s">
        <v>148</v>
      </c>
      <c r="B11" s="32">
        <v>5500</v>
      </c>
      <c r="C11" s="32">
        <v>5500</v>
      </c>
      <c r="D11" s="31">
        <v>5000</v>
      </c>
      <c r="E11" s="26"/>
      <c r="F11" s="26"/>
      <c r="G11" s="26"/>
      <c r="J11" s="206">
        <v>8</v>
      </c>
      <c r="K11" s="209" t="s">
        <v>219</v>
      </c>
      <c r="L11" s="208">
        <v>6750</v>
      </c>
      <c r="M11" s="25"/>
      <c r="N11" s="25"/>
    </row>
    <row r="12" spans="1:14" x14ac:dyDescent="0.45">
      <c r="A12" s="33" t="s">
        <v>149</v>
      </c>
      <c r="B12" s="32">
        <v>5500</v>
      </c>
      <c r="C12" s="32">
        <v>5500</v>
      </c>
      <c r="D12" s="31">
        <v>5500</v>
      </c>
      <c r="E12" s="26"/>
      <c r="F12" s="26"/>
      <c r="G12" s="26"/>
      <c r="K12" s="25"/>
      <c r="L12" s="25"/>
      <c r="M12" s="25"/>
      <c r="N12" s="25"/>
    </row>
    <row r="13" spans="1:14" x14ac:dyDescent="0.45">
      <c r="A13" s="33" t="s">
        <v>150</v>
      </c>
      <c r="B13" s="32">
        <v>5500</v>
      </c>
      <c r="C13" s="32">
        <v>5500</v>
      </c>
      <c r="D13" s="31">
        <v>6200</v>
      </c>
      <c r="E13" s="26"/>
      <c r="F13" s="26"/>
      <c r="G13" s="26"/>
      <c r="K13" s="25"/>
      <c r="L13" s="25"/>
      <c r="M13" s="25"/>
      <c r="N13" s="25"/>
    </row>
    <row r="14" spans="1:14" x14ac:dyDescent="0.45">
      <c r="A14" s="33" t="s">
        <v>151</v>
      </c>
      <c r="B14" s="32">
        <v>5500</v>
      </c>
      <c r="C14" s="32">
        <v>5500</v>
      </c>
      <c r="D14" s="31">
        <v>6800</v>
      </c>
      <c r="E14" s="26"/>
      <c r="F14" s="26"/>
      <c r="G14" s="26"/>
      <c r="K14" s="25"/>
      <c r="L14" s="25"/>
      <c r="M14" s="25"/>
      <c r="N14" s="25"/>
    </row>
    <row r="15" spans="1:14" x14ac:dyDescent="0.45">
      <c r="A15" s="33" t="s">
        <v>152</v>
      </c>
      <c r="B15" s="32">
        <v>5500</v>
      </c>
      <c r="C15" s="32">
        <v>5500</v>
      </c>
      <c r="D15" s="31">
        <v>7200</v>
      </c>
      <c r="E15" s="26"/>
      <c r="F15" s="26"/>
      <c r="G15" s="26"/>
      <c r="K15" s="25"/>
      <c r="L15" s="25"/>
      <c r="M15" s="25"/>
      <c r="N15" s="25"/>
    </row>
    <row r="16" spans="1:14" x14ac:dyDescent="0.45">
      <c r="A16" s="33" t="s">
        <v>153</v>
      </c>
      <c r="B16" s="32">
        <v>5500</v>
      </c>
      <c r="C16" s="32">
        <v>5500</v>
      </c>
      <c r="D16" s="31">
        <v>7400</v>
      </c>
      <c r="E16" s="26"/>
      <c r="F16" s="26"/>
      <c r="G16" s="26"/>
      <c r="K16" s="25"/>
      <c r="L16" s="25"/>
      <c r="M16" s="25"/>
      <c r="N16" s="25"/>
    </row>
    <row r="17" spans="1:4" x14ac:dyDescent="0.45">
      <c r="A17" s="33" t="s">
        <v>198</v>
      </c>
      <c r="B17" s="199"/>
      <c r="C17" s="199"/>
      <c r="D17" s="28">
        <v>2900</v>
      </c>
    </row>
    <row r="18" spans="1:4" x14ac:dyDescent="0.45">
      <c r="A18" s="33" t="s">
        <v>199</v>
      </c>
      <c r="B18" s="199"/>
      <c r="C18" s="199"/>
      <c r="D18" s="28">
        <v>3000</v>
      </c>
    </row>
    <row r="19" spans="1:4" x14ac:dyDescent="0.45">
      <c r="A19" s="33" t="s">
        <v>200</v>
      </c>
      <c r="B19" s="199"/>
      <c r="C19" s="199"/>
      <c r="D19" s="28">
        <v>3100</v>
      </c>
    </row>
    <row r="20" spans="1:4" x14ac:dyDescent="0.45">
      <c r="A20" s="33" t="s">
        <v>201</v>
      </c>
      <c r="B20" s="199"/>
      <c r="C20" s="199"/>
      <c r="D20" s="28">
        <v>3200</v>
      </c>
    </row>
    <row r="21" spans="1:4" x14ac:dyDescent="0.45">
      <c r="A21" s="33" t="s">
        <v>202</v>
      </c>
      <c r="B21" s="199"/>
      <c r="C21" s="199"/>
      <c r="D21" s="28">
        <v>3000</v>
      </c>
    </row>
    <row r="22" spans="1:4" x14ac:dyDescent="0.45">
      <c r="A22" s="33" t="s">
        <v>203</v>
      </c>
      <c r="B22" s="199"/>
      <c r="C22" s="199"/>
      <c r="D22" s="28">
        <v>3100</v>
      </c>
    </row>
    <row r="23" spans="1:4" x14ac:dyDescent="0.45">
      <c r="A23" s="33" t="s">
        <v>204</v>
      </c>
      <c r="B23" s="199"/>
      <c r="C23" s="199"/>
      <c r="D23" s="28">
        <v>3200</v>
      </c>
    </row>
    <row r="24" spans="1:4" x14ac:dyDescent="0.45">
      <c r="A24" s="33" t="s">
        <v>205</v>
      </c>
      <c r="B24" s="199"/>
      <c r="C24" s="199"/>
      <c r="D24" s="28">
        <v>3300</v>
      </c>
    </row>
    <row r="25" spans="1:4" x14ac:dyDescent="0.45">
      <c r="A25" s="33" t="s">
        <v>136</v>
      </c>
      <c r="B25" s="199">
        <v>1500</v>
      </c>
      <c r="C25" s="199">
        <v>1500</v>
      </c>
      <c r="D25" s="28">
        <v>1500</v>
      </c>
    </row>
    <row r="26" spans="1:4" x14ac:dyDescent="0.45">
      <c r="A26" s="33" t="s">
        <v>125</v>
      </c>
      <c r="B26" s="200">
        <v>1500</v>
      </c>
      <c r="C26" s="200">
        <v>1500</v>
      </c>
      <c r="D26" s="29">
        <v>1500</v>
      </c>
    </row>
    <row r="27" spans="1:4" x14ac:dyDescent="0.45">
      <c r="A27" s="33" t="s">
        <v>126</v>
      </c>
      <c r="B27" s="200">
        <v>1800</v>
      </c>
      <c r="C27" s="200">
        <v>1800</v>
      </c>
      <c r="D27" s="29">
        <v>1800</v>
      </c>
    </row>
    <row r="28" spans="1:4" x14ac:dyDescent="0.45">
      <c r="A28" s="33" t="s">
        <v>197</v>
      </c>
      <c r="B28" s="200">
        <v>1500</v>
      </c>
      <c r="C28" s="200">
        <v>1500</v>
      </c>
      <c r="D28" s="29">
        <v>1500</v>
      </c>
    </row>
    <row r="29" spans="1:4" x14ac:dyDescent="0.45">
      <c r="A29" s="33" t="s">
        <v>156</v>
      </c>
      <c r="B29" s="201">
        <v>700</v>
      </c>
      <c r="C29" s="201">
        <v>700</v>
      </c>
      <c r="D29" s="30">
        <v>700</v>
      </c>
    </row>
    <row r="30" spans="1:4" x14ac:dyDescent="0.45">
      <c r="A30" s="33" t="s">
        <v>157</v>
      </c>
      <c r="B30" s="201">
        <v>900</v>
      </c>
      <c r="C30" s="201">
        <v>900</v>
      </c>
      <c r="D30" s="30">
        <v>900</v>
      </c>
    </row>
    <row r="31" spans="1:4" x14ac:dyDescent="0.45">
      <c r="A31" s="33" t="s">
        <v>164</v>
      </c>
      <c r="B31" s="201">
        <v>4000</v>
      </c>
      <c r="C31" s="201">
        <v>4000</v>
      </c>
      <c r="D31" s="30">
        <v>4000</v>
      </c>
    </row>
    <row r="32" spans="1:4" x14ac:dyDescent="0.45">
      <c r="A32" s="33" t="s">
        <v>120</v>
      </c>
      <c r="B32" s="201">
        <v>800</v>
      </c>
      <c r="C32" s="201">
        <v>800</v>
      </c>
      <c r="D32" s="30">
        <v>800</v>
      </c>
    </row>
    <row r="33" spans="1:4" x14ac:dyDescent="0.45">
      <c r="A33" s="33" t="s">
        <v>158</v>
      </c>
      <c r="B33" s="201">
        <v>1000</v>
      </c>
      <c r="C33" s="201">
        <v>1000</v>
      </c>
      <c r="D33" s="30">
        <v>1000</v>
      </c>
    </row>
    <row r="34" spans="1:4" x14ac:dyDescent="0.45">
      <c r="A34" s="33" t="s">
        <v>165</v>
      </c>
      <c r="B34" s="201">
        <v>4000</v>
      </c>
      <c r="C34" s="201">
        <v>4000</v>
      </c>
      <c r="D34" s="30">
        <v>4000</v>
      </c>
    </row>
    <row r="35" spans="1:4" x14ac:dyDescent="0.45">
      <c r="A35" s="33" t="s">
        <v>159</v>
      </c>
      <c r="B35" s="201">
        <v>900</v>
      </c>
      <c r="C35" s="201">
        <v>900</v>
      </c>
      <c r="D35" s="30">
        <v>900</v>
      </c>
    </row>
    <row r="36" spans="1:4" x14ac:dyDescent="0.45">
      <c r="A36" s="33" t="s">
        <v>160</v>
      </c>
      <c r="B36" s="201">
        <v>1500</v>
      </c>
      <c r="C36" s="201">
        <v>1500</v>
      </c>
      <c r="D36" s="30">
        <v>1500</v>
      </c>
    </row>
    <row r="37" spans="1:4" x14ac:dyDescent="0.45">
      <c r="A37" s="33" t="s">
        <v>166</v>
      </c>
      <c r="B37" s="201">
        <v>4000</v>
      </c>
      <c r="C37" s="201">
        <v>4000</v>
      </c>
      <c r="D37" s="30">
        <v>4000</v>
      </c>
    </row>
    <row r="38" spans="1:4" x14ac:dyDescent="0.45">
      <c r="A38" s="33" t="s">
        <v>161</v>
      </c>
      <c r="B38" s="201">
        <v>2500</v>
      </c>
      <c r="C38" s="201">
        <v>2500</v>
      </c>
      <c r="D38" s="30">
        <v>2500</v>
      </c>
    </row>
    <row r="39" spans="1:4" x14ac:dyDescent="0.45">
      <c r="A39" s="33" t="s">
        <v>162</v>
      </c>
      <c r="B39" s="201">
        <v>2900</v>
      </c>
      <c r="C39" s="201">
        <v>2900</v>
      </c>
      <c r="D39" s="30">
        <v>2900</v>
      </c>
    </row>
    <row r="40" spans="1:4" x14ac:dyDescent="0.45">
      <c r="A40" s="33" t="s">
        <v>163</v>
      </c>
      <c r="B40" s="201">
        <v>3200</v>
      </c>
      <c r="C40" s="201">
        <v>3200</v>
      </c>
      <c r="D40" s="30">
        <v>3200</v>
      </c>
    </row>
    <row r="43" spans="1:4" x14ac:dyDescent="0.45">
      <c r="A43" s="33" t="s">
        <v>27</v>
      </c>
      <c r="B43" s="22">
        <v>46023</v>
      </c>
    </row>
    <row r="44" spans="1:4" x14ac:dyDescent="0.45">
      <c r="A44" s="33" t="s">
        <v>29</v>
      </c>
      <c r="B44" s="22">
        <v>46054</v>
      </c>
    </row>
    <row r="45" spans="1:4" x14ac:dyDescent="0.45">
      <c r="B45" s="22">
        <v>46082</v>
      </c>
    </row>
    <row r="46" spans="1:4" x14ac:dyDescent="0.45">
      <c r="B46" s="22">
        <v>46113</v>
      </c>
    </row>
    <row r="47" spans="1:4" x14ac:dyDescent="0.45">
      <c r="B47" s="22">
        <v>46143</v>
      </c>
    </row>
    <row r="48" spans="1:4" x14ac:dyDescent="0.45">
      <c r="B48" s="22">
        <v>46174</v>
      </c>
    </row>
    <row r="49" spans="1:3" x14ac:dyDescent="0.45">
      <c r="B49" s="22">
        <v>46204</v>
      </c>
    </row>
    <row r="50" spans="1:3" x14ac:dyDescent="0.45">
      <c r="B50" s="22">
        <v>46235</v>
      </c>
    </row>
    <row r="51" spans="1:3" x14ac:dyDescent="0.45">
      <c r="B51" s="22">
        <v>46266</v>
      </c>
    </row>
    <row r="52" spans="1:3" x14ac:dyDescent="0.45">
      <c r="B52" s="22">
        <v>46296</v>
      </c>
    </row>
    <row r="53" spans="1:3" x14ac:dyDescent="0.45">
      <c r="B53" s="22">
        <v>46327</v>
      </c>
    </row>
    <row r="54" spans="1:3" x14ac:dyDescent="0.45">
      <c r="B54" s="22">
        <v>46357</v>
      </c>
    </row>
    <row r="55" spans="1:3" x14ac:dyDescent="0.45">
      <c r="B55" s="22"/>
    </row>
    <row r="61" spans="1:3" ht="18" thickBot="1" x14ac:dyDescent="0.5"/>
    <row r="62" spans="1:3" x14ac:dyDescent="0.45">
      <c r="A62" s="265" t="s">
        <v>167</v>
      </c>
      <c r="B62" s="265" t="s">
        <v>168</v>
      </c>
      <c r="C62" s="265" t="s">
        <v>30</v>
      </c>
    </row>
    <row r="63" spans="1:3" ht="18" thickBot="1" x14ac:dyDescent="0.5">
      <c r="A63" s="266"/>
      <c r="B63" s="266"/>
      <c r="C63" s="266"/>
    </row>
    <row r="64" spans="1:3" ht="18" thickBot="1" x14ac:dyDescent="0.5">
      <c r="A64" s="189" t="s">
        <v>169</v>
      </c>
      <c r="B64" s="190" t="s">
        <v>171</v>
      </c>
      <c r="C64" s="190" t="s">
        <v>176</v>
      </c>
    </row>
    <row r="65" spans="1:3" ht="18" thickBot="1" x14ac:dyDescent="0.5">
      <c r="A65" s="189" t="s">
        <v>169</v>
      </c>
      <c r="B65" s="190" t="s">
        <v>171</v>
      </c>
      <c r="C65" s="190" t="s">
        <v>177</v>
      </c>
    </row>
    <row r="66" spans="1:3" ht="18" thickBot="1" x14ac:dyDescent="0.5">
      <c r="A66" s="189" t="s">
        <v>169</v>
      </c>
      <c r="B66" s="190" t="s">
        <v>171</v>
      </c>
      <c r="C66" s="190" t="s">
        <v>178</v>
      </c>
    </row>
    <row r="67" spans="1:3" ht="18" thickBot="1" x14ac:dyDescent="0.5">
      <c r="A67" s="189" t="s">
        <v>169</v>
      </c>
      <c r="B67" s="190" t="s">
        <v>171</v>
      </c>
      <c r="C67" s="190" t="s">
        <v>179</v>
      </c>
    </row>
    <row r="68" spans="1:3" ht="18" thickBot="1" x14ac:dyDescent="0.5">
      <c r="A68" s="189" t="s">
        <v>169</v>
      </c>
      <c r="B68" s="190" t="s">
        <v>171</v>
      </c>
      <c r="C68" s="190" t="s">
        <v>180</v>
      </c>
    </row>
    <row r="69" spans="1:3" ht="18" thickBot="1" x14ac:dyDescent="0.5">
      <c r="A69" s="189" t="s">
        <v>169</v>
      </c>
      <c r="B69" s="190" t="s">
        <v>171</v>
      </c>
      <c r="C69" s="190" t="s">
        <v>181</v>
      </c>
    </row>
    <row r="70" spans="1:3" ht="18" thickBot="1" x14ac:dyDescent="0.5">
      <c r="A70" s="189" t="s">
        <v>169</v>
      </c>
      <c r="B70" s="190" t="s">
        <v>171</v>
      </c>
      <c r="C70" s="190" t="s">
        <v>182</v>
      </c>
    </row>
    <row r="71" spans="1:3" ht="18" thickBot="1" x14ac:dyDescent="0.5">
      <c r="A71" s="189" t="s">
        <v>169</v>
      </c>
      <c r="B71" s="190" t="s">
        <v>171</v>
      </c>
      <c r="C71" s="190" t="s">
        <v>183</v>
      </c>
    </row>
    <row r="72" spans="1:3" ht="18" thickBot="1" x14ac:dyDescent="0.5">
      <c r="A72" s="189" t="s">
        <v>169</v>
      </c>
      <c r="B72" s="190" t="s">
        <v>170</v>
      </c>
      <c r="C72" s="190" t="s">
        <v>184</v>
      </c>
    </row>
    <row r="73" spans="1:3" ht="18" thickBot="1" x14ac:dyDescent="0.5">
      <c r="A73" s="189" t="s">
        <v>169</v>
      </c>
      <c r="B73" s="190" t="s">
        <v>170</v>
      </c>
      <c r="C73" s="190" t="s">
        <v>185</v>
      </c>
    </row>
    <row r="74" spans="1:3" ht="18" thickBot="1" x14ac:dyDescent="0.5">
      <c r="A74" s="189" t="s">
        <v>169</v>
      </c>
      <c r="B74" s="190" t="s">
        <v>170</v>
      </c>
      <c r="C74" s="190" t="s">
        <v>186</v>
      </c>
    </row>
    <row r="75" spans="1:3" ht="18" thickBot="1" x14ac:dyDescent="0.5">
      <c r="A75" s="189" t="s">
        <v>169</v>
      </c>
      <c r="B75" s="190" t="s">
        <v>170</v>
      </c>
      <c r="C75" s="190" t="s">
        <v>187</v>
      </c>
    </row>
    <row r="76" spans="1:3" ht="18" thickBot="1" x14ac:dyDescent="0.5">
      <c r="A76" s="191" t="s">
        <v>172</v>
      </c>
      <c r="B76" s="192" t="s">
        <v>173</v>
      </c>
      <c r="C76" s="192" t="s">
        <v>188</v>
      </c>
    </row>
    <row r="77" spans="1:3" ht="18" thickBot="1" x14ac:dyDescent="0.5">
      <c r="A77" s="191" t="s">
        <v>172</v>
      </c>
      <c r="B77" s="192" t="s">
        <v>173</v>
      </c>
      <c r="C77" s="192" t="s">
        <v>189</v>
      </c>
    </row>
    <row r="78" spans="1:3" ht="18" thickBot="1" x14ac:dyDescent="0.5">
      <c r="A78" s="191" t="s">
        <v>172</v>
      </c>
      <c r="B78" s="192" t="s">
        <v>173</v>
      </c>
      <c r="C78" s="192" t="s">
        <v>190</v>
      </c>
    </row>
    <row r="79" spans="1:3" ht="18" thickBot="1" x14ac:dyDescent="0.5">
      <c r="A79" s="191" t="s">
        <v>172</v>
      </c>
      <c r="B79" s="192" t="s">
        <v>173</v>
      </c>
      <c r="C79" s="192" t="s">
        <v>191</v>
      </c>
    </row>
    <row r="80" spans="1:3" ht="18" thickBot="1" x14ac:dyDescent="0.5">
      <c r="A80" s="191" t="s">
        <v>172</v>
      </c>
      <c r="B80" s="192" t="s">
        <v>174</v>
      </c>
      <c r="C80" s="192" t="s">
        <v>192</v>
      </c>
    </row>
    <row r="81" spans="1:3" ht="18" thickBot="1" x14ac:dyDescent="0.5">
      <c r="A81" s="191" t="s">
        <v>172</v>
      </c>
      <c r="B81" s="192" t="s">
        <v>174</v>
      </c>
      <c r="C81" s="192" t="s">
        <v>193</v>
      </c>
    </row>
    <row r="82" spans="1:3" ht="18" thickBot="1" x14ac:dyDescent="0.5">
      <c r="A82" s="191" t="s">
        <v>172</v>
      </c>
      <c r="B82" s="192" t="s">
        <v>174</v>
      </c>
      <c r="C82" s="192" t="s">
        <v>194</v>
      </c>
    </row>
    <row r="83" spans="1:3" ht="18" thickBot="1" x14ac:dyDescent="0.5">
      <c r="A83" s="191" t="s">
        <v>172</v>
      </c>
      <c r="B83" s="192" t="s">
        <v>174</v>
      </c>
      <c r="C83" s="192" t="s">
        <v>195</v>
      </c>
    </row>
    <row r="84" spans="1:3" ht="18" thickBot="1" x14ac:dyDescent="0.5">
      <c r="A84" s="191" t="s">
        <v>172</v>
      </c>
      <c r="B84" s="192" t="s">
        <v>174</v>
      </c>
      <c r="C84" s="192" t="s">
        <v>196</v>
      </c>
    </row>
  </sheetData>
  <sheetProtection algorithmName="SHA-512" hashValue="JDNCc6OHEQqEqcnufrQD8vNG7y90to19oz4CE52+9D/CMp0bt+qY0vul46n6XfinN0gF6m8ucZYc7zojFvs08Q==" saltValue="jKcVUVIQtQ9g0KYa+VgyiA==" spinCount="100000" sheet="1" objects="1" scenarios="1"/>
  <mergeCells count="3">
    <mergeCell ref="A62:A63"/>
    <mergeCell ref="B62:B63"/>
    <mergeCell ref="C62:C63"/>
  </mergeCells>
  <phoneticPr fontId="11" type="noConversion"/>
  <dataValidations count="1">
    <dataValidation type="list" allowBlank="1" showInputMessage="1" showErrorMessage="1" sqref="E48" xr:uid="{3A1814BE-2B98-4D70-915F-5317F897C43C}">
      <formula1>$B$43:$B$54</formula1>
    </dataValidation>
  </dataValidations>
  <pageMargins left="0.7" right="0.7" top="0.75" bottom="0.75" header="0.3" footer="0.3"/>
  <pageSetup scale="85" orientation="portrait" r:id="rId1"/>
  <rowBreaks count="1" manualBreakCount="1">
    <brk id="40" max="4" man="1"/>
  </rowBreak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INVOICE</vt:lpstr>
      <vt:lpstr>FTTH</vt:lpstr>
      <vt:lpstr>PSTN</vt:lpstr>
      <vt:lpstr>PEO</vt:lpstr>
      <vt:lpstr>MATERIAL BALANCE SHEET</vt:lpstr>
      <vt:lpstr>INVOICE USAGE</vt:lpstr>
      <vt:lpstr>Calculus</vt:lpstr>
      <vt:lpstr>Calculus!Print_Area</vt:lpstr>
      <vt:lpstr>FTTH!Print_Area</vt:lpstr>
      <vt:lpstr>INVOICE!Print_Area</vt:lpstr>
      <vt:lpstr>'INVOICE USAGE'!Print_Area</vt:lpstr>
      <vt:lpstr>PEO!Print_Area</vt:lpstr>
      <vt:lpstr>PSTN!Print_Area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2026-07-04T09:28:05Z</dcterms:modified>
</cp:coreProperties>
</file>